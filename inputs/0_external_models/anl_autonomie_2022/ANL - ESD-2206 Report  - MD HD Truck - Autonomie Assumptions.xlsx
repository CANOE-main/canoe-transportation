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HeavyDuty\01 - Documents\Assumptions\"/>
    </mc:Choice>
  </mc:AlternateContent>
  <bookViews>
    <workbookView xWindow="0" yWindow="0" windowWidth="5895" windowHeight="3450" activeTab="3"/>
  </bookViews>
  <sheets>
    <sheet name="Read Me" sheetId="17" r:id="rId1"/>
    <sheet name="Market Segmentation" sheetId="36" r:id="rId2"/>
    <sheet name="Performance Sizing" sheetId="34" r:id="rId3"/>
    <sheet name="BaselineSpecs" sheetId="31" r:id="rId4"/>
    <sheet name="VehImprovPC" sheetId="23" r:id="rId5"/>
    <sheet name="Engine Eff" sheetId="32" r:id="rId6"/>
    <sheet name="Driveline" sheetId="10" r:id="rId7"/>
    <sheet name="Wheel" sheetId="27" r:id="rId8"/>
    <sheet name="Electric Machine" sheetId="2" r:id="rId9"/>
    <sheet name="FuelCell" sheetId="25" r:id="rId10"/>
    <sheet name="Battery" sheetId="5" r:id="rId11"/>
    <sheet name="RefVehicles" sheetId="24" r:id="rId12"/>
    <sheet name="Autonomie_Translation" sheetId="15" r:id="rId13"/>
    <sheet name="Vehicle" sheetId="37" r:id="rId14"/>
    <sheet name="Vehicle references" sheetId="38" r:id="rId15"/>
    <sheet name="References" sheetId="18" state="hidden" r:id="rId16"/>
    <sheet name="Notes" sheetId="35" state="hidden" r:id="rId17"/>
  </sheets>
  <definedNames>
    <definedName name="_xlnm._FilterDatabase" localSheetId="2" hidden="1">'Performance Sizing'!$A$1:$P$24</definedName>
    <definedName name="GGe_to_kWh" localSheetId="3">#REF!</definedName>
    <definedName name="GGe_to_kWh" localSheetId="6">#REF!</definedName>
    <definedName name="GGe_to_kWh" localSheetId="5">#REF!</definedName>
    <definedName name="GGe_to_kWh" localSheetId="9">#REF!</definedName>
    <definedName name="GGe_to_kWh" localSheetId="2">#REF!</definedName>
    <definedName name="GGe_to_kWh" localSheetId="4">#REF!</definedName>
    <definedName name="GGe_to_kWh" localSheetId="7">#REF!</definedName>
    <definedName name="GGe_to_kWh">#REF!</definedName>
    <definedName name="kWh_kgNG" localSheetId="3">#REF!</definedName>
    <definedName name="kWh_kgNG" localSheetId="6">#REF!</definedName>
    <definedName name="kWh_kgNG" localSheetId="5">#REF!</definedName>
    <definedName name="kWh_kgNG" localSheetId="9">#REF!</definedName>
    <definedName name="kWh_kgNG" localSheetId="2">#REF!</definedName>
    <definedName name="kWh_kgNG" localSheetId="4">#REF!</definedName>
    <definedName name="kWh_kgNG" localSheetId="7">#REF!</definedName>
    <definedName name="kWh_kgNG">#REF!</definedName>
    <definedName name="Low2025engineeff">References!$A$2</definedName>
    <definedName name="sss" localSheetId="3">#REF!</definedName>
    <definedName name="sss" localSheetId="5">#REF!</definedName>
    <definedName name="sss" localSheetId="2">#REF!</definedName>
    <definedName name="sss">#REF!</definedName>
    <definedName name="ttt" localSheetId="3">#REF!</definedName>
    <definedName name="ttt" localSheetId="5">#REF!</definedName>
    <definedName name="ttt" localSheetId="2">#REF!</definedName>
    <definedName name="ttt">#REF!</definedName>
    <definedName name="Usbl_fractNG" localSheetId="3">#REF!</definedName>
    <definedName name="Usbl_fractNG" localSheetId="6">#REF!</definedName>
    <definedName name="Usbl_fractNG" localSheetId="5">#REF!</definedName>
    <definedName name="Usbl_fractNG" localSheetId="9">#REF!</definedName>
    <definedName name="Usbl_fractNG" localSheetId="2">#REF!</definedName>
    <definedName name="Usbl_fractNG" localSheetId="4">#REF!</definedName>
    <definedName name="Usbl_fractNG" localSheetId="7">#REF!</definedName>
    <definedName name="Usbl_fractNG">#REF!</definedName>
  </definedNames>
  <calcPr calcId="162913"/>
</workbook>
</file>

<file path=xl/calcChain.xml><?xml version="1.0" encoding="utf-8"?>
<calcChain xmlns="http://schemas.openxmlformats.org/spreadsheetml/2006/main">
  <c r="L23" i="25" l="1"/>
  <c r="K23" i="25"/>
  <c r="J23" i="25"/>
  <c r="G23" i="25"/>
  <c r="F23" i="25"/>
  <c r="E23" i="25"/>
  <c r="K18" i="25"/>
  <c r="K17" i="25" s="1"/>
  <c r="J18" i="25"/>
  <c r="J17" i="25" s="1"/>
  <c r="L17" i="25"/>
  <c r="I17" i="25"/>
  <c r="G17" i="25"/>
  <c r="F17" i="25"/>
  <c r="E17" i="25"/>
  <c r="L11" i="25"/>
  <c r="K11" i="25"/>
  <c r="J11" i="25"/>
  <c r="G11" i="25"/>
  <c r="F11" i="25"/>
  <c r="E11" i="25"/>
  <c r="B6" i="25"/>
  <c r="L5" i="25"/>
  <c r="K5" i="25"/>
  <c r="J5" i="25"/>
  <c r="I5" i="25"/>
  <c r="G5" i="25"/>
  <c r="F5" i="25"/>
  <c r="E5" i="25"/>
  <c r="B5" i="25"/>
  <c r="B4" i="25"/>
  <c r="B3" i="25"/>
  <c r="B2" i="25"/>
  <c r="B49" i="25" l="1"/>
  <c r="B48" i="25"/>
  <c r="B47" i="25"/>
  <c r="B46" i="25"/>
  <c r="B45" i="25"/>
  <c r="B44" i="25"/>
  <c r="B43" i="25"/>
  <c r="B42" i="25"/>
  <c r="B41" i="25"/>
  <c r="B40" i="25"/>
  <c r="B39" i="25"/>
  <c r="B38" i="25"/>
  <c r="B37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8" i="25"/>
  <c r="B7" i="25"/>
  <c r="B85" i="5" l="1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0" i="5"/>
  <c r="B58" i="5"/>
  <c r="B54" i="5"/>
  <c r="B51" i="5"/>
  <c r="B49" i="5"/>
  <c r="B48" i="5"/>
  <c r="B47" i="5"/>
  <c r="B46" i="5"/>
  <c r="B45" i="5"/>
  <c r="B44" i="5"/>
  <c r="B43" i="5"/>
  <c r="B42" i="5"/>
  <c r="B41" i="5"/>
  <c r="B40" i="5"/>
  <c r="B39" i="5"/>
  <c r="B38" i="5"/>
  <c r="H27" i="5"/>
  <c r="H28" i="5"/>
  <c r="H29" i="5"/>
  <c r="H30" i="5"/>
  <c r="H31" i="5"/>
  <c r="H32" i="5"/>
  <c r="H33" i="5"/>
  <c r="H34" i="5"/>
  <c r="H35" i="5"/>
  <c r="H36" i="5"/>
  <c r="H37" i="5"/>
  <c r="H26" i="5"/>
  <c r="B36" i="5"/>
  <c r="B30" i="5"/>
  <c r="B27" i="5"/>
  <c r="B24" i="5"/>
  <c r="B21" i="5"/>
  <c r="B18" i="5"/>
  <c r="B15" i="5"/>
  <c r="B12" i="5"/>
  <c r="B9" i="5"/>
  <c r="B3" i="5"/>
  <c r="D2" i="2" l="1"/>
  <c r="D4" i="2"/>
  <c r="D6" i="2"/>
  <c r="D7" i="2"/>
  <c r="I7" i="2"/>
  <c r="I8" i="2"/>
  <c r="I9" i="2"/>
  <c r="I10" i="2"/>
  <c r="I11" i="2"/>
  <c r="I12" i="2"/>
  <c r="I13" i="2"/>
  <c r="I14" i="2"/>
  <c r="I3" i="2"/>
  <c r="I4" i="2"/>
  <c r="I5" i="2"/>
  <c r="I6" i="2"/>
  <c r="I2" i="2"/>
  <c r="B12" i="2"/>
  <c r="B10" i="2"/>
  <c r="B5" i="2"/>
  <c r="B3" i="2"/>
  <c r="I9" i="27"/>
  <c r="I12" i="27"/>
  <c r="P13" i="10"/>
  <c r="Q13" i="10" s="1"/>
  <c r="Q9" i="10" l="1"/>
  <c r="R9" i="10"/>
  <c r="S9" i="10"/>
  <c r="T9" i="10" s="1"/>
  <c r="U9" i="10" s="1"/>
  <c r="V9" i="10" s="1"/>
  <c r="W9" i="10" s="1"/>
  <c r="X9" i="10" s="1"/>
  <c r="Y9" i="10" s="1"/>
  <c r="Z9" i="10" s="1"/>
  <c r="AA9" i="10" s="1"/>
  <c r="P9" i="10"/>
  <c r="L3" i="23" l="1"/>
  <c r="L4" i="23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L40" i="23"/>
  <c r="L41" i="23"/>
  <c r="L42" i="23"/>
  <c r="L43" i="23"/>
  <c r="L44" i="23"/>
  <c r="L45" i="23"/>
  <c r="L2" i="23"/>
  <c r="K2" i="23"/>
  <c r="K3" i="23"/>
  <c r="K4" i="23"/>
  <c r="K5" i="23"/>
  <c r="K6" i="23"/>
  <c r="K7" i="23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K40" i="23"/>
  <c r="K41" i="23"/>
  <c r="K42" i="23"/>
  <c r="K43" i="23"/>
  <c r="K44" i="23"/>
  <c r="K45" i="23"/>
  <c r="G45" i="23"/>
  <c r="G44" i="23"/>
  <c r="G43" i="23"/>
  <c r="G42" i="23"/>
  <c r="D41" i="23"/>
  <c r="F40" i="23"/>
  <c r="E40" i="23"/>
  <c r="D40" i="23"/>
  <c r="F39" i="23"/>
  <c r="F41" i="23" s="1"/>
  <c r="E39" i="23"/>
  <c r="E41" i="23" s="1"/>
  <c r="D39" i="23"/>
  <c r="G38" i="23"/>
  <c r="G40" i="23" s="1"/>
  <c r="F38" i="23"/>
  <c r="E38" i="23"/>
  <c r="D38" i="23"/>
  <c r="G37" i="23"/>
  <c r="G39" i="23" s="1"/>
  <c r="G41" i="23" s="1"/>
  <c r="G36" i="23"/>
  <c r="G35" i="23"/>
  <c r="E27" i="23"/>
  <c r="F27" i="23"/>
  <c r="G27" i="23"/>
  <c r="E28" i="23"/>
  <c r="F28" i="23"/>
  <c r="G28" i="23"/>
  <c r="G30" i="23" s="1"/>
  <c r="E29" i="23"/>
  <c r="F29" i="23"/>
  <c r="G29" i="23"/>
  <c r="E30" i="23"/>
  <c r="F30" i="23"/>
  <c r="D30" i="23"/>
  <c r="D28" i="23"/>
  <c r="D29" i="23"/>
  <c r="D27" i="23"/>
  <c r="G23" i="23"/>
  <c r="G22" i="23"/>
  <c r="G21" i="23"/>
  <c r="G20" i="23"/>
  <c r="F18" i="23"/>
  <c r="E18" i="23"/>
  <c r="D18" i="23"/>
  <c r="F17" i="23"/>
  <c r="F19" i="23" s="1"/>
  <c r="E17" i="23"/>
  <c r="E19" i="23" s="1"/>
  <c r="D17" i="23"/>
  <c r="D19" i="23" s="1"/>
  <c r="F16" i="23"/>
  <c r="E16" i="23"/>
  <c r="D16" i="23"/>
  <c r="G15" i="23"/>
  <c r="G14" i="23"/>
  <c r="G13" i="23"/>
  <c r="E5" i="23"/>
  <c r="E7" i="23" s="1"/>
  <c r="F5" i="23"/>
  <c r="F7" i="23" s="1"/>
  <c r="E6" i="23"/>
  <c r="E8" i="23" s="1"/>
  <c r="F6" i="23"/>
  <c r="F8" i="23" s="1"/>
  <c r="D6" i="23"/>
  <c r="D8" i="23" s="1"/>
  <c r="D5" i="23"/>
  <c r="D7" i="23" s="1"/>
  <c r="B9" i="2" l="1"/>
  <c r="B2" i="2"/>
  <c r="B11" i="2"/>
  <c r="B4" i="2"/>
  <c r="B13" i="2"/>
  <c r="B6" i="2"/>
  <c r="B14" i="2"/>
  <c r="B7" i="2"/>
  <c r="B8" i="2"/>
  <c r="D12" i="27" l="1"/>
  <c r="N12" i="34"/>
  <c r="M12" i="34"/>
  <c r="B37" i="5" l="1"/>
  <c r="B35" i="5"/>
  <c r="B34" i="5"/>
  <c r="B33" i="5"/>
  <c r="B32" i="5"/>
  <c r="B31" i="5"/>
  <c r="B29" i="5"/>
  <c r="B28" i="5"/>
  <c r="B26" i="5"/>
  <c r="B61" i="5"/>
  <c r="B59" i="5"/>
  <c r="B57" i="5"/>
  <c r="B56" i="5"/>
  <c r="B55" i="5"/>
  <c r="B53" i="5"/>
  <c r="B52" i="5"/>
  <c r="B50" i="5"/>
  <c r="B25" i="5"/>
  <c r="B23" i="5"/>
  <c r="B22" i="5"/>
  <c r="B20" i="5"/>
  <c r="B19" i="5"/>
  <c r="B17" i="5"/>
  <c r="B16" i="5"/>
  <c r="B14" i="5"/>
  <c r="B13" i="5"/>
  <c r="B11" i="5"/>
  <c r="B10" i="5"/>
  <c r="B8" i="5"/>
  <c r="B7" i="5"/>
  <c r="B6" i="5"/>
  <c r="B5" i="5"/>
  <c r="B4" i="5"/>
  <c r="B2" i="5"/>
  <c r="I31" i="27"/>
  <c r="D31" i="27"/>
  <c r="I30" i="27"/>
  <c r="D30" i="27" s="1"/>
  <c r="I29" i="27"/>
  <c r="D29" i="27"/>
  <c r="I28" i="27"/>
  <c r="D28" i="27"/>
  <c r="I27" i="27"/>
  <c r="D27" i="27" s="1"/>
  <c r="I26" i="27"/>
  <c r="D26" i="27" s="1"/>
  <c r="I25" i="27"/>
  <c r="D25" i="27" s="1"/>
  <c r="I24" i="27"/>
  <c r="D24" i="27" s="1"/>
  <c r="I23" i="27"/>
  <c r="D23" i="27" s="1"/>
  <c r="I22" i="27"/>
  <c r="D22" i="27" s="1"/>
  <c r="I21" i="27"/>
  <c r="D21" i="27" s="1"/>
  <c r="I20" i="27"/>
  <c r="D20" i="27"/>
  <c r="I19" i="27"/>
  <c r="D19" i="27" s="1"/>
  <c r="I18" i="27"/>
  <c r="D18" i="27"/>
  <c r="I17" i="27"/>
  <c r="D17" i="27" s="1"/>
  <c r="I16" i="27"/>
  <c r="D16" i="27"/>
  <c r="I15" i="27"/>
  <c r="D15" i="27" s="1"/>
  <c r="I14" i="27"/>
  <c r="D14" i="27"/>
  <c r="I13" i="27"/>
  <c r="D13" i="27"/>
  <c r="I11" i="27"/>
  <c r="D11" i="27" s="1"/>
  <c r="I10" i="27"/>
  <c r="D10" i="27" s="1"/>
  <c r="D9" i="27"/>
  <c r="I8" i="27"/>
  <c r="D8" i="27" s="1"/>
  <c r="I7" i="27"/>
  <c r="D7" i="27" s="1"/>
  <c r="I6" i="27"/>
  <c r="D6" i="27" s="1"/>
  <c r="I5" i="27"/>
  <c r="D5" i="27" s="1"/>
  <c r="I4" i="27"/>
  <c r="D4" i="27" s="1"/>
  <c r="I3" i="27"/>
  <c r="D3" i="27"/>
  <c r="I2" i="27"/>
  <c r="D2" i="27"/>
  <c r="G34" i="23"/>
  <c r="G33" i="23"/>
  <c r="G32" i="23"/>
  <c r="G31" i="23"/>
  <c r="G26" i="23"/>
  <c r="G25" i="23"/>
  <c r="G24" i="23"/>
  <c r="G12" i="23"/>
  <c r="G11" i="23"/>
  <c r="G10" i="23"/>
  <c r="G17" i="23" s="1"/>
  <c r="G19" i="23" s="1"/>
  <c r="G9" i="23"/>
  <c r="G4" i="23"/>
  <c r="G3" i="23"/>
  <c r="G5" i="23" s="1"/>
  <c r="G7" i="23" s="1"/>
  <c r="G2" i="23"/>
  <c r="N24" i="34"/>
  <c r="M24" i="34"/>
  <c r="N23" i="34"/>
  <c r="M23" i="34"/>
  <c r="J23" i="34"/>
  <c r="N22" i="34"/>
  <c r="M22" i="34"/>
  <c r="J22" i="34"/>
  <c r="N21" i="34"/>
  <c r="M21" i="34"/>
  <c r="J21" i="34"/>
  <c r="N20" i="34"/>
  <c r="M20" i="34"/>
  <c r="J20" i="34"/>
  <c r="N19" i="34"/>
  <c r="M19" i="34"/>
  <c r="J19" i="34"/>
  <c r="N18" i="34"/>
  <c r="M18" i="34"/>
  <c r="N17" i="34"/>
  <c r="M17" i="34"/>
  <c r="J17" i="34"/>
  <c r="N16" i="34"/>
  <c r="M16" i="34"/>
  <c r="J16" i="34"/>
  <c r="N15" i="34"/>
  <c r="M15" i="34"/>
  <c r="J15" i="34"/>
  <c r="N14" i="34"/>
  <c r="M14" i="34"/>
  <c r="J14" i="34"/>
  <c r="N13" i="34"/>
  <c r="M13" i="34"/>
  <c r="J13" i="34"/>
  <c r="N11" i="34"/>
  <c r="M11" i="34"/>
  <c r="N10" i="34"/>
  <c r="M10" i="34"/>
  <c r="J10" i="34"/>
  <c r="N9" i="34"/>
  <c r="M9" i="34"/>
  <c r="J9" i="34"/>
  <c r="N8" i="34"/>
  <c r="M8" i="34"/>
  <c r="J8" i="34"/>
  <c r="N7" i="34"/>
  <c r="M7" i="34"/>
  <c r="J7" i="34"/>
  <c r="N6" i="34"/>
  <c r="M6" i="34"/>
  <c r="J6" i="34"/>
  <c r="N5" i="34"/>
  <c r="M5" i="34"/>
  <c r="J5" i="34"/>
  <c r="N4" i="34"/>
  <c r="M4" i="34"/>
  <c r="J4" i="34"/>
  <c r="N3" i="34"/>
  <c r="M3" i="34"/>
  <c r="J3" i="34"/>
  <c r="N2" i="34"/>
  <c r="M2" i="34"/>
  <c r="J2" i="34"/>
  <c r="G6" i="23" l="1"/>
  <c r="G8" i="23" s="1"/>
  <c r="G16" i="23"/>
  <c r="G18" i="23" s="1"/>
</calcChain>
</file>

<file path=xl/comments1.xml><?xml version="1.0" encoding="utf-8"?>
<comments xmlns="http://schemas.openxmlformats.org/spreadsheetml/2006/main">
  <authors>
    <author>Vijayagopal, Ram</author>
  </authors>
  <commentList>
    <comment ref="G1" authorId="0" shapeId="0">
      <text>
        <r>
          <rPr>
            <b/>
            <sz val="9"/>
            <color indexed="81"/>
            <rFont val="Tahoma"/>
            <family val="2"/>
          </rPr>
          <t>Vijayagopal, Ram:</t>
        </r>
        <r>
          <rPr>
            <sz val="9"/>
            <color indexed="81"/>
            <rFont val="Tahoma"/>
            <family val="2"/>
          </rPr>
          <t xml:space="preserve">
Baseline Crr value based on Smart Way program. Coeff for steer, drive and trailer are weighted as specified in EPA phase 2 regulatiory documents</t>
        </r>
      </text>
    </comment>
  </commentList>
</comments>
</file>

<file path=xl/comments2.xml><?xml version="1.0" encoding="utf-8"?>
<comments xmlns="http://schemas.openxmlformats.org/spreadsheetml/2006/main">
  <authors>
    <author>Vijayagopal, Ram</author>
  </authors>
  <commentList>
    <comment ref="J1" authorId="0" shapeId="0">
      <text>
        <r>
          <rPr>
            <b/>
            <sz val="9"/>
            <color indexed="81"/>
            <rFont val="Tahoma"/>
            <family val="2"/>
          </rPr>
          <t>Vijayagopal, Ram:</t>
        </r>
        <r>
          <rPr>
            <sz val="9"/>
            <color indexed="81"/>
            <rFont val="Tahoma"/>
            <family val="2"/>
          </rPr>
          <t xml:space="preserve">
Based on DOE VTO WORKSHOP REPORT: Trucks and Heavy-Duty Vehicles Technical Requirements and Gaps for Lightweight and Propulsion Materials</t>
        </r>
      </text>
    </comment>
  </commentList>
</comments>
</file>

<file path=xl/comments3.xml><?xml version="1.0" encoding="utf-8"?>
<comments xmlns="http://schemas.openxmlformats.org/spreadsheetml/2006/main">
  <authors>
    <author>Vijayagopal, Ram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Vijayagopal, Ram:</t>
        </r>
        <r>
          <rPr>
            <sz val="9"/>
            <color indexed="81"/>
            <rFont val="Tahoma"/>
            <family val="2"/>
          </rPr>
          <t xml:space="preserve">
ST2 targets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>Vijayagopal, Ram:</t>
        </r>
        <r>
          <rPr>
            <sz val="9"/>
            <color indexed="81"/>
            <rFont val="Tahoma"/>
            <family val="2"/>
          </rPr>
          <t xml:space="preserve">
59% is the DOE goal for 2050</t>
        </r>
      </text>
    </comment>
    <comment ref="E45" authorId="0" shapeId="0">
      <text>
        <r>
          <rPr>
            <b/>
            <sz val="9"/>
            <color indexed="81"/>
            <rFont val="Tahoma"/>
            <family val="2"/>
          </rPr>
          <t>Vijayagopal, Ram:</t>
        </r>
        <r>
          <rPr>
            <sz val="9"/>
            <color indexed="81"/>
            <rFont val="Tahoma"/>
            <family val="2"/>
          </rPr>
          <t xml:space="preserve">
ST2 targets</t>
        </r>
      </text>
    </comment>
    <comment ref="E46" authorId="0" shapeId="0">
      <text>
        <r>
          <rPr>
            <b/>
            <sz val="9"/>
            <color indexed="81"/>
            <rFont val="Tahoma"/>
            <family val="2"/>
          </rPr>
          <t>Vijayagopal, Ram:</t>
        </r>
        <r>
          <rPr>
            <sz val="9"/>
            <color indexed="81"/>
            <rFont val="Tahoma"/>
            <family val="2"/>
          </rPr>
          <t xml:space="preserve">
59% is the DOE goal for 2050</t>
        </r>
      </text>
    </comment>
  </commentList>
</comments>
</file>

<file path=xl/comments4.xml><?xml version="1.0" encoding="utf-8"?>
<comments xmlns="http://schemas.openxmlformats.org/spreadsheetml/2006/main">
  <authors>
    <author>Vijayagopal, Ram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Vijayagopal, Ram:</t>
        </r>
        <r>
          <rPr>
            <sz val="9"/>
            <color indexed="81"/>
            <rFont val="Tahoma"/>
            <family val="2"/>
          </rPr>
          <t xml:space="preserve">
transfer case has 0.98 eff applied on input to FD</t>
        </r>
      </text>
    </comment>
    <comment ref="H20" authorId="0" shapeId="0">
      <text>
        <r>
          <rPr>
            <b/>
            <sz val="9"/>
            <color indexed="81"/>
            <rFont val="Tahoma"/>
            <family val="2"/>
          </rPr>
          <t>Vijayagopal, Ram:</t>
        </r>
        <r>
          <rPr>
            <sz val="9"/>
            <color indexed="81"/>
            <rFont val="Tahoma"/>
            <family val="2"/>
          </rPr>
          <t xml:space="preserve">
transfer case has 0.98 eff applied on input to FD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Vijayagopal, Ram:</t>
        </r>
        <r>
          <rPr>
            <sz val="9"/>
            <color indexed="81"/>
            <rFont val="Tahoma"/>
            <family val="2"/>
          </rPr>
          <t xml:space="preserve">
transfer case has 0.98 eff applied on input to FD</t>
        </r>
      </text>
    </comment>
    <comment ref="H31" authorId="0" shapeId="0">
      <text>
        <r>
          <rPr>
            <b/>
            <sz val="9"/>
            <color indexed="81"/>
            <rFont val="Tahoma"/>
            <family val="2"/>
          </rPr>
          <t>Vijayagopal, Ram:</t>
        </r>
        <r>
          <rPr>
            <sz val="9"/>
            <color indexed="81"/>
            <rFont val="Tahoma"/>
            <family val="2"/>
          </rPr>
          <t xml:space="preserve">
transfer case has 0.98 eff applied on input to FD</t>
        </r>
      </text>
    </comment>
  </commentList>
</comments>
</file>

<file path=xl/sharedStrings.xml><?xml version="1.0" encoding="utf-8"?>
<sst xmlns="http://schemas.openxmlformats.org/spreadsheetml/2006/main" count="2534" uniqueCount="419">
  <si>
    <t>Low</t>
  </si>
  <si>
    <t>High</t>
  </si>
  <si>
    <t>liion</t>
  </si>
  <si>
    <t>SOC Max</t>
  </si>
  <si>
    <t>SOC init</t>
  </si>
  <si>
    <t>Technology</t>
  </si>
  <si>
    <t>BEV</t>
  </si>
  <si>
    <t>Frontal Area</t>
  </si>
  <si>
    <t>Payload (kg)</t>
  </si>
  <si>
    <t>Drag Coefficient (Cd)</t>
  </si>
  <si>
    <t>Final Drive Ratio</t>
  </si>
  <si>
    <t>Acc Load (W)</t>
  </si>
  <si>
    <t>Glider Weight Reduction(%)</t>
  </si>
  <si>
    <t>Cr reduction (%)</t>
  </si>
  <si>
    <t>Acc load reduction (%)</t>
  </si>
  <si>
    <t>Cd reduction (%)</t>
  </si>
  <si>
    <t>Class</t>
  </si>
  <si>
    <t>Case</t>
  </si>
  <si>
    <t>Peak Eff (%)</t>
  </si>
  <si>
    <t>Fuel</t>
  </si>
  <si>
    <t>Diesel</t>
  </si>
  <si>
    <t>Purpose</t>
  </si>
  <si>
    <t>Regulatory Code</t>
  </si>
  <si>
    <t>0- 60mph (s)</t>
  </si>
  <si>
    <t>90 percentile Daily Driving Range (miles)</t>
  </si>
  <si>
    <t>Max. Speed (mph)</t>
  </si>
  <si>
    <t>Final Drive Eff (%)</t>
  </si>
  <si>
    <t>Year</t>
  </si>
  <si>
    <t>0-30mph (s)</t>
  </si>
  <si>
    <t>chas.plant.init.coeff_drag</t>
  </si>
  <si>
    <t>chas.plant.init.frontal_area</t>
  </si>
  <si>
    <t>whl.plant.init.coeff_roll1</t>
  </si>
  <si>
    <t>accelec.plant.init.pwr</t>
  </si>
  <si>
    <t>chas.plant.init.mass.cargo</t>
  </si>
  <si>
    <t>chas.plant.init.mass.body</t>
  </si>
  <si>
    <t>Rolling Resistance (Effective)</t>
  </si>
  <si>
    <t>Glider Mass (kg)</t>
  </si>
  <si>
    <t>Boost Converter Specifc Power  (W/kg)</t>
  </si>
  <si>
    <t>High Voltage System Specific Power (without boost* W/kg)</t>
  </si>
  <si>
    <t>High Voltage System Peak Efficiency (w/o boost)(%)</t>
  </si>
  <si>
    <t>Boost Converter Cost ($/kw)</t>
  </si>
  <si>
    <t>DC/DC Buck Converter Cost ($/kw)</t>
  </si>
  <si>
    <t>On-board Charger cost ($)</t>
  </si>
  <si>
    <t>Specific Power @ 70% SOC (W/kg)</t>
  </si>
  <si>
    <t>Energy Oversize (%)</t>
  </si>
  <si>
    <t>SOC Min</t>
  </si>
  <si>
    <t>Powertrain</t>
  </si>
  <si>
    <t>Conv</t>
  </si>
  <si>
    <t>RollingResistance_Effective_</t>
  </si>
  <si>
    <t>FrontalArea</t>
  </si>
  <si>
    <t>DragCoefficient_Cd_</t>
  </si>
  <si>
    <t>AccLoad_W_</t>
  </si>
  <si>
    <t>Payload_kg_</t>
  </si>
  <si>
    <t>GliderMass_kg_</t>
  </si>
  <si>
    <t>GliderWeightReduction___</t>
  </si>
  <si>
    <t>CdReduction___</t>
  </si>
  <si>
    <t>CrReduction___</t>
  </si>
  <si>
    <t>PeakEff___</t>
  </si>
  <si>
    <t>FinalDriveRatio</t>
  </si>
  <si>
    <t>FinalDriveEff___</t>
  </si>
  <si>
    <t>vpa.init.veh_config_type</t>
  </si>
  <si>
    <t>vpa.init.veh_case</t>
  </si>
  <si>
    <t>vpa.init.veh_year</t>
  </si>
  <si>
    <t>vpa.init.veh_MR_percentage_reduc</t>
  </si>
  <si>
    <t>vpa.init.veh_AERO_percentage_reduc</t>
  </si>
  <si>
    <t>vpa.init.veh_ROLL_percentage_reduc</t>
  </si>
  <si>
    <t>eng.plant.scale.eff_max_des</t>
  </si>
  <si>
    <t>gb.plant.init.nb_ratio</t>
  </si>
  <si>
    <t># Gears</t>
  </si>
  <si>
    <t>gb.plant.init.gear.ratio1</t>
  </si>
  <si>
    <t>gb.plant.init.gear.ratio2</t>
  </si>
  <si>
    <t>gb.plant.init.gear.ratio3</t>
  </si>
  <si>
    <t>gb.plant.init.gear.ratio4</t>
  </si>
  <si>
    <t>gb.plant.init.gear.ratio5</t>
  </si>
  <si>
    <t>gb.plant.init.gear.ratio6</t>
  </si>
  <si>
    <t>gb.plant.init.gear.ratio7</t>
  </si>
  <si>
    <t>gb.plant.init.gear.ratio8</t>
  </si>
  <si>
    <t>gb.plant.init.gear.ratio9</t>
  </si>
  <si>
    <t>gb.plant.init.gear.ratio10</t>
  </si>
  <si>
    <t>gb.plant.init.gear.ratio11</t>
  </si>
  <si>
    <t>gb.plant.init.gear.ratio12</t>
  </si>
  <si>
    <t>gb.plant.init.gear.ratio13</t>
  </si>
  <si>
    <t>gb.plant.init.gear.ratio14</t>
  </si>
  <si>
    <t>gb.plant.init.gear.ratio15</t>
  </si>
  <si>
    <t>gb.plant.init.gear.ratio16</t>
  </si>
  <si>
    <t>gb.plant.init.gear.ratio17</t>
  </si>
  <si>
    <t>gb.plant.init.gear.ratio18</t>
  </si>
  <si>
    <t>gb.plant.init.const_eff.ratio1</t>
  </si>
  <si>
    <t>gb.plant.init.const_eff.ratio2</t>
  </si>
  <si>
    <t>gb.plant.init.const_eff.ratio3</t>
  </si>
  <si>
    <t>gb.plant.init.const_eff.ratio4</t>
  </si>
  <si>
    <t>gb.plant.init.const_eff.ratio5</t>
  </si>
  <si>
    <t>gb.plant.init.const_eff.ratio6</t>
  </si>
  <si>
    <t>gb.plant.init.const_eff.ratio7</t>
  </si>
  <si>
    <t>gb.plant.init.const_eff.ratio8</t>
  </si>
  <si>
    <t>gb.plant.init.const_eff.ratio9</t>
  </si>
  <si>
    <t>gb.plant.init.const_eff.ratio10</t>
  </si>
  <si>
    <t>gb.plant.init.const_eff.ratio11</t>
  </si>
  <si>
    <t>gb.plant.init.const_eff.ratio12</t>
  </si>
  <si>
    <t>gb.plant.init.const_eff.ratio13</t>
  </si>
  <si>
    <t>gb.plant.init.const_eff.ratio14</t>
  </si>
  <si>
    <t>gb.plant.init.const_eff.ratio15</t>
  </si>
  <si>
    <t>gb.plant.init.const_eff.ratio16</t>
  </si>
  <si>
    <t>gb.plant.init.const_eff.ratio17</t>
  </si>
  <si>
    <t>gb.plant.init.const_eff.ratio18</t>
  </si>
  <si>
    <t>fd.plant.init.ratio</t>
  </si>
  <si>
    <t>fd.plant.scale.eff_max_des</t>
  </si>
  <si>
    <t>whl.plant.init.radius</t>
  </si>
  <si>
    <t>Gear Ratio 1</t>
  </si>
  <si>
    <t>Gear Ratio 2</t>
  </si>
  <si>
    <t>Gear Ratio 3</t>
  </si>
  <si>
    <t>Gear Ratio 4</t>
  </si>
  <si>
    <t>Gear Ratio 5</t>
  </si>
  <si>
    <t>Gear Ratio 6</t>
  </si>
  <si>
    <t>Gear Ratio 7</t>
  </si>
  <si>
    <t>Gear Ratio 8</t>
  </si>
  <si>
    <t>Gear Ratio 9</t>
  </si>
  <si>
    <t>Gear Ratio 10</t>
  </si>
  <si>
    <t>Gear Ratio 11</t>
  </si>
  <si>
    <t>Gear Ratio 12</t>
  </si>
  <si>
    <t>Gear Ratio 13</t>
  </si>
  <si>
    <t>Gear Ratio 14</t>
  </si>
  <si>
    <t>Gear Ratio 15</t>
  </si>
  <si>
    <t>Gear Ratio 16</t>
  </si>
  <si>
    <t>Gear Ratio 17</t>
  </si>
  <si>
    <t>Gear Ratio 18</t>
  </si>
  <si>
    <t>Gear Eff 1</t>
  </si>
  <si>
    <t>Gear Eff 2</t>
  </si>
  <si>
    <t>Gear Eff 3</t>
  </si>
  <si>
    <t>Gear Eff 4</t>
  </si>
  <si>
    <t>Gear Eff 5</t>
  </si>
  <si>
    <t>Gear Eff 6</t>
  </si>
  <si>
    <t>Gear Eff 7</t>
  </si>
  <si>
    <t>Gear Eff 8</t>
  </si>
  <si>
    <t>Gear Eff 9</t>
  </si>
  <si>
    <t>Gear Eff 10</t>
  </si>
  <si>
    <t>Gear Eff 11</t>
  </si>
  <si>
    <t>Gear Eff 12</t>
  </si>
  <si>
    <t>Gear Eff 13</t>
  </si>
  <si>
    <t>Gear Eff 14</t>
  </si>
  <si>
    <t>Gear Eff 15</t>
  </si>
  <si>
    <t>Gear Eff 16</t>
  </si>
  <si>
    <t>Gear Eff 17</t>
  </si>
  <si>
    <t>Gear Eff 18</t>
  </si>
  <si>
    <t>DisplayName</t>
  </si>
  <si>
    <t>TableVariable</t>
  </si>
  <si>
    <t>AuVariable</t>
  </si>
  <si>
    <t>GearRatio1</t>
  </si>
  <si>
    <t>GearRatio2</t>
  </si>
  <si>
    <t>GearRatio3</t>
  </si>
  <si>
    <t>GearRatio4</t>
  </si>
  <si>
    <t>GearRatio5</t>
  </si>
  <si>
    <t>GearRatio6</t>
  </si>
  <si>
    <t>GearRatio7</t>
  </si>
  <si>
    <t>GearRatio8</t>
  </si>
  <si>
    <t>GearRatio9</t>
  </si>
  <si>
    <t>GearRatio10</t>
  </si>
  <si>
    <t>GearRatio11</t>
  </si>
  <si>
    <t>GearRatio12</t>
  </si>
  <si>
    <t>GearRatio13</t>
  </si>
  <si>
    <t>GearRatio14</t>
  </si>
  <si>
    <t>GearRatio15</t>
  </si>
  <si>
    <t>GearRatio16</t>
  </si>
  <si>
    <t>GearRatio17</t>
  </si>
  <si>
    <t>GearRatio18</t>
  </si>
  <si>
    <t>GearEff1</t>
  </si>
  <si>
    <t>GearEff2</t>
  </si>
  <si>
    <t>GearEff3</t>
  </si>
  <si>
    <t>GearEff4</t>
  </si>
  <si>
    <t>GearEff5</t>
  </si>
  <si>
    <t>GearEff6</t>
  </si>
  <si>
    <t>GearEff7</t>
  </si>
  <si>
    <t>GearEff8</t>
  </si>
  <si>
    <t>GearEff9</t>
  </si>
  <si>
    <t>GearEff10</t>
  </si>
  <si>
    <t>GearEff11</t>
  </si>
  <si>
    <t>GearEff12</t>
  </si>
  <si>
    <t>GearEff13</t>
  </si>
  <si>
    <t>GearEff14</t>
  </si>
  <si>
    <t>GearEff15</t>
  </si>
  <si>
    <t>GearEff16</t>
  </si>
  <si>
    <t>GearEff17</t>
  </si>
  <si>
    <t>GearEff18</t>
  </si>
  <si>
    <t>x_Gears</t>
  </si>
  <si>
    <t>Sheet Description</t>
  </si>
  <si>
    <t>provides peak efficiency of engine. Since the LD part load efficiency assumptions are not relevant for the MD&amp;HD, current assumption is on peak efficiency alone.</t>
  </si>
  <si>
    <t>Driveline</t>
  </si>
  <si>
    <t>number of gears, gear ratios and assumed efficiency values for each gear</t>
  </si>
  <si>
    <t>Electric Machine</t>
  </si>
  <si>
    <t>Battery</t>
  </si>
  <si>
    <t>Performance Sizing</t>
  </si>
  <si>
    <t>All sheet formats are tentative. They will be updated based as we progress.</t>
  </si>
  <si>
    <t>Autonomie Translation</t>
  </si>
  <si>
    <t>Source</t>
  </si>
  <si>
    <t>Supertruck 1 component parameters</t>
  </si>
  <si>
    <t>http://www.epa.gov/smartway/forpartners/technology.htm</t>
  </si>
  <si>
    <t>EPA Smartway program</t>
  </si>
  <si>
    <t>Effects of Tire Rolling Resistance On Class 8 Tractor-Trailer Stopping Distance</t>
  </si>
  <si>
    <t>NHTSA reports</t>
  </si>
  <si>
    <t>Commercial Medium- and Heavy-Duty Truck Fuel Efficiency Technology Study – Report #1</t>
  </si>
  <si>
    <t>EPA GEM</t>
  </si>
  <si>
    <t>ISG</t>
  </si>
  <si>
    <t xml:space="preserve">Vehicles are sized to targets specified in this sheet. </t>
  </si>
  <si>
    <t>Starting Gear</t>
  </si>
  <si>
    <t>gb.ctrl.dmd.init.gear_min</t>
  </si>
  <si>
    <t>StartingGear</t>
  </si>
  <si>
    <t>cab &amp; body</t>
  </si>
  <si>
    <t>chassis</t>
  </si>
  <si>
    <t>cab &amp; body $/lb</t>
  </si>
  <si>
    <t>chassis $/lb</t>
  </si>
  <si>
    <t>Glider Base Cost ($)</t>
  </si>
  <si>
    <t>GliderBaseCost___</t>
  </si>
  <si>
    <t>chas.plant.cost.base_cost</t>
  </si>
  <si>
    <t>BoostConverterSpecifcPower_W_kg_</t>
  </si>
  <si>
    <t>HighVoltageSystemSpecificPower_withoutBoost_W_kg_</t>
  </si>
  <si>
    <t>HighVoltageSystemPeakEfficiency_w_oBoost____</t>
  </si>
  <si>
    <t>BoostConverterEfficiency___</t>
  </si>
  <si>
    <t>mot.plant.scale.eff_max_des</t>
  </si>
  <si>
    <t>pc.plant.init.eff</t>
  </si>
  <si>
    <t>mot.plant.scale.specific_power_motor</t>
  </si>
  <si>
    <t>mot.plant.scale.specific_power_controller</t>
  </si>
  <si>
    <t>Motor Controller SpPwr (W/kg)</t>
  </si>
  <si>
    <t>Motor SpPwr (W/kg)</t>
  </si>
  <si>
    <t>Motor Peak Eff (%)</t>
  </si>
  <si>
    <t>Motor Controller Eff (%)</t>
  </si>
  <si>
    <t>PbA</t>
  </si>
  <si>
    <t>Vocational</t>
  </si>
  <si>
    <t>Tractor</t>
  </si>
  <si>
    <t>Autonomie ref vehicle</t>
  </si>
  <si>
    <t>Procedure</t>
  </si>
  <si>
    <t>EPA_MDHD_Phase2.a_process</t>
  </si>
  <si>
    <t>RegulatoryCode</t>
  </si>
  <si>
    <t>SOCInit</t>
  </si>
  <si>
    <t>SOCMax</t>
  </si>
  <si>
    <t>SOCMin</t>
  </si>
  <si>
    <t>ess.plant.init.soc_max</t>
  </si>
  <si>
    <t>ess.plant.init.soc_min</t>
  </si>
  <si>
    <t>ess.plant.init.soc_init</t>
  </si>
  <si>
    <t>SpecificPower_70_SOC_W_kg_</t>
  </si>
  <si>
    <t>EnergyOversize___</t>
  </si>
  <si>
    <t>ess.plant.init.pwr_density</t>
  </si>
  <si>
    <t>ess.plant.init.energy_density</t>
  </si>
  <si>
    <t>ess.plant.cost.input.erg_oversize_factor</t>
  </si>
  <si>
    <t>ess.plant.cost.high.erg_coeff</t>
  </si>
  <si>
    <t>ess.plant.cost.high.pwr_coeff</t>
  </si>
  <si>
    <t>BoostConverterCost___kw_</t>
  </si>
  <si>
    <t>DC_DCBuckConverterCost___kw_</t>
  </si>
  <si>
    <t>On_boardChargerCost___</t>
  </si>
  <si>
    <t>mot.plant.init.cost_per_kW.hv_motor</t>
  </si>
  <si>
    <t>mot.plant.init.cost_per_kW.hv_controller</t>
  </si>
  <si>
    <t>mot.plant.init.pwr_density.hv_controller</t>
  </si>
  <si>
    <t>mot.plant.init.pwr_density.hv_motor</t>
  </si>
  <si>
    <t>mot.plant.init.cost.buck_converter</t>
  </si>
  <si>
    <t>mot.plant.init.cost.onboard_charger</t>
  </si>
  <si>
    <t>FC Peak Eff (%)</t>
  </si>
  <si>
    <t>FC cost ($/kw)</t>
  </si>
  <si>
    <t>FC specific power (W/kg)</t>
  </si>
  <si>
    <t>Reference</t>
  </si>
  <si>
    <t>Feedback from DOE</t>
  </si>
  <si>
    <t>Workshop on FCETs @ Argonne</t>
  </si>
  <si>
    <t>FCHEV</t>
  </si>
  <si>
    <t>CdA_incr_cost($)</t>
  </si>
  <si>
    <t>Cost of Usable H2 ($/kg)</t>
  </si>
  <si>
    <t>FCCost___kw_</t>
  </si>
  <si>
    <t>FCPeakEff___</t>
  </si>
  <si>
    <t>FCSpecificPower_W_kg_</t>
  </si>
  <si>
    <t>fc.plant.init.specific_pwr</t>
  </si>
  <si>
    <t>fc.plant.cost.fc_cost_per_kW</t>
  </si>
  <si>
    <t>fc.plant.scale.eff_max_des</t>
  </si>
  <si>
    <t xml:space="preserve">pay loads </t>
  </si>
  <si>
    <t xml:space="preserve">Federal Register /Vol. 81, No. 206/Tuesday, October 25, 2016/Rules and Regulations </t>
  </si>
  <si>
    <t>Wheel Radius</t>
  </si>
  <si>
    <t>WheelRadius</t>
  </si>
  <si>
    <t>Cost of Power ($/kW)</t>
  </si>
  <si>
    <t>CostOfPower___kW_</t>
  </si>
  <si>
    <t>Transit</t>
  </si>
  <si>
    <t>phev_su.a_vehicle</t>
  </si>
  <si>
    <t>bev_su.a_vehicle</t>
  </si>
  <si>
    <t>fchev_su.a_vehicle</t>
  </si>
  <si>
    <t>Construction</t>
  </si>
  <si>
    <t>School</t>
  </si>
  <si>
    <t>Refuse</t>
  </si>
  <si>
    <t>Lab Year</t>
  </si>
  <si>
    <t>High Voltage System Weight Offset</t>
  </si>
  <si>
    <t>HighVoltageSystemWeightOffset</t>
  </si>
  <si>
    <t>mot.plant.init.pwr_density.hv_motor_offset</t>
  </si>
  <si>
    <t>Van</t>
  </si>
  <si>
    <t>Service</t>
  </si>
  <si>
    <t>Utility</t>
  </si>
  <si>
    <t>Remarks</t>
  </si>
  <si>
    <t>Allison 2500HS</t>
  </si>
  <si>
    <t>dodge 1500HR</t>
  </si>
  <si>
    <t>Sprinter</t>
  </si>
  <si>
    <t>Allison 1000HS</t>
  </si>
  <si>
    <t>F350</t>
  </si>
  <si>
    <t>Allison B3400 XFE</t>
  </si>
  <si>
    <t>NACFE</t>
  </si>
  <si>
    <t>https://www.theicct.org/sites/default/files/publications/ICCT_SuperTruck-program_20140610.pdf</t>
  </si>
  <si>
    <t>https://anl.app.box.com/s/3dfq5bvqrjni0veon68by33im7gsgchn</t>
  </si>
  <si>
    <t>Supertruck</t>
  </si>
  <si>
    <t>DD12</t>
  </si>
  <si>
    <t>Transfer Case Eff</t>
  </si>
  <si>
    <t>TransferCaseEff</t>
  </si>
  <si>
    <t>conv_cu.a_vehicle</t>
  </si>
  <si>
    <t>isg_cu.a_vehicle</t>
  </si>
  <si>
    <t>hev_cu.a_vehicle</t>
  </si>
  <si>
    <t>vpa.init.vocation</t>
  </si>
  <si>
    <t>vpa.init.reg_code</t>
  </si>
  <si>
    <t>Motor goals</t>
  </si>
  <si>
    <t>2018 AMR presentation elt000_rogers_2018_o.pdf</t>
  </si>
  <si>
    <t>Battery goals</t>
  </si>
  <si>
    <t>elt000</t>
  </si>
  <si>
    <t>width</t>
  </si>
  <si>
    <t>aspect ratio</t>
  </si>
  <si>
    <t>dia</t>
  </si>
  <si>
    <t>radius</t>
  </si>
  <si>
    <t>Startablity (%)</t>
  </si>
  <si>
    <t>Test Weight (lb)</t>
  </si>
  <si>
    <t>veh.plant.init.mass.total</t>
  </si>
  <si>
    <t>conv_su_au.a_vehicle</t>
  </si>
  <si>
    <t>hev_su_au.a_vehicle</t>
  </si>
  <si>
    <t>isg_su_au.a_vehicle</t>
  </si>
  <si>
    <t>Cruise Speed(mph)</t>
  </si>
  <si>
    <t>Grade Speed (mph)</t>
  </si>
  <si>
    <t>Percent Grade</t>
  </si>
  <si>
    <t>BatteryPackVoltage</t>
  </si>
  <si>
    <t>Range Cycle</t>
  </si>
  <si>
    <t>Regen Cycle</t>
  </si>
  <si>
    <t>ARB_Transient.a_cycle</t>
  </si>
  <si>
    <t>Cruise Grade(%)</t>
  </si>
  <si>
    <t>Test Weight (kg)</t>
  </si>
  <si>
    <t>TestWeight_kg_</t>
  </si>
  <si>
    <t>vpa.init.veh_class_name</t>
  </si>
  <si>
    <t>Rolling Resistance 2nd order</t>
  </si>
  <si>
    <t>RollingResistance2ndorder</t>
  </si>
  <si>
    <t>whl.plant.init.coeff_roll2</t>
  </si>
  <si>
    <t>ParHEV</t>
  </si>
  <si>
    <t>SeriesPHEV</t>
  </si>
  <si>
    <t>Beverage</t>
  </si>
  <si>
    <t>phev_su_au.a_vehicle</t>
  </si>
  <si>
    <t>90 percentile Daily Driving Range (m)</t>
  </si>
  <si>
    <t>x90PercentileDailyDrivingRange_m_</t>
  </si>
  <si>
    <t>vpa.init.veh_AER</t>
  </si>
  <si>
    <t>bev_su_au.a_vehicle</t>
  </si>
  <si>
    <t>fchev_su_au.a_vehicle</t>
  </si>
  <si>
    <t>bev_cu_au.a_vehicle</t>
  </si>
  <si>
    <t>phev_cu_au.a_vehicle</t>
  </si>
  <si>
    <t>fchev_cu_au.a_vehicle</t>
  </si>
  <si>
    <t>Drayage</t>
  </si>
  <si>
    <t>Pickup</t>
  </si>
  <si>
    <t>CityTransit</t>
  </si>
  <si>
    <t>trc.plant.init.eff_max</t>
  </si>
  <si>
    <t>NACFE2</t>
  </si>
  <si>
    <t>Regional</t>
  </si>
  <si>
    <t>Eaton Endurant</t>
  </si>
  <si>
    <t>Box</t>
  </si>
  <si>
    <t>fchev_b_cu_au.a_vehicle</t>
  </si>
  <si>
    <t>fchev_b_su_au.a_vehicle</t>
  </si>
  <si>
    <t>fchev_b_su.a_vehicle</t>
  </si>
  <si>
    <t>Sleeper</t>
  </si>
  <si>
    <t>DayCab</t>
  </si>
  <si>
    <t>Medium</t>
  </si>
  <si>
    <t>Heavy</t>
  </si>
  <si>
    <t>Efficiency Improvement Cost</t>
  </si>
  <si>
    <t>Transmission Improvement Cost</t>
  </si>
  <si>
    <t>Gravimetric Energy Density of Storage (kWh/kg)</t>
  </si>
  <si>
    <t>H2 to tank weight ratio</t>
  </si>
  <si>
    <t>GravimetricEnergyDensityOfStorage_kWh_kg_</t>
  </si>
  <si>
    <t>Gravimetric Energy Density Of Storage (kWh/kg)</t>
  </si>
  <si>
    <t>TankCost___kWh_</t>
  </si>
  <si>
    <t>Tank cost ($/kWh)</t>
  </si>
  <si>
    <t>fc.plant.cost.tank_cost_per_kWh</t>
  </si>
  <si>
    <t>*supertruck demonstrated 48.6% effieicny on average, while regular engines during that time were still at 46.8% (EPA RIA)</t>
  </si>
  <si>
    <t xml:space="preserve"> </t>
  </si>
  <si>
    <t>Charger Efficiency (%)</t>
  </si>
  <si>
    <t>Notes</t>
  </si>
  <si>
    <t>Engines</t>
  </si>
  <si>
    <t>StepVan</t>
  </si>
  <si>
    <t>Allison 3500RDS</t>
  </si>
  <si>
    <t>LonghaulFe</t>
  </si>
  <si>
    <t>LonghaulEx</t>
  </si>
  <si>
    <t>Longhaul</t>
  </si>
  <si>
    <t>Electric Traction Drive System Cost ($/kw)</t>
  </si>
  <si>
    <t>ElectricTractionDriveSystemCost___kw_</t>
  </si>
  <si>
    <t>VehicleImprovPC</t>
  </si>
  <si>
    <t>% improvements in Cd, frontal area, Crr, accessory loads etc.</t>
  </si>
  <si>
    <t>EPA_Phase2_65mph_rep5.a_cycle</t>
  </si>
  <si>
    <t>EPA_Phase2_55mph_rep5.a_cycle</t>
  </si>
  <si>
    <t>ARB_Transient_rep5.a_cycle</t>
  </si>
  <si>
    <t>% of national truck population by body type</t>
  </si>
  <si>
    <t>% of national energy use by body type</t>
  </si>
  <si>
    <t>the list of different type of vehicles in this work, and their share in energy use or population</t>
  </si>
  <si>
    <t>Baseline Specs</t>
  </si>
  <si>
    <t>the basic vehicle characteristics for present day vehicles (Cd, FA, Cr etc)</t>
  </si>
  <si>
    <t>Engine Eff</t>
  </si>
  <si>
    <t>Wheel</t>
  </si>
  <si>
    <t>wheel sizes for different categories of trucks</t>
  </si>
  <si>
    <t>electric drive train efficiency, weight (kW/kg) and cost assumptions ($/kW)</t>
  </si>
  <si>
    <t>assumptions for energy density and cost for battery packs</t>
  </si>
  <si>
    <t>RefVehicles</t>
  </si>
  <si>
    <t>Autonomie specific. basic slx files and a_vehicle files used for each category</t>
  </si>
  <si>
    <t xml:space="preserve">Autonomie Translation page is reserved for reading values into Autonomie. </t>
  </si>
  <si>
    <t>Market Segmentation</t>
  </si>
  <si>
    <t>Overview of all assumptions for the MD &amp; HD Analysis</t>
  </si>
  <si>
    <t>Electric machine peak eff</t>
  </si>
  <si>
    <t>inverter efficiency</t>
  </si>
  <si>
    <t>Tank fixed cost ($)</t>
  </si>
  <si>
    <t>Tank Cost ($/kg H2)</t>
  </si>
  <si>
    <t>Total Energy Cost ($/kWh)</t>
  </si>
  <si>
    <t xml:space="preserve">Total Pack Energy Density (Wh/kg) </t>
  </si>
  <si>
    <t>FCEV</t>
  </si>
  <si>
    <t>TotalPackEnergyDensity_Wh_kg_</t>
  </si>
  <si>
    <t>TotalEnergyCost___kWh_</t>
  </si>
  <si>
    <t>2022 Ford® Super Duty® F-450 XLT Truck | Model Details &amp; Specs</t>
  </si>
  <si>
    <t>2021 Ford® Transit Full-Size Cargo Van | Model Details &amp; Specs</t>
  </si>
  <si>
    <t>T250-350 has close to 4000lb cargo weight and GVWR between to 9k-10k lbs</t>
  </si>
  <si>
    <t>F450 pickups have 14000lb GVWR and ~5500lb cargo capacity</t>
  </si>
  <si>
    <t>NA</t>
  </si>
  <si>
    <t>fc.plant.init.tank_coeff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</si>
</sst>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0.000"/>
    <numFmt numFmtId="165" formatCode="0.0%"/>
  </numFmts>
  <fonts count="6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3F3F76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rgb="FFFA7D00"/>
      <name val="Calibri"/>
      <family val="2"/>
      <scheme val="minor"/>
    </font>
    <font>
      <sz val="10"/>
      <name val="Arial"/>
      <family val="2"/>
    </font>
    <font>
      <b/>
      <sz val="12"/>
      <color indexed="17"/>
      <name val="Calibri"/>
      <family val="2"/>
    </font>
    <font>
      <sz val="12"/>
      <color theme="1"/>
      <name val="Calibri"/>
      <family val="2"/>
    </font>
    <font>
      <sz val="12"/>
      <name val="Calibri"/>
      <family val="2"/>
      <scheme val="minor"/>
    </font>
    <font>
      <sz val="12"/>
      <color rgb="FF37682A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2"/>
      <color rgb="FF37682A"/>
      <name val="Calibri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37682A"/>
      <name val="Calibri"/>
      <family val="2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rgb="FFC6EFCE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medium">
        <color indexed="64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51">
    <xf numFmtId="0" fontId="0" fillId="0" borderId="0"/>
    <xf numFmtId="0" fontId="24" fillId="2" borderId="0" applyNumberFormat="0" applyBorder="0" applyAlignment="0" applyProtection="0"/>
    <xf numFmtId="0" fontId="25" fillId="3" borderId="0" applyNumberFormat="0" applyBorder="0" applyAlignment="0" applyProtection="0"/>
    <xf numFmtId="0" fontId="26" fillId="4" borderId="1" applyNumberFormat="0" applyAlignment="0" applyProtection="0"/>
    <xf numFmtId="0" fontId="27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31" fillId="2" borderId="0" applyNumberFormat="0" applyBorder="0" applyAlignment="0" applyProtection="0"/>
    <xf numFmtId="0" fontId="30" fillId="0" borderId="0"/>
    <xf numFmtId="44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3" fillId="0" borderId="0"/>
    <xf numFmtId="0" fontId="33" fillId="5" borderId="2" applyNumberFormat="0" applyAlignment="0" applyProtection="0"/>
    <xf numFmtId="0" fontId="31" fillId="2" borderId="0" applyNumberFormat="0" applyBorder="0" applyAlignment="0" applyProtection="0"/>
    <xf numFmtId="0" fontId="37" fillId="6" borderId="1" applyNumberFormat="0" applyAlignment="0" applyProtection="0"/>
    <xf numFmtId="0" fontId="29" fillId="0" borderId="0"/>
    <xf numFmtId="0" fontId="38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46" fillId="0" borderId="0" applyNumberFormat="0" applyFill="0" applyBorder="0" applyAlignment="0" applyProtection="0"/>
    <xf numFmtId="0" fontId="16" fillId="0" borderId="0"/>
    <xf numFmtId="0" fontId="23" fillId="12" borderId="26" applyNumberFormat="0" applyFont="0" applyAlignment="0" applyProtection="0"/>
    <xf numFmtId="9" fontId="23" fillId="0" borderId="0" applyFont="0" applyFill="0" applyBorder="0" applyAlignment="0" applyProtection="0"/>
  </cellStyleXfs>
  <cellXfs count="235">
    <xf numFmtId="0" fontId="0" fillId="0" borderId="0" xfId="0"/>
    <xf numFmtId="0" fontId="28" fillId="0" borderId="0" xfId="0" applyFont="1"/>
    <xf numFmtId="0" fontId="28" fillId="0" borderId="0" xfId="0" applyFont="1"/>
    <xf numFmtId="0" fontId="28" fillId="0" borderId="0" xfId="0" applyFont="1"/>
    <xf numFmtId="0" fontId="28" fillId="0" borderId="0" xfId="0" applyFont="1"/>
    <xf numFmtId="0" fontId="0" fillId="0" borderId="0" xfId="0"/>
    <xf numFmtId="0" fontId="17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5" fillId="0" borderId="0" xfId="2" applyFill="1"/>
    <xf numFmtId="0" fontId="35" fillId="2" borderId="8" xfId="18" applyFont="1" applyBorder="1" applyAlignment="1">
      <alignment horizontal="center" vertical="center" wrapText="1"/>
    </xf>
    <xf numFmtId="0" fontId="0" fillId="0" borderId="0" xfId="0" applyFont="1"/>
    <xf numFmtId="0" fontId="0" fillId="9" borderId="10" xfId="0" applyFont="1" applyFill="1" applyBorder="1"/>
    <xf numFmtId="0" fontId="0" fillId="0" borderId="10" xfId="0" applyFont="1" applyBorder="1"/>
    <xf numFmtId="0" fontId="42" fillId="8" borderId="6" xfId="3" applyFont="1" applyFill="1" applyBorder="1" applyAlignment="1">
      <alignment horizontal="center" vertical="center"/>
    </xf>
    <xf numFmtId="0" fontId="42" fillId="10" borderId="6" xfId="3" applyFont="1" applyFill="1" applyBorder="1" applyAlignment="1">
      <alignment horizontal="center" vertical="center" wrapText="1"/>
    </xf>
    <xf numFmtId="0" fontId="0" fillId="0" borderId="0" xfId="0" applyAlignment="1">
      <alignment textRotation="45"/>
    </xf>
    <xf numFmtId="0" fontId="0" fillId="0" borderId="0" xfId="0" applyAlignment="1">
      <alignment wrapText="1"/>
    </xf>
    <xf numFmtId="0" fontId="43" fillId="0" borderId="0" xfId="0" applyFont="1" applyAlignment="1">
      <alignment horizontal="right"/>
    </xf>
    <xf numFmtId="0" fontId="43" fillId="0" borderId="0" xfId="0" applyFont="1" applyAlignment="1">
      <alignment horizontal="right" vertical="center"/>
    </xf>
    <xf numFmtId="0" fontId="44" fillId="0" borderId="0" xfId="0" applyFont="1"/>
    <xf numFmtId="0" fontId="36" fillId="0" borderId="0" xfId="0" applyFont="1"/>
    <xf numFmtId="0" fontId="45" fillId="0" borderId="0" xfId="0" applyFont="1"/>
    <xf numFmtId="0" fontId="41" fillId="0" borderId="0" xfId="6" applyFont="1" applyFill="1"/>
    <xf numFmtId="0" fontId="46" fillId="0" borderId="0" xfId="47"/>
    <xf numFmtId="0" fontId="31" fillId="8" borderId="5" xfId="1" applyFont="1" applyFill="1" applyBorder="1" applyAlignment="1">
      <alignment horizontal="center" vertical="center" wrapText="1"/>
    </xf>
    <xf numFmtId="0" fontId="42" fillId="8" borderId="3" xfId="3" applyFont="1" applyFill="1" applyBorder="1" applyAlignment="1">
      <alignment horizontal="center" vertical="center"/>
    </xf>
    <xf numFmtId="0" fontId="42" fillId="8" borderId="14" xfId="3" applyFont="1" applyFill="1" applyBorder="1" applyAlignment="1">
      <alignment horizontal="center" vertical="center"/>
    </xf>
    <xf numFmtId="0" fontId="31" fillId="8" borderId="3" xfId="1" applyFont="1" applyFill="1" applyBorder="1" applyAlignment="1">
      <alignment horizontal="center" vertical="center" wrapText="1"/>
    </xf>
    <xf numFmtId="0" fontId="42" fillId="10" borderId="3" xfId="3" applyFont="1" applyFill="1" applyBorder="1" applyAlignment="1">
      <alignment horizontal="center" vertical="center" wrapText="1"/>
    </xf>
    <xf numFmtId="0" fontId="42" fillId="10" borderId="14" xfId="3" applyFont="1" applyFill="1" applyBorder="1" applyAlignment="1">
      <alignment horizontal="center" vertical="center" wrapText="1"/>
    </xf>
    <xf numFmtId="0" fontId="0" fillId="0" borderId="0" xfId="0" applyFont="1" applyBorder="1"/>
    <xf numFmtId="0" fontId="49" fillId="0" borderId="0" xfId="0" applyFont="1" applyBorder="1"/>
    <xf numFmtId="0" fontId="0" fillId="0" borderId="0" xfId="0" applyFont="1" applyAlignment="1">
      <alignment horizontal="left"/>
    </xf>
    <xf numFmtId="2" fontId="42" fillId="8" borderId="6" xfId="3" applyNumberFormat="1" applyFont="1" applyFill="1" applyBorder="1" applyAlignment="1">
      <alignment horizontal="center" vertical="center"/>
    </xf>
    <xf numFmtId="0" fontId="0" fillId="0" borderId="0" xfId="0" applyFill="1" applyBorder="1"/>
    <xf numFmtId="49" fontId="0" fillId="0" borderId="0" xfId="0" applyNumberFormat="1" applyAlignment="1">
      <alignment textRotation="45"/>
    </xf>
    <xf numFmtId="0" fontId="42" fillId="8" borderId="18" xfId="3" applyFont="1" applyFill="1" applyBorder="1" applyAlignment="1">
      <alignment horizontal="center" vertical="center"/>
    </xf>
    <xf numFmtId="0" fontId="42" fillId="8" borderId="19" xfId="3" applyFont="1" applyFill="1" applyBorder="1" applyAlignment="1">
      <alignment horizontal="center" vertical="center"/>
    </xf>
    <xf numFmtId="0" fontId="42" fillId="8" borderId="20" xfId="3" applyFont="1" applyFill="1" applyBorder="1" applyAlignment="1">
      <alignment horizontal="center" vertical="center"/>
    </xf>
    <xf numFmtId="0" fontId="0" fillId="0" borderId="0" xfId="0" applyFill="1"/>
    <xf numFmtId="0" fontId="31" fillId="8" borderId="6" xfId="1" applyFont="1" applyFill="1" applyBorder="1" applyAlignment="1">
      <alignment horizontal="center" vertical="center" wrapText="1"/>
    </xf>
    <xf numFmtId="0" fontId="42" fillId="8" borderId="23" xfId="3" applyFont="1" applyFill="1" applyBorder="1" applyAlignment="1">
      <alignment horizontal="center" vertical="center"/>
    </xf>
    <xf numFmtId="0" fontId="28" fillId="0" borderId="0" xfId="0" applyFont="1" applyAlignment="1">
      <alignment textRotation="45"/>
    </xf>
    <xf numFmtId="2" fontId="42" fillId="8" borderId="3" xfId="3" applyNumberFormat="1" applyFont="1" applyFill="1" applyBorder="1" applyAlignment="1">
      <alignment horizontal="center" vertical="center"/>
    </xf>
    <xf numFmtId="2" fontId="31" fillId="8" borderId="6" xfId="1" applyNumberFormat="1" applyFont="1" applyFill="1" applyBorder="1" applyAlignment="1">
      <alignment horizontal="center" vertical="center" wrapText="1"/>
    </xf>
    <xf numFmtId="0" fontId="42" fillId="13" borderId="6" xfId="3" applyFont="1" applyFill="1" applyBorder="1" applyAlignment="1">
      <alignment horizontal="center" vertical="center"/>
    </xf>
    <xf numFmtId="2" fontId="42" fillId="13" borderId="6" xfId="3" applyNumberFormat="1" applyFont="1" applyFill="1" applyBorder="1" applyAlignment="1">
      <alignment horizontal="center" vertical="center"/>
    </xf>
    <xf numFmtId="1" fontId="42" fillId="13" borderId="6" xfId="3" applyNumberFormat="1" applyFont="1" applyFill="1" applyBorder="1" applyAlignment="1">
      <alignment horizontal="center" vertical="center"/>
    </xf>
    <xf numFmtId="0" fontId="39" fillId="7" borderId="21" xfId="0" applyNumberFormat="1" applyFont="1" applyFill="1" applyBorder="1" applyAlignment="1" applyProtection="1">
      <alignment horizontal="center" vertical="center" textRotation="45" wrapText="1"/>
    </xf>
    <xf numFmtId="0" fontId="39" fillId="7" borderId="15" xfId="0" applyNumberFormat="1" applyFont="1" applyFill="1" applyBorder="1" applyAlignment="1" applyProtection="1">
      <alignment horizontal="center" vertical="center" textRotation="45" wrapText="1"/>
    </xf>
    <xf numFmtId="0" fontId="39" fillId="7" borderId="15" xfId="0" applyNumberFormat="1" applyFont="1" applyFill="1" applyBorder="1" applyAlignment="1" applyProtection="1">
      <alignment horizontal="left" vertical="center" textRotation="45" wrapText="1"/>
    </xf>
    <xf numFmtId="0" fontId="42" fillId="13" borderId="6" xfId="49" applyFont="1" applyFill="1" applyBorder="1" applyAlignment="1">
      <alignment horizontal="center" vertical="center"/>
    </xf>
    <xf numFmtId="0" fontId="45" fillId="0" borderId="0" xfId="0" applyFont="1" applyFill="1"/>
    <xf numFmtId="0" fontId="50" fillId="0" borderId="17" xfId="1" applyFont="1" applyFill="1" applyBorder="1" applyAlignment="1">
      <alignment horizontal="center" vertical="center" textRotation="45" wrapText="1"/>
    </xf>
    <xf numFmtId="0" fontId="50" fillId="0" borderId="16" xfId="1" applyFont="1" applyFill="1" applyBorder="1" applyAlignment="1">
      <alignment horizontal="center" vertical="center" textRotation="45" wrapText="1"/>
    </xf>
    <xf numFmtId="0" fontId="50" fillId="0" borderId="15" xfId="18" applyFont="1" applyFill="1" applyBorder="1" applyAlignment="1">
      <alignment horizontal="center" vertical="center" textRotation="45" wrapText="1"/>
    </xf>
    <xf numFmtId="0" fontId="50" fillId="0" borderId="24" xfId="18" applyFont="1" applyFill="1" applyBorder="1" applyAlignment="1">
      <alignment horizontal="right" vertical="center" textRotation="45" wrapText="1"/>
    </xf>
    <xf numFmtId="0" fontId="50" fillId="0" borderId="27" xfId="18" applyFont="1" applyFill="1" applyBorder="1" applyAlignment="1">
      <alignment horizontal="right" vertical="center" textRotation="45" wrapText="1"/>
    </xf>
    <xf numFmtId="0" fontId="50" fillId="0" borderId="5" xfId="18" applyFont="1" applyFill="1" applyBorder="1" applyAlignment="1">
      <alignment horizontal="center" vertical="center" textRotation="45" wrapText="1"/>
    </xf>
    <xf numFmtId="0" fontId="50" fillId="0" borderId="25" xfId="18" applyFont="1" applyFill="1" applyBorder="1" applyAlignment="1">
      <alignment horizontal="center" vertical="center" textRotation="45" wrapText="1"/>
    </xf>
    <xf numFmtId="0" fontId="0" fillId="0" borderId="0" xfId="0" applyFill="1" applyAlignment="1">
      <alignment textRotation="45"/>
    </xf>
    <xf numFmtId="0" fontId="51" fillId="0" borderId="6" xfId="3" applyFont="1" applyFill="1" applyBorder="1" applyAlignment="1">
      <alignment horizontal="center" vertical="center"/>
    </xf>
    <xf numFmtId="1" fontId="51" fillId="0" borderId="6" xfId="3" applyNumberFormat="1" applyFont="1" applyFill="1" applyBorder="1" applyAlignment="1">
      <alignment horizontal="center" vertical="center"/>
    </xf>
    <xf numFmtId="0" fontId="0" fillId="0" borderId="0" xfId="0" applyFill="1" applyAlignment="1"/>
    <xf numFmtId="0" fontId="51" fillId="0" borderId="15" xfId="3" applyFont="1" applyFill="1" applyBorder="1" applyAlignment="1">
      <alignment horizontal="center" vertical="center"/>
    </xf>
    <xf numFmtId="0" fontId="34" fillId="0" borderId="0" xfId="24" applyFont="1" applyFill="1"/>
    <xf numFmtId="0" fontId="36" fillId="0" borderId="0" xfId="0" applyFont="1" applyFill="1" applyAlignment="1">
      <alignment horizontal="left" vertical="center"/>
    </xf>
    <xf numFmtId="0" fontId="18" fillId="0" borderId="0" xfId="0" applyFont="1" applyFill="1"/>
    <xf numFmtId="2" fontId="0" fillId="0" borderId="0" xfId="0" applyNumberFormat="1" applyFill="1"/>
    <xf numFmtId="2" fontId="41" fillId="0" borderId="0" xfId="6" applyNumberFormat="1" applyFont="1" applyFill="1"/>
    <xf numFmtId="2" fontId="45" fillId="0" borderId="0" xfId="0" applyNumberFormat="1" applyFont="1" applyFill="1"/>
    <xf numFmtId="1" fontId="0" fillId="0" borderId="0" xfId="0" applyNumberFormat="1" applyFill="1"/>
    <xf numFmtId="0" fontId="35" fillId="0" borderId="16" xfId="18" applyFont="1" applyFill="1" applyBorder="1" applyAlignment="1">
      <alignment horizontal="center" vertical="top" textRotation="45" wrapText="1"/>
    </xf>
    <xf numFmtId="0" fontId="40" fillId="0" borderId="0" xfId="0" applyFont="1" applyFill="1"/>
    <xf numFmtId="0" fontId="0" fillId="0" borderId="28" xfId="0" applyFont="1" applyBorder="1"/>
    <xf numFmtId="0" fontId="50" fillId="0" borderId="15" xfId="18" applyFont="1" applyFill="1" applyBorder="1" applyAlignment="1">
      <alignment horizontal="left" vertical="center" textRotation="45" wrapText="1"/>
    </xf>
    <xf numFmtId="2" fontId="50" fillId="0" borderId="15" xfId="18" applyNumberFormat="1" applyFont="1" applyFill="1" applyBorder="1" applyAlignment="1">
      <alignment horizontal="left" vertical="center" textRotation="45" wrapText="1"/>
    </xf>
    <xf numFmtId="1" fontId="50" fillId="0" borderId="11" xfId="18" applyNumberFormat="1" applyFont="1" applyFill="1" applyBorder="1" applyAlignment="1">
      <alignment horizontal="left" vertical="center" textRotation="45" wrapText="1"/>
    </xf>
    <xf numFmtId="0" fontId="52" fillId="0" borderId="0" xfId="3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14" fillId="0" borderId="0" xfId="0" applyFont="1"/>
    <xf numFmtId="0" fontId="14" fillId="0" borderId="28" xfId="0" applyFont="1" applyBorder="1"/>
    <xf numFmtId="0" fontId="35" fillId="2" borderId="0" xfId="18" applyFont="1" applyBorder="1" applyAlignment="1">
      <alignment horizontal="center" vertical="center" wrapText="1"/>
    </xf>
    <xf numFmtId="2" fontId="42" fillId="8" borderId="0" xfId="3" applyNumberFormat="1" applyFont="1" applyFill="1" applyBorder="1" applyAlignment="1">
      <alignment horizontal="center" vertical="center"/>
    </xf>
    <xf numFmtId="0" fontId="14" fillId="0" borderId="0" xfId="0" applyFont="1" applyBorder="1"/>
    <xf numFmtId="0" fontId="13" fillId="0" borderId="0" xfId="0" applyFont="1"/>
    <xf numFmtId="0" fontId="12" fillId="0" borderId="0" xfId="0" applyFont="1"/>
    <xf numFmtId="1" fontId="0" fillId="0" borderId="0" xfId="0" applyNumberFormat="1" applyFill="1" applyBorder="1"/>
    <xf numFmtId="0" fontId="0" fillId="0" borderId="7" xfId="0" applyFill="1" applyBorder="1"/>
    <xf numFmtId="1" fontId="0" fillId="0" borderId="7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45" fillId="0" borderId="0" xfId="0" applyFont="1" applyFill="1" applyAlignment="1">
      <alignment horizontal="center"/>
    </xf>
    <xf numFmtId="0" fontId="50" fillId="14" borderId="15" xfId="18" applyFont="1" applyFill="1" applyBorder="1" applyAlignment="1">
      <alignment horizontal="left" vertical="center" textRotation="45" wrapText="1"/>
    </xf>
    <xf numFmtId="1" fontId="52" fillId="0" borderId="0" xfId="3" applyNumberFormat="1" applyFont="1" applyFill="1" applyBorder="1" applyAlignment="1">
      <alignment horizontal="center" vertical="center" wrapText="1"/>
    </xf>
    <xf numFmtId="0" fontId="53" fillId="0" borderId="11" xfId="18" applyFont="1" applyFill="1" applyBorder="1" applyAlignment="1">
      <alignment horizontal="left" vertical="center" textRotation="45" wrapText="1"/>
    </xf>
    <xf numFmtId="2" fontId="53" fillId="0" borderId="11" xfId="18" applyNumberFormat="1" applyFont="1" applyFill="1" applyBorder="1" applyAlignment="1">
      <alignment horizontal="left" vertical="center" textRotation="45" wrapText="1"/>
    </xf>
    <xf numFmtId="0" fontId="31" fillId="8" borderId="29" xfId="1" applyFont="1" applyFill="1" applyBorder="1" applyAlignment="1">
      <alignment horizontal="center" vertical="center" wrapText="1"/>
    </xf>
    <xf numFmtId="0" fontId="42" fillId="8" borderId="5" xfId="3" applyFont="1" applyFill="1" applyBorder="1" applyAlignment="1">
      <alignment horizontal="center" vertical="center"/>
    </xf>
    <xf numFmtId="0" fontId="31" fillId="8" borderId="14" xfId="1" applyFont="1" applyFill="1" applyBorder="1" applyAlignment="1">
      <alignment horizontal="center" vertical="center" wrapText="1"/>
    </xf>
    <xf numFmtId="0" fontId="42" fillId="8" borderId="29" xfId="3" applyFont="1" applyFill="1" applyBorder="1" applyAlignment="1">
      <alignment horizontal="center" vertical="center"/>
    </xf>
    <xf numFmtId="0" fontId="42" fillId="8" borderId="30" xfId="3" applyFont="1" applyFill="1" applyBorder="1" applyAlignment="1">
      <alignment horizontal="center" vertical="center"/>
    </xf>
    <xf numFmtId="0" fontId="35" fillId="2" borderId="31" xfId="18" applyFont="1" applyBorder="1" applyAlignment="1">
      <alignment horizontal="center" vertical="center" wrapText="1"/>
    </xf>
    <xf numFmtId="0" fontId="35" fillId="2" borderId="12" xfId="18" applyFont="1" applyBorder="1" applyAlignment="1">
      <alignment horizontal="center" vertical="center" wrapText="1"/>
    </xf>
    <xf numFmtId="0" fontId="35" fillId="2" borderId="32" xfId="18" applyFont="1" applyBorder="1" applyAlignment="1">
      <alignment horizontal="center" vertical="center" wrapText="1"/>
    </xf>
    <xf numFmtId="0" fontId="11" fillId="0" borderId="0" xfId="0" applyFont="1"/>
    <xf numFmtId="0" fontId="35" fillId="2" borderId="8" xfId="18" applyFont="1" applyFill="1" applyBorder="1" applyAlignment="1">
      <alignment horizontal="center" vertical="center" wrapText="1"/>
    </xf>
    <xf numFmtId="0" fontId="35" fillId="2" borderId="9" xfId="18" applyFont="1" applyFill="1" applyBorder="1" applyAlignment="1">
      <alignment horizontal="center" vertical="center" wrapText="1"/>
    </xf>
    <xf numFmtId="2" fontId="42" fillId="8" borderId="28" xfId="3" applyNumberFormat="1" applyFont="1" applyFill="1" applyBorder="1" applyAlignment="1">
      <alignment horizontal="center" vertical="center"/>
    </xf>
    <xf numFmtId="0" fontId="11" fillId="9" borderId="28" xfId="0" applyFont="1" applyFill="1" applyBorder="1" applyAlignment="1">
      <alignment horizontal="center" vertical="center"/>
    </xf>
    <xf numFmtId="2" fontId="11" fillId="9" borderId="10" xfId="0" applyNumberFormat="1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2" fontId="31" fillId="8" borderId="28" xfId="1" applyNumberFormat="1" applyFont="1" applyFill="1" applyBorder="1" applyAlignment="1">
      <alignment horizontal="center" vertical="center" wrapText="1"/>
    </xf>
    <xf numFmtId="164" fontId="41" fillId="0" borderId="0" xfId="6" applyNumberFormat="1" applyFont="1" applyFill="1"/>
    <xf numFmtId="0" fontId="10" fillId="0" borderId="0" xfId="0" applyFont="1"/>
    <xf numFmtId="0" fontId="9" fillId="0" borderId="0" xfId="0" applyFont="1"/>
    <xf numFmtId="0" fontId="54" fillId="0" borderId="0" xfId="0" applyFont="1"/>
    <xf numFmtId="0" fontId="8" fillId="0" borderId="0" xfId="0" applyFont="1" applyBorder="1"/>
    <xf numFmtId="0" fontId="42" fillId="13" borderId="15" xfId="3" applyFont="1" applyFill="1" applyBorder="1" applyAlignment="1">
      <alignment horizontal="center" vertical="center"/>
    </xf>
    <xf numFmtId="165" fontId="42" fillId="8" borderId="4" xfId="3" applyNumberFormat="1" applyFont="1" applyFill="1" applyBorder="1" applyAlignment="1">
      <alignment horizontal="center" vertical="center"/>
    </xf>
    <xf numFmtId="165" fontId="42" fillId="8" borderId="13" xfId="3" applyNumberFormat="1" applyFont="1" applyFill="1" applyBorder="1" applyAlignment="1">
      <alignment horizontal="center" vertical="center"/>
    </xf>
    <xf numFmtId="0" fontId="7" fillId="0" borderId="0" xfId="0" applyFont="1"/>
    <xf numFmtId="9" fontId="51" fillId="0" borderId="6" xfId="3" applyNumberFormat="1" applyFont="1" applyFill="1" applyBorder="1" applyAlignment="1">
      <alignment horizontal="center" vertical="center"/>
    </xf>
    <xf numFmtId="0" fontId="51" fillId="0" borderId="5" xfId="3" applyFont="1" applyFill="1" applyBorder="1" applyAlignment="1">
      <alignment horizontal="center" vertical="center"/>
    </xf>
    <xf numFmtId="0" fontId="55" fillId="2" borderId="17" xfId="1" applyFont="1" applyBorder="1" applyAlignment="1">
      <alignment horizontal="center" vertical="center" wrapText="1"/>
    </xf>
    <xf numFmtId="0" fontId="55" fillId="2" borderId="16" xfId="1" applyFont="1" applyBorder="1" applyAlignment="1">
      <alignment horizontal="center" vertical="center" wrapText="1"/>
    </xf>
    <xf numFmtId="0" fontId="55" fillId="11" borderId="15" xfId="18" applyFont="1" applyFill="1" applyBorder="1" applyAlignment="1">
      <alignment horizontal="center" vertical="center" wrapText="1"/>
    </xf>
    <xf numFmtId="0" fontId="55" fillId="2" borderId="11" xfId="1" applyFont="1" applyBorder="1" applyAlignment="1">
      <alignment horizontal="center" vertical="center" wrapText="1"/>
    </xf>
    <xf numFmtId="0" fontId="56" fillId="0" borderId="0" xfId="0" applyFont="1" applyFill="1"/>
    <xf numFmtId="2" fontId="56" fillId="0" borderId="0" xfId="0" applyNumberFormat="1" applyFont="1" applyFill="1"/>
    <xf numFmtId="0" fontId="57" fillId="0" borderId="0" xfId="3" applyFont="1" applyFill="1" applyBorder="1" applyAlignment="1">
      <alignment horizontal="center" vertical="center" wrapText="1"/>
    </xf>
    <xf numFmtId="1" fontId="57" fillId="0" borderId="0" xfId="3" applyNumberFormat="1" applyFont="1" applyFill="1" applyBorder="1" applyAlignment="1">
      <alignment horizontal="center" vertical="center" wrapText="1"/>
    </xf>
    <xf numFmtId="0" fontId="58" fillId="8" borderId="19" xfId="3" applyFont="1" applyFill="1" applyBorder="1" applyAlignment="1">
      <alignment horizontal="center" vertical="center"/>
    </xf>
    <xf numFmtId="0" fontId="58" fillId="8" borderId="6" xfId="3" applyFont="1" applyFill="1" applyBorder="1" applyAlignment="1">
      <alignment horizontal="center" vertical="center"/>
    </xf>
    <xf numFmtId="0" fontId="59" fillId="8" borderId="5" xfId="1" applyFont="1" applyFill="1" applyBorder="1" applyAlignment="1">
      <alignment horizontal="center" vertical="center" wrapText="1"/>
    </xf>
    <xf numFmtId="0" fontId="58" fillId="10" borderId="6" xfId="3" applyFont="1" applyFill="1" applyBorder="1" applyAlignment="1">
      <alignment horizontal="center" vertical="center" wrapText="1"/>
    </xf>
    <xf numFmtId="165" fontId="58" fillId="8" borderId="13" xfId="3" applyNumberFormat="1" applyFont="1" applyFill="1" applyBorder="1" applyAlignment="1">
      <alignment horizontal="center" vertical="center"/>
    </xf>
    <xf numFmtId="0" fontId="60" fillId="8" borderId="6" xfId="1" applyFont="1" applyFill="1" applyBorder="1" applyAlignment="1">
      <alignment horizontal="center" vertical="center" wrapText="1"/>
    </xf>
    <xf numFmtId="0" fontId="58" fillId="8" borderId="21" xfId="3" applyFont="1" applyFill="1" applyBorder="1" applyAlignment="1">
      <alignment horizontal="center" vertical="center"/>
    </xf>
    <xf numFmtId="0" fontId="58" fillId="8" borderId="15" xfId="3" applyFont="1" applyFill="1" applyBorder="1" applyAlignment="1">
      <alignment horizontal="center" vertical="center"/>
    </xf>
    <xf numFmtId="0" fontId="58" fillId="10" borderId="15" xfId="3" applyFont="1" applyFill="1" applyBorder="1" applyAlignment="1">
      <alignment horizontal="center" vertical="center" wrapText="1"/>
    </xf>
    <xf numFmtId="165" fontId="58" fillId="8" borderId="34" xfId="3" applyNumberFormat="1" applyFont="1" applyFill="1" applyBorder="1" applyAlignment="1">
      <alignment horizontal="center" vertical="center"/>
    </xf>
    <xf numFmtId="0" fontId="60" fillId="8" borderId="15" xfId="1" applyFont="1" applyFill="1" applyBorder="1" applyAlignment="1">
      <alignment horizontal="center" vertical="center" wrapText="1"/>
    </xf>
    <xf numFmtId="1" fontId="52" fillId="0" borderId="33" xfId="3" applyNumberFormat="1" applyFont="1" applyFill="1" applyBorder="1" applyAlignment="1">
      <alignment horizontal="center" vertical="center" wrapText="1"/>
    </xf>
    <xf numFmtId="0" fontId="50" fillId="14" borderId="11" xfId="18" applyFont="1" applyFill="1" applyBorder="1" applyAlignment="1">
      <alignment horizontal="left" vertical="center" textRotation="45" wrapText="1"/>
    </xf>
    <xf numFmtId="0" fontId="6" fillId="0" borderId="0" xfId="0" applyFont="1"/>
    <xf numFmtId="0" fontId="0" fillId="0" borderId="0" xfId="0" applyFont="1" applyFill="1"/>
    <xf numFmtId="2" fontId="0" fillId="0" borderId="0" xfId="0" applyNumberFormat="1" applyFont="1" applyFill="1"/>
    <xf numFmtId="0" fontId="50" fillId="14" borderId="36" xfId="1" applyFont="1" applyFill="1" applyBorder="1" applyAlignment="1">
      <alignment horizontal="center" vertical="center" textRotation="45" wrapText="1"/>
    </xf>
    <xf numFmtId="0" fontId="50" fillId="14" borderId="22" xfId="18" applyFont="1" applyFill="1" applyBorder="1" applyAlignment="1">
      <alignment horizontal="center" vertical="center" textRotation="45" wrapText="1"/>
    </xf>
    <xf numFmtId="0" fontId="50" fillId="14" borderId="22" xfId="18" applyFont="1" applyFill="1" applyBorder="1" applyAlignment="1">
      <alignment horizontal="left" vertical="center" textRotation="45" wrapText="1"/>
    </xf>
    <xf numFmtId="0" fontId="0" fillId="15" borderId="28" xfId="0" applyFont="1" applyFill="1" applyBorder="1"/>
    <xf numFmtId="0" fontId="50" fillId="14" borderId="35" xfId="1" applyFont="1" applyFill="1" applyBorder="1" applyAlignment="1">
      <alignment horizontal="center" vertical="center" textRotation="45" wrapText="1"/>
    </xf>
    <xf numFmtId="0" fontId="0" fillId="15" borderId="37" xfId="0" applyFont="1" applyFill="1" applyBorder="1"/>
    <xf numFmtId="0" fontId="0" fillId="0" borderId="37" xfId="0" applyFont="1" applyBorder="1"/>
    <xf numFmtId="9" fontId="0" fillId="15" borderId="28" xfId="0" applyNumberFormat="1" applyFont="1" applyFill="1" applyBorder="1"/>
    <xf numFmtId="9" fontId="0" fillId="0" borderId="28" xfId="0" applyNumberFormat="1" applyFont="1" applyBorder="1"/>
    <xf numFmtId="0" fontId="42" fillId="0" borderId="19" xfId="3" applyFont="1" applyFill="1" applyBorder="1" applyAlignment="1">
      <alignment horizontal="left" vertical="center"/>
    </xf>
    <xf numFmtId="0" fontId="50" fillId="14" borderId="38" xfId="1" applyFont="1" applyFill="1" applyBorder="1" applyAlignment="1">
      <alignment horizontal="center" vertical="center" textRotation="45" wrapText="1"/>
    </xf>
    <xf numFmtId="0" fontId="50" fillId="14" borderId="16" xfId="1" applyFont="1" applyFill="1" applyBorder="1" applyAlignment="1">
      <alignment horizontal="center" vertical="center" textRotation="45" wrapText="1"/>
    </xf>
    <xf numFmtId="0" fontId="50" fillId="14" borderId="15" xfId="18" applyFont="1" applyFill="1" applyBorder="1" applyAlignment="1">
      <alignment horizontal="center" vertical="center" textRotation="45" wrapText="1"/>
    </xf>
    <xf numFmtId="2" fontId="50" fillId="14" borderId="15" xfId="18" applyNumberFormat="1" applyFont="1" applyFill="1" applyBorder="1" applyAlignment="1">
      <alignment horizontal="left" vertical="center" textRotation="45" wrapText="1"/>
    </xf>
    <xf numFmtId="0" fontId="50" fillId="14" borderId="39" xfId="18" applyFont="1" applyFill="1" applyBorder="1" applyAlignment="1">
      <alignment horizontal="left" vertical="center" textRotation="45" wrapText="1"/>
    </xf>
    <xf numFmtId="0" fontId="0" fillId="15" borderId="33" xfId="0" applyFont="1" applyFill="1" applyBorder="1"/>
    <xf numFmtId="2" fontId="0" fillId="15" borderId="33" xfId="0" applyNumberFormat="1" applyFont="1" applyFill="1" applyBorder="1"/>
    <xf numFmtId="0" fontId="52" fillId="15" borderId="33" xfId="3" applyFont="1" applyFill="1" applyBorder="1" applyAlignment="1">
      <alignment horizontal="center" vertical="center" wrapText="1"/>
    </xf>
    <xf numFmtId="1" fontId="52" fillId="15" borderId="33" xfId="3" applyNumberFormat="1" applyFont="1" applyFill="1" applyBorder="1" applyAlignment="1">
      <alignment horizontal="center" vertical="center" wrapText="1"/>
    </xf>
    <xf numFmtId="0" fontId="0" fillId="0" borderId="33" xfId="0" applyFont="1" applyBorder="1"/>
    <xf numFmtId="2" fontId="0" fillId="0" borderId="33" xfId="0" applyNumberFormat="1" applyFont="1" applyBorder="1"/>
    <xf numFmtId="0" fontId="52" fillId="0" borderId="33" xfId="3" applyFont="1" applyFill="1" applyBorder="1" applyAlignment="1">
      <alignment horizontal="center" vertical="center" wrapText="1"/>
    </xf>
    <xf numFmtId="0" fontId="56" fillId="15" borderId="33" xfId="0" applyFont="1" applyFill="1" applyBorder="1"/>
    <xf numFmtId="0" fontId="56" fillId="0" borderId="33" xfId="0" applyFont="1" applyBorder="1"/>
    <xf numFmtId="0" fontId="61" fillId="8" borderId="3" xfId="3" applyFont="1" applyFill="1" applyBorder="1" applyAlignment="1">
      <alignment horizontal="center" vertical="center"/>
    </xf>
    <xf numFmtId="0" fontId="55" fillId="8" borderId="3" xfId="1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0" fontId="51" fillId="0" borderId="6" xfId="3" applyNumberFormat="1" applyFont="1" applyFill="1" applyBorder="1" applyAlignment="1">
      <alignment horizontal="center" vertical="center"/>
    </xf>
    <xf numFmtId="0" fontId="42" fillId="13" borderId="6" xfId="3" applyNumberFormat="1" applyFont="1" applyFill="1" applyBorder="1" applyAlignment="1">
      <alignment horizontal="center" vertical="center"/>
    </xf>
    <xf numFmtId="9" fontId="51" fillId="16" borderId="6" xfId="50" applyFont="1" applyFill="1" applyBorder="1" applyAlignment="1">
      <alignment horizontal="center" vertical="center"/>
    </xf>
    <xf numFmtId="9" fontId="42" fillId="13" borderId="6" xfId="3" applyNumberFormat="1" applyFont="1" applyFill="1" applyBorder="1" applyAlignment="1">
      <alignment horizontal="center" vertical="center"/>
    </xf>
    <xf numFmtId="0" fontId="39" fillId="7" borderId="33" xfId="0" applyNumberFormat="1" applyFont="1" applyFill="1" applyBorder="1" applyAlignment="1" applyProtection="1">
      <alignment horizontal="left" vertical="center" textRotation="45" wrapText="1"/>
    </xf>
    <xf numFmtId="0" fontId="42" fillId="13" borderId="33" xfId="3" applyFont="1" applyFill="1" applyBorder="1" applyAlignment="1">
      <alignment horizontal="center" vertical="center"/>
    </xf>
    <xf numFmtId="1" fontId="42" fillId="13" borderId="33" xfId="3" applyNumberFormat="1" applyFont="1" applyFill="1" applyBorder="1" applyAlignment="1">
      <alignment horizontal="center" vertical="center"/>
    </xf>
    <xf numFmtId="0" fontId="42" fillId="13" borderId="33" xfId="49" applyFont="1" applyFill="1" applyBorder="1" applyAlignment="1">
      <alignment horizontal="center" vertical="center"/>
    </xf>
    <xf numFmtId="9" fontId="51" fillId="13" borderId="6" xfId="50" applyFont="1" applyFill="1" applyBorder="1" applyAlignment="1">
      <alignment horizontal="center" vertical="center"/>
    </xf>
    <xf numFmtId="0" fontId="61" fillId="8" borderId="5" xfId="3" applyFont="1" applyFill="1" applyBorder="1" applyAlignment="1">
      <alignment horizontal="center" vertical="center"/>
    </xf>
    <xf numFmtId="9" fontId="51" fillId="13" borderId="15" xfId="50" applyFont="1" applyFill="1" applyBorder="1" applyAlignment="1">
      <alignment horizontal="center" vertical="center"/>
    </xf>
    <xf numFmtId="1" fontId="42" fillId="13" borderId="6" xfId="49" applyNumberFormat="1" applyFont="1" applyFill="1" applyBorder="1" applyAlignment="1">
      <alignment horizontal="center" vertical="center"/>
    </xf>
    <xf numFmtId="0" fontId="42" fillId="13" borderId="15" xfId="3" applyNumberFormat="1" applyFont="1" applyFill="1" applyBorder="1" applyAlignment="1">
      <alignment horizontal="center" vertical="center"/>
    </xf>
    <xf numFmtId="9" fontId="42" fillId="13" borderId="15" xfId="3" applyNumberFormat="1" applyFont="1" applyFill="1" applyBorder="1" applyAlignment="1">
      <alignment horizontal="center" vertical="center"/>
    </xf>
    <xf numFmtId="1" fontId="42" fillId="13" borderId="15" xfId="3" applyNumberFormat="1" applyFont="1" applyFill="1" applyBorder="1" applyAlignment="1">
      <alignment horizontal="center" vertical="center"/>
    </xf>
    <xf numFmtId="0" fontId="4" fillId="0" borderId="0" xfId="0" applyFont="1"/>
    <xf numFmtId="1" fontId="50" fillId="14" borderId="15" xfId="18" applyNumberFormat="1" applyFont="1" applyFill="1" applyBorder="1" applyAlignment="1">
      <alignment horizontal="center" vertical="center" textRotation="45" wrapText="1"/>
    </xf>
    <xf numFmtId="1" fontId="0" fillId="15" borderId="33" xfId="0" applyNumberFormat="1" applyFont="1" applyFill="1" applyBorder="1"/>
    <xf numFmtId="1" fontId="0" fillId="0" borderId="33" xfId="0" applyNumberFormat="1" applyFont="1" applyBorder="1"/>
    <xf numFmtId="1" fontId="56" fillId="15" borderId="33" xfId="0" applyNumberFormat="1" applyFont="1" applyFill="1" applyBorder="1"/>
    <xf numFmtId="1" fontId="56" fillId="0" borderId="33" xfId="0" applyNumberFormat="1" applyFont="1" applyBorder="1"/>
    <xf numFmtId="0" fontId="3" fillId="0" borderId="0" xfId="0" applyFont="1"/>
    <xf numFmtId="165" fontId="0" fillId="0" borderId="0" xfId="0" applyNumberFormat="1" applyFill="1" applyBorder="1"/>
    <xf numFmtId="165" fontId="0" fillId="0" borderId="0" xfId="0" applyNumberFormat="1" applyFill="1"/>
    <xf numFmtId="165" fontId="0" fillId="0" borderId="7" xfId="0" applyNumberFormat="1" applyFill="1" applyBorder="1"/>
    <xf numFmtId="0" fontId="50" fillId="0" borderId="21" xfId="18" applyFont="1" applyFill="1" applyBorder="1" applyAlignment="1">
      <alignment horizontal="center" vertical="center" textRotation="45" wrapText="1"/>
    </xf>
    <xf numFmtId="0" fontId="50" fillId="14" borderId="16" xfId="18" applyFont="1" applyFill="1" applyBorder="1" applyAlignment="1">
      <alignment horizontal="center" vertical="center" textRotation="45" wrapText="1"/>
    </xf>
    <xf numFmtId="0" fontId="50" fillId="0" borderId="42" xfId="18" applyFont="1" applyFill="1" applyBorder="1" applyAlignment="1">
      <alignment horizontal="center" vertical="center" textRotation="45" wrapText="1"/>
    </xf>
    <xf numFmtId="0" fontId="2" fillId="0" borderId="43" xfId="0" applyFont="1" applyFill="1" applyBorder="1" applyAlignment="1">
      <alignment horizontal="center" vertical="center"/>
    </xf>
    <xf numFmtId="165" fontId="2" fillId="0" borderId="43" xfId="0" applyNumberFormat="1" applyFont="1" applyFill="1" applyBorder="1" applyAlignment="1">
      <alignment horizontal="center" vertical="center"/>
    </xf>
    <xf numFmtId="1" fontId="2" fillId="0" borderId="43" xfId="0" applyNumberFormat="1" applyFont="1" applyFill="1" applyBorder="1" applyAlignment="1">
      <alignment horizontal="center" vertical="center"/>
    </xf>
    <xf numFmtId="0" fontId="0" fillId="0" borderId="43" xfId="0" applyFill="1" applyBorder="1"/>
    <xf numFmtId="0" fontId="2" fillId="0" borderId="28" xfId="0" applyFont="1" applyFill="1" applyBorder="1" applyAlignment="1">
      <alignment horizontal="center" vertical="center"/>
    </xf>
    <xf numFmtId="165" fontId="2" fillId="0" borderId="28" xfId="0" applyNumberFormat="1" applyFont="1" applyFill="1" applyBorder="1" applyAlignment="1">
      <alignment horizontal="center" vertical="center"/>
    </xf>
    <xf numFmtId="1" fontId="2" fillId="0" borderId="28" xfId="0" applyNumberFormat="1" applyFont="1" applyFill="1" applyBorder="1" applyAlignment="1">
      <alignment horizontal="center" vertical="center"/>
    </xf>
    <xf numFmtId="0" fontId="0" fillId="0" borderId="33" xfId="0" applyFill="1" applyBorder="1"/>
    <xf numFmtId="0" fontId="2" fillId="0" borderId="33" xfId="0" applyFont="1" applyFill="1" applyBorder="1" applyAlignment="1">
      <alignment horizontal="center" vertical="center"/>
    </xf>
    <xf numFmtId="165" fontId="2" fillId="0" borderId="33" xfId="0" applyNumberFormat="1" applyFont="1" applyFill="1" applyBorder="1" applyAlignment="1">
      <alignment horizontal="center" vertical="center"/>
    </xf>
    <xf numFmtId="1" fontId="2" fillId="0" borderId="33" xfId="0" applyNumberFormat="1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165" fontId="2" fillId="0" borderId="41" xfId="0" applyNumberFormat="1" applyFont="1" applyFill="1" applyBorder="1" applyAlignment="1">
      <alignment horizontal="center" vertical="center"/>
    </xf>
    <xf numFmtId="1" fontId="2" fillId="0" borderId="41" xfId="0" applyNumberFormat="1" applyFont="1" applyFill="1" applyBorder="1" applyAlignment="1">
      <alignment horizontal="center" vertical="center"/>
    </xf>
    <xf numFmtId="0" fontId="0" fillId="0" borderId="40" xfId="0" applyFill="1" applyBorder="1"/>
    <xf numFmtId="0" fontId="2" fillId="0" borderId="40" xfId="0" applyFont="1" applyFill="1" applyBorder="1" applyAlignment="1">
      <alignment horizontal="center" vertical="center"/>
    </xf>
    <xf numFmtId="1" fontId="2" fillId="0" borderId="40" xfId="0" applyNumberFormat="1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1" fontId="62" fillId="0" borderId="33" xfId="0" applyNumberFormat="1" applyFont="1" applyFill="1" applyBorder="1" applyAlignment="1">
      <alignment horizontal="center" vertical="center"/>
    </xf>
    <xf numFmtId="165" fontId="2" fillId="0" borderId="44" xfId="0" applyNumberFormat="1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/>
    </xf>
    <xf numFmtId="165" fontId="2" fillId="0" borderId="45" xfId="0" applyNumberFormat="1" applyFont="1" applyFill="1" applyBorder="1" applyAlignment="1">
      <alignment horizontal="center" vertical="center"/>
    </xf>
    <xf numFmtId="0" fontId="1" fillId="0" borderId="43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1" fontId="0" fillId="0" borderId="0" xfId="0" applyNumberFormat="1"/>
    <xf numFmtId="0" fontId="42" fillId="17" borderId="6" xfId="3" applyFont="1" applyFill="1" applyBorder="1" applyAlignment="1">
      <alignment horizontal="center" vertical="center"/>
    </xf>
  </cellXfs>
  <cellStyles count="51">
    <cellStyle name="Bad" xfId="2" builtinId="27"/>
    <cellStyle name="Calculation 2" xfId="19"/>
    <cellStyle name="Check Cell 2" xfId="17"/>
    <cellStyle name="Currency 2" xfId="11"/>
    <cellStyle name="Good" xfId="1" builtinId="26"/>
    <cellStyle name="Good 2" xfId="9"/>
    <cellStyle name="Good 3" xfId="18"/>
    <cellStyle name="Hyperlink" xfId="47" builtinId="8"/>
    <cellStyle name="Input" xfId="3" builtinId="20"/>
    <cellStyle name="Normal" xfId="0" builtinId="0"/>
    <cellStyle name="Normal 10" xfId="48"/>
    <cellStyle name="Normal 2" xfId="6"/>
    <cellStyle name="Normal 2 2" xfId="7"/>
    <cellStyle name="Normal 2 2 2" xfId="24"/>
    <cellStyle name="Normal 2 3" xfId="23"/>
    <cellStyle name="Normal 3" xfId="8"/>
    <cellStyle name="Normal 3 2" xfId="25"/>
    <cellStyle name="Normal 4" xfId="5"/>
    <cellStyle name="Normal 4 2" xfId="14"/>
    <cellStyle name="Normal 4 2 2" xfId="27"/>
    <cellStyle name="Normal 4 2 2 2" xfId="40"/>
    <cellStyle name="Normal 4 2 3" xfId="32"/>
    <cellStyle name="Normal 4 2 4" xfId="36"/>
    <cellStyle name="Normal 4 2 5" xfId="39"/>
    <cellStyle name="Normal 4 3" xfId="22"/>
    <cellStyle name="Normal 4 3 2" xfId="41"/>
    <cellStyle name="Normal 4 4" xfId="30"/>
    <cellStyle name="Normal 4 5" xfId="34"/>
    <cellStyle name="Normal 4 6" xfId="38"/>
    <cellStyle name="Normal 5" xfId="10"/>
    <cellStyle name="Normal 6" xfId="13"/>
    <cellStyle name="Normal 6 2" xfId="15"/>
    <cellStyle name="Normal 6 2 2" xfId="28"/>
    <cellStyle name="Normal 6 2 2 2" xfId="44"/>
    <cellStyle name="Normal 6 2 3" xfId="33"/>
    <cellStyle name="Normal 6 2 4" xfId="37"/>
    <cellStyle name="Normal 6 2 5" xfId="43"/>
    <cellStyle name="Normal 6 3" xfId="26"/>
    <cellStyle name="Normal 6 3 2" xfId="45"/>
    <cellStyle name="Normal 6 4" xfId="31"/>
    <cellStyle name="Normal 6 5" xfId="35"/>
    <cellStyle name="Normal 6 6" xfId="42"/>
    <cellStyle name="Normal 7" xfId="16"/>
    <cellStyle name="Normal 7 2" xfId="20"/>
    <cellStyle name="Normal 7 2 2" xfId="29"/>
    <cellStyle name="Normal 8" xfId="4"/>
    <cellStyle name="Normal 9" xfId="21"/>
    <cellStyle name="Normal 9 2" xfId="46"/>
    <cellStyle name="Note" xfId="49" builtinId="10"/>
    <cellStyle name="Percent" xfId="50" builtinId="5"/>
    <cellStyle name="Percent 2" xfId="12"/>
  </cellStyles>
  <dxfs count="1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30" formatCode="@"/>
      <alignment horizontal="general" vertical="bottom" textRotation="45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17"/>
        <name val="Calibri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left" vertical="center" textRotation="45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minor"/>
      </font>
      <numFmt numFmtId="165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45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top style="medium">
          <color indexed="64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45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border outline="0"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numFmt numFmtId="165" formatCode="0.0%"/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682A"/>
        <name val="Calibri"/>
        <scheme val="none"/>
      </font>
      <fill>
        <patternFill patternType="solid">
          <fgColor indexed="64"/>
          <bgColor theme="6" tint="0.79995117038483843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medium">
          <color rgb="FF000000"/>
        </lef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682A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682A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682A"/>
        <name val="Calibri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682A"/>
        <name val="Calibri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682A"/>
        <name val="Calibri"/>
        <scheme val="none"/>
      </font>
      <numFmt numFmtId="165" formatCode="0.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682A"/>
        <name val="Calibri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682A"/>
        <name val="Calibri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682A"/>
        <name val="Calibri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682A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45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682A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682A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682A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682A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682A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682A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682A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medium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682A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45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3768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Sleeper, DayCab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200237178514885"/>
          <c:y val="0.2237707390648567"/>
          <c:w val="0.64629202105350658"/>
          <c:h val="0.50833600551062341"/>
        </c:manualLayout>
      </c:layout>
      <c:scatterChart>
        <c:scatterStyle val="lineMarker"/>
        <c:varyColors val="0"/>
        <c:ser>
          <c:idx val="0"/>
          <c:order val="0"/>
          <c:tx>
            <c:v>High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'Engine Eff'!$A$2:$A$7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2027</c:v>
                </c:pt>
                <c:pt idx="3">
                  <c:v>2030</c:v>
                </c:pt>
                <c:pt idx="4">
                  <c:v>2035</c:v>
                </c:pt>
                <c:pt idx="5">
                  <c:v>2050</c:v>
                </c:pt>
              </c:numCache>
            </c:numRef>
          </c:xVal>
          <c:yVal>
            <c:numRef>
              <c:f>'Engine Eff'!$E$2:$E$7</c:f>
              <c:numCache>
                <c:formatCode>0.0%</c:formatCode>
                <c:ptCount val="6"/>
                <c:pt idx="0">
                  <c:v>0.48599999999999999</c:v>
                </c:pt>
                <c:pt idx="1">
                  <c:v>0.50800000000000001</c:v>
                </c:pt>
                <c:pt idx="2">
                  <c:v>0.52</c:v>
                </c:pt>
                <c:pt idx="3">
                  <c:v>0.54</c:v>
                </c:pt>
                <c:pt idx="4">
                  <c:v>0.56999999999999995</c:v>
                </c:pt>
                <c:pt idx="5">
                  <c:v>0.59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55-497B-AF3A-86DF7470BF72}"/>
            </c:ext>
          </c:extLst>
        </c:ser>
        <c:ser>
          <c:idx val="1"/>
          <c:order val="1"/>
          <c:tx>
            <c:v>Low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'Engine Eff'!$A$8:$A$14</c:f>
              <c:numCache>
                <c:formatCode>General</c:formatCode>
                <c:ptCount val="7"/>
                <c:pt idx="0">
                  <c:v>2017</c:v>
                </c:pt>
                <c:pt idx="1">
                  <c:v>2021</c:v>
                </c:pt>
                <c:pt idx="2">
                  <c:v>2025</c:v>
                </c:pt>
                <c:pt idx="3">
                  <c:v>2027</c:v>
                </c:pt>
                <c:pt idx="4">
                  <c:v>2030</c:v>
                </c:pt>
                <c:pt idx="5">
                  <c:v>2035</c:v>
                </c:pt>
                <c:pt idx="6">
                  <c:v>2050</c:v>
                </c:pt>
              </c:numCache>
            </c:numRef>
          </c:xVal>
          <c:yVal>
            <c:numRef>
              <c:f>'Engine Eff'!$E$8:$E$14</c:f>
              <c:numCache>
                <c:formatCode>0.0%</c:formatCode>
                <c:ptCount val="7"/>
                <c:pt idx="0">
                  <c:v>0.46761999999999998</c:v>
                </c:pt>
                <c:pt idx="1">
                  <c:v>0.46800000000000003</c:v>
                </c:pt>
                <c:pt idx="2">
                  <c:v>0.48499999999999999</c:v>
                </c:pt>
                <c:pt idx="3">
                  <c:v>0.495</c:v>
                </c:pt>
                <c:pt idx="4">
                  <c:v>0.502</c:v>
                </c:pt>
                <c:pt idx="5">
                  <c:v>0.51</c:v>
                </c:pt>
                <c:pt idx="6">
                  <c:v>0.54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55-497B-AF3A-86DF7470B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157600"/>
        <c:axId val="698158912"/>
      </c:scatterChart>
      <c:valAx>
        <c:axId val="69815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58912"/>
        <c:crosses val="autoZero"/>
        <c:crossBetween val="midCat"/>
      </c:valAx>
      <c:valAx>
        <c:axId val="69815891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Engine peak efficiency</a:t>
                </a:r>
              </a:p>
            </c:rich>
          </c:tx>
          <c:layout>
            <c:manualLayout>
              <c:xMode val="edge"/>
              <c:yMode val="edge"/>
              <c:x val="4.1131094297621788E-2"/>
              <c:y val="0.115173453996983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57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704337063380209"/>
          <c:y val="0.49499174594125966"/>
          <c:w val="0.17886925116038807"/>
          <c:h val="0.265418036337690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Heavy Vocational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200237178514885"/>
          <c:y val="0.2237707390648567"/>
          <c:w val="0.64629202105350658"/>
          <c:h val="0.50833600551062341"/>
        </c:manualLayout>
      </c:layout>
      <c:scatterChart>
        <c:scatterStyle val="lineMarker"/>
        <c:varyColors val="0"/>
        <c:ser>
          <c:idx val="0"/>
          <c:order val="0"/>
          <c:tx>
            <c:v>High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'Engine Eff'!$A$15:$A$20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2027</c:v>
                </c:pt>
                <c:pt idx="3">
                  <c:v>2030</c:v>
                </c:pt>
                <c:pt idx="4">
                  <c:v>2035</c:v>
                </c:pt>
                <c:pt idx="5">
                  <c:v>2050</c:v>
                </c:pt>
              </c:numCache>
            </c:numRef>
          </c:xVal>
          <c:yVal>
            <c:numRef>
              <c:f>'Engine Eff'!$E$15:$E$20</c:f>
              <c:numCache>
                <c:formatCode>0.0%</c:formatCode>
                <c:ptCount val="6"/>
                <c:pt idx="0">
                  <c:v>0.41</c:v>
                </c:pt>
                <c:pt idx="1">
                  <c:v>0.44500000000000001</c:v>
                </c:pt>
                <c:pt idx="2">
                  <c:v>0.46</c:v>
                </c:pt>
                <c:pt idx="3">
                  <c:v>0.46800000000000003</c:v>
                </c:pt>
                <c:pt idx="4">
                  <c:v>0.48</c:v>
                </c:pt>
                <c:pt idx="5">
                  <c:v>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EF-4B85-9AF7-91F05D02EF1D}"/>
            </c:ext>
          </c:extLst>
        </c:ser>
        <c:ser>
          <c:idx val="1"/>
          <c:order val="1"/>
          <c:tx>
            <c:v>Low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'Engine Eff'!$A$21:$A$27</c:f>
              <c:numCache>
                <c:formatCode>General</c:formatCode>
                <c:ptCount val="7"/>
                <c:pt idx="0">
                  <c:v>2017</c:v>
                </c:pt>
                <c:pt idx="1">
                  <c:v>2021</c:v>
                </c:pt>
                <c:pt idx="2">
                  <c:v>2025</c:v>
                </c:pt>
                <c:pt idx="3">
                  <c:v>2027</c:v>
                </c:pt>
                <c:pt idx="4">
                  <c:v>2030</c:v>
                </c:pt>
                <c:pt idx="5">
                  <c:v>2035</c:v>
                </c:pt>
                <c:pt idx="6">
                  <c:v>2050</c:v>
                </c:pt>
              </c:numCache>
            </c:numRef>
          </c:xVal>
          <c:yVal>
            <c:numRef>
              <c:f>'Engine Eff'!$E$21:$E$27</c:f>
              <c:numCache>
                <c:formatCode>0.0%</c:formatCode>
                <c:ptCount val="7"/>
                <c:pt idx="0">
                  <c:v>0.39</c:v>
                </c:pt>
                <c:pt idx="1">
                  <c:v>0.41</c:v>
                </c:pt>
                <c:pt idx="2">
                  <c:v>0.43</c:v>
                </c:pt>
                <c:pt idx="3">
                  <c:v>0.44</c:v>
                </c:pt>
                <c:pt idx="4">
                  <c:v>0.44800000000000001</c:v>
                </c:pt>
                <c:pt idx="5">
                  <c:v>0.46</c:v>
                </c:pt>
                <c:pt idx="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EF-4B85-9AF7-91F05D02E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157600"/>
        <c:axId val="698158912"/>
      </c:scatterChart>
      <c:valAx>
        <c:axId val="69815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58912"/>
        <c:crosses val="autoZero"/>
        <c:crossBetween val="midCat"/>
      </c:valAx>
      <c:valAx>
        <c:axId val="69815891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Engine peak efficiency</a:t>
                </a:r>
              </a:p>
            </c:rich>
          </c:tx>
          <c:layout>
            <c:manualLayout>
              <c:xMode val="edge"/>
              <c:yMode val="edge"/>
              <c:x val="4.1131094297621788E-2"/>
              <c:y val="0.115173453996983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57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704337063380209"/>
          <c:y val="0.49499174594125966"/>
          <c:w val="0.17886925116038807"/>
          <c:h val="0.247403237491241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Medium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200237178514885"/>
          <c:y val="0.2237707390648567"/>
          <c:w val="0.64629202105350658"/>
          <c:h val="0.50833600551062341"/>
        </c:manualLayout>
      </c:layout>
      <c:scatterChart>
        <c:scatterStyle val="lineMarker"/>
        <c:varyColors val="0"/>
        <c:ser>
          <c:idx val="0"/>
          <c:order val="0"/>
          <c:tx>
            <c:v>High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'Engine Eff'!$A$28:$A$33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2027</c:v>
                </c:pt>
                <c:pt idx="3">
                  <c:v>2030</c:v>
                </c:pt>
                <c:pt idx="4">
                  <c:v>2035</c:v>
                </c:pt>
                <c:pt idx="5">
                  <c:v>2050</c:v>
                </c:pt>
              </c:numCache>
            </c:numRef>
          </c:xVal>
          <c:yVal>
            <c:numRef>
              <c:f>'Engine Eff'!$E$28:$E$33</c:f>
              <c:numCache>
                <c:formatCode>0.0%</c:formatCode>
                <c:ptCount val="6"/>
                <c:pt idx="0">
                  <c:v>0.41</c:v>
                </c:pt>
                <c:pt idx="1">
                  <c:v>0.44500000000000001</c:v>
                </c:pt>
                <c:pt idx="2">
                  <c:v>0.46</c:v>
                </c:pt>
                <c:pt idx="3">
                  <c:v>0.46800000000000003</c:v>
                </c:pt>
                <c:pt idx="4">
                  <c:v>0.48</c:v>
                </c:pt>
                <c:pt idx="5">
                  <c:v>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54-4418-B830-9E05B40FE3BA}"/>
            </c:ext>
          </c:extLst>
        </c:ser>
        <c:ser>
          <c:idx val="1"/>
          <c:order val="1"/>
          <c:tx>
            <c:v>Low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'Engine Eff'!$A$34:$A$40</c:f>
              <c:numCache>
                <c:formatCode>General</c:formatCode>
                <c:ptCount val="7"/>
                <c:pt idx="0">
                  <c:v>2017</c:v>
                </c:pt>
                <c:pt idx="1">
                  <c:v>2021</c:v>
                </c:pt>
                <c:pt idx="2">
                  <c:v>2025</c:v>
                </c:pt>
                <c:pt idx="3">
                  <c:v>2027</c:v>
                </c:pt>
                <c:pt idx="4">
                  <c:v>2030</c:v>
                </c:pt>
                <c:pt idx="5">
                  <c:v>2035</c:v>
                </c:pt>
                <c:pt idx="6">
                  <c:v>2050</c:v>
                </c:pt>
              </c:numCache>
            </c:numRef>
          </c:xVal>
          <c:yVal>
            <c:numRef>
              <c:f>'Engine Eff'!$E$34:$E$40</c:f>
              <c:numCache>
                <c:formatCode>0.0%</c:formatCode>
                <c:ptCount val="7"/>
                <c:pt idx="0">
                  <c:v>0.39</c:v>
                </c:pt>
                <c:pt idx="1">
                  <c:v>0.41</c:v>
                </c:pt>
                <c:pt idx="2">
                  <c:v>0.43</c:v>
                </c:pt>
                <c:pt idx="3">
                  <c:v>0.44</c:v>
                </c:pt>
                <c:pt idx="4">
                  <c:v>0.44800000000000001</c:v>
                </c:pt>
                <c:pt idx="5">
                  <c:v>0.46</c:v>
                </c:pt>
                <c:pt idx="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54-4418-B830-9E05B40FE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157600"/>
        <c:axId val="698158912"/>
      </c:scatterChart>
      <c:valAx>
        <c:axId val="69815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58912"/>
        <c:crosses val="autoZero"/>
        <c:crossBetween val="midCat"/>
      </c:valAx>
      <c:valAx>
        <c:axId val="69815891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Engine peak efficiency</a:t>
                </a:r>
              </a:p>
            </c:rich>
          </c:tx>
          <c:layout>
            <c:manualLayout>
              <c:xMode val="edge"/>
              <c:yMode val="edge"/>
              <c:x val="4.1131094297621788E-2"/>
              <c:y val="0.115173453996983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57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704337063380209"/>
          <c:y val="0.49499174594125966"/>
          <c:w val="0.17886925116038807"/>
          <c:h val="0.247403237491241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580927384076991E-2"/>
          <c:y val="5.0925925925925923E-2"/>
          <c:w val="0.87753018372703417"/>
          <c:h val="0.79537839020122481"/>
        </c:manualLayout>
      </c:layout>
      <c:scatterChart>
        <c:scatterStyle val="lineMarker"/>
        <c:varyColors val="0"/>
        <c:ser>
          <c:idx val="2"/>
          <c:order val="0"/>
          <c:tx>
            <c:strRef>
              <c:f>'Electric Machine'!$J$1</c:f>
              <c:strCache>
                <c:ptCount val="1"/>
                <c:pt idx="0">
                  <c:v>Electric Traction Drive System Cost ($/kw)</c:v>
                </c:pt>
              </c:strCache>
            </c:strRef>
          </c:tx>
          <c:xVal>
            <c:numRef>
              <c:f>'Electric Machine'!$A$2:$A$7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2027</c:v>
                </c:pt>
                <c:pt idx="3">
                  <c:v>2030</c:v>
                </c:pt>
                <c:pt idx="4">
                  <c:v>2035</c:v>
                </c:pt>
                <c:pt idx="5">
                  <c:v>2050</c:v>
                </c:pt>
              </c:numCache>
            </c:numRef>
          </c:xVal>
          <c:yVal>
            <c:numRef>
              <c:f>'Electric Machine'!$J$2:$J$7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15</c:v>
                </c:pt>
                <c:pt idx="3">
                  <c:v>13.3</c:v>
                </c:pt>
                <c:pt idx="4">
                  <c:v>10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7F-4218-B171-51A2E8A8CEFC}"/>
            </c:ext>
          </c:extLst>
        </c:ser>
        <c:ser>
          <c:idx val="3"/>
          <c:order val="1"/>
          <c:tx>
            <c:v>'Low'</c:v>
          </c:tx>
          <c:xVal>
            <c:numRef>
              <c:f>'Electric Machine'!$A$8:$A$14</c:f>
              <c:numCache>
                <c:formatCode>General</c:formatCode>
                <c:ptCount val="7"/>
                <c:pt idx="0">
                  <c:v>2017</c:v>
                </c:pt>
                <c:pt idx="1">
                  <c:v>2021</c:v>
                </c:pt>
                <c:pt idx="2">
                  <c:v>2025</c:v>
                </c:pt>
                <c:pt idx="3">
                  <c:v>2027</c:v>
                </c:pt>
                <c:pt idx="4">
                  <c:v>2030</c:v>
                </c:pt>
                <c:pt idx="5">
                  <c:v>2035</c:v>
                </c:pt>
                <c:pt idx="6">
                  <c:v>2050</c:v>
                </c:pt>
              </c:numCache>
            </c:numRef>
          </c:xVal>
          <c:yVal>
            <c:numRef>
              <c:f>'Electric Machine'!$J$8:$J$14</c:f>
              <c:numCache>
                <c:formatCode>General</c:formatCode>
                <c:ptCount val="7"/>
                <c:pt idx="0">
                  <c:v>30</c:v>
                </c:pt>
                <c:pt idx="1">
                  <c:v>27</c:v>
                </c:pt>
                <c:pt idx="2">
                  <c:v>23</c:v>
                </c:pt>
                <c:pt idx="3">
                  <c:v>21</c:v>
                </c:pt>
                <c:pt idx="4">
                  <c:v>18.3</c:v>
                </c:pt>
                <c:pt idx="5">
                  <c:v>15</c:v>
                </c:pt>
                <c:pt idx="6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7F-4218-B171-51A2E8A8CEFC}"/>
            </c:ext>
          </c:extLst>
        </c:ser>
        <c:ser>
          <c:idx val="0"/>
          <c:order val="2"/>
          <c:tx>
            <c:strRef>
              <c:f>'Electric Machine'!$J$1</c:f>
              <c:strCache>
                <c:ptCount val="1"/>
                <c:pt idx="0">
                  <c:v>Electric Traction Drive System Cost ($/kw)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'Electric Machine'!$A$2:$A$7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2027</c:v>
                </c:pt>
                <c:pt idx="3">
                  <c:v>2030</c:v>
                </c:pt>
                <c:pt idx="4">
                  <c:v>2035</c:v>
                </c:pt>
                <c:pt idx="5">
                  <c:v>2050</c:v>
                </c:pt>
              </c:numCache>
            </c:numRef>
          </c:xVal>
          <c:yVal>
            <c:numRef>
              <c:f>'Electric Machine'!$J$2:$J$7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15</c:v>
                </c:pt>
                <c:pt idx="3">
                  <c:v>13.3</c:v>
                </c:pt>
                <c:pt idx="4">
                  <c:v>10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7F-4218-B171-51A2E8A8CEFC}"/>
            </c:ext>
          </c:extLst>
        </c:ser>
        <c:ser>
          <c:idx val="1"/>
          <c:order val="3"/>
          <c:tx>
            <c:v>'Low'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'Electric Machine'!$A$8:$A$14</c:f>
              <c:numCache>
                <c:formatCode>General</c:formatCode>
                <c:ptCount val="7"/>
                <c:pt idx="0">
                  <c:v>2017</c:v>
                </c:pt>
                <c:pt idx="1">
                  <c:v>2021</c:v>
                </c:pt>
                <c:pt idx="2">
                  <c:v>2025</c:v>
                </c:pt>
                <c:pt idx="3">
                  <c:v>2027</c:v>
                </c:pt>
                <c:pt idx="4">
                  <c:v>2030</c:v>
                </c:pt>
                <c:pt idx="5">
                  <c:v>2035</c:v>
                </c:pt>
                <c:pt idx="6">
                  <c:v>2050</c:v>
                </c:pt>
              </c:numCache>
            </c:numRef>
          </c:xVal>
          <c:yVal>
            <c:numRef>
              <c:f>'Electric Machine'!$J$8:$J$14</c:f>
              <c:numCache>
                <c:formatCode>General</c:formatCode>
                <c:ptCount val="7"/>
                <c:pt idx="0">
                  <c:v>30</c:v>
                </c:pt>
                <c:pt idx="1">
                  <c:v>27</c:v>
                </c:pt>
                <c:pt idx="2">
                  <c:v>23</c:v>
                </c:pt>
                <c:pt idx="3">
                  <c:v>21</c:v>
                </c:pt>
                <c:pt idx="4">
                  <c:v>18.3</c:v>
                </c:pt>
                <c:pt idx="5">
                  <c:v>15</c:v>
                </c:pt>
                <c:pt idx="6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7F-4218-B171-51A2E8A8C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48272"/>
        <c:axId val="1604954504"/>
      </c:scatterChart>
      <c:valAx>
        <c:axId val="160494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954504"/>
        <c:crosses val="autoZero"/>
        <c:crossBetween val="midCat"/>
      </c:valAx>
      <c:valAx>
        <c:axId val="1604954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94827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580927384076991E-2"/>
          <c:y val="5.0925925925925923E-2"/>
          <c:w val="0.87753018372703417"/>
          <c:h val="0.79537839020122481"/>
        </c:manualLayout>
      </c:layout>
      <c:scatterChart>
        <c:scatterStyle val="lineMarker"/>
        <c:varyColors val="0"/>
        <c:ser>
          <c:idx val="3"/>
          <c:order val="0"/>
          <c:tx>
            <c:v>'Low'</c:v>
          </c:tx>
          <c:xVal>
            <c:numRef>
              <c:f>'Electric Machine'!$A$8:$A$14</c:f>
              <c:numCache>
                <c:formatCode>General</c:formatCode>
                <c:ptCount val="7"/>
                <c:pt idx="0">
                  <c:v>2017</c:v>
                </c:pt>
                <c:pt idx="1">
                  <c:v>2021</c:v>
                </c:pt>
                <c:pt idx="2">
                  <c:v>2025</c:v>
                </c:pt>
                <c:pt idx="3">
                  <c:v>2027</c:v>
                </c:pt>
                <c:pt idx="4">
                  <c:v>2030</c:v>
                </c:pt>
                <c:pt idx="5">
                  <c:v>2035</c:v>
                </c:pt>
                <c:pt idx="6">
                  <c:v>2050</c:v>
                </c:pt>
              </c:numCache>
            </c:numRef>
          </c:xVal>
          <c:yVal>
            <c:numRef>
              <c:f>'Electric Machine'!$I$8:$I$14</c:f>
              <c:numCache>
                <c:formatCode>0%</c:formatCode>
                <c:ptCount val="7"/>
                <c:pt idx="0">
                  <c:v>0.90210000000000001</c:v>
                </c:pt>
                <c:pt idx="1">
                  <c:v>0.90210000000000001</c:v>
                </c:pt>
                <c:pt idx="2">
                  <c:v>0.91179999999999994</c:v>
                </c:pt>
                <c:pt idx="3">
                  <c:v>0.91179999999999994</c:v>
                </c:pt>
                <c:pt idx="4">
                  <c:v>0.91179999999999994</c:v>
                </c:pt>
                <c:pt idx="5">
                  <c:v>0.91664999999999996</c:v>
                </c:pt>
                <c:pt idx="6">
                  <c:v>0.93119999999999992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0-4C60-9B7F-6F014B60DBC7}"/>
            </c:ext>
          </c:extLst>
        </c:ser>
        <c:ser>
          <c:idx val="1"/>
          <c:order val="1"/>
          <c:tx>
            <c:v>High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'Electric Machine'!$A$2:$A$7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2027</c:v>
                </c:pt>
                <c:pt idx="3">
                  <c:v>2030</c:v>
                </c:pt>
                <c:pt idx="4">
                  <c:v>2035</c:v>
                </c:pt>
                <c:pt idx="5">
                  <c:v>2050</c:v>
                </c:pt>
              </c:numCache>
            </c:numRef>
          </c:xVal>
          <c:yVal>
            <c:numRef>
              <c:f>'Electric Machine'!$I$2:$I$7</c:f>
              <c:numCache>
                <c:formatCode>0%</c:formatCode>
                <c:ptCount val="6"/>
                <c:pt idx="0">
                  <c:v>0.90210000000000001</c:v>
                </c:pt>
                <c:pt idx="1">
                  <c:v>0.92149999999999999</c:v>
                </c:pt>
                <c:pt idx="2">
                  <c:v>0.9263499999999999</c:v>
                </c:pt>
                <c:pt idx="3">
                  <c:v>0.94079999999999997</c:v>
                </c:pt>
                <c:pt idx="4">
                  <c:v>0.96029999999999993</c:v>
                </c:pt>
                <c:pt idx="5">
                  <c:v>0.97019999999999995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50-4C60-9B7F-6F014B60D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948272"/>
        <c:axId val="1604954504"/>
      </c:scatterChart>
      <c:valAx>
        <c:axId val="160494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954504"/>
        <c:crosses val="autoZero"/>
        <c:crossBetween val="midCat"/>
      </c:valAx>
      <c:valAx>
        <c:axId val="1604954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94827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5426301308415936"/>
          <c:y val="8.1802297256783091E-2"/>
          <c:w val="0.48826547332757897"/>
          <c:h val="0.58798929133563183"/>
        </c:manualLayout>
      </c:layout>
      <c:scatterChart>
        <c:scatterStyle val="lineMarker"/>
        <c:varyColors val="0"/>
        <c:ser>
          <c:idx val="0"/>
          <c:order val="0"/>
          <c:tx>
            <c:v>High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FuelCell!$A$2:$A$7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</c:numCache>
            </c:numRef>
          </c:xVal>
          <c:yVal>
            <c:numRef>
              <c:f>FuelCell!$E$2:$E$7</c:f>
              <c:numCache>
                <c:formatCode>0.0%</c:formatCode>
                <c:ptCount val="6"/>
                <c:pt idx="0">
                  <c:v>0.64</c:v>
                </c:pt>
                <c:pt idx="1">
                  <c:v>0.65</c:v>
                </c:pt>
                <c:pt idx="2">
                  <c:v>0.67</c:v>
                </c:pt>
                <c:pt idx="3">
                  <c:v>0.67999999999999994</c:v>
                </c:pt>
                <c:pt idx="4">
                  <c:v>0.69</c:v>
                </c:pt>
                <c:pt idx="5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B-4131-8588-93A119717FB8}"/>
            </c:ext>
          </c:extLst>
        </c:ser>
        <c:ser>
          <c:idx val="1"/>
          <c:order val="1"/>
          <c:tx>
            <c:v>Low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FuelCell!$A$8:$A$13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</c:numCache>
            </c:numRef>
          </c:xVal>
          <c:yVal>
            <c:numRef>
              <c:f>FuelCell!$E$8:$E$13</c:f>
              <c:numCache>
                <c:formatCode>0.0%</c:formatCode>
                <c:ptCount val="6"/>
                <c:pt idx="0">
                  <c:v>0.64</c:v>
                </c:pt>
                <c:pt idx="1">
                  <c:v>0.64</c:v>
                </c:pt>
                <c:pt idx="2">
                  <c:v>0.65</c:v>
                </c:pt>
                <c:pt idx="3">
                  <c:v>0.65</c:v>
                </c:pt>
                <c:pt idx="4">
                  <c:v>0.65</c:v>
                </c:pt>
                <c:pt idx="5">
                  <c:v>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B-4131-8588-93A119717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172032"/>
        <c:axId val="698161864"/>
      </c:scatterChart>
      <c:valAx>
        <c:axId val="69817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61864"/>
        <c:crosses val="autoZero"/>
        <c:crossBetween val="midCat"/>
      </c:valAx>
      <c:valAx>
        <c:axId val="69816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FC system peak efficiency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7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577035373525896"/>
          <c:y val="8.1802297256783091E-2"/>
          <c:w val="0.63910982492546786"/>
          <c:h val="0.58798929133563183"/>
        </c:manualLayout>
      </c:layout>
      <c:scatterChart>
        <c:scatterStyle val="smoothMarker"/>
        <c:varyColors val="0"/>
        <c:ser>
          <c:idx val="0"/>
          <c:order val="0"/>
          <c:tx>
            <c:v>High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FuelCell!$A$2:$A$7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</c:numCache>
            </c:numRef>
          </c:xVal>
          <c:yVal>
            <c:numRef>
              <c:f>FuelCell!$K$2:$K$7</c:f>
              <c:numCache>
                <c:formatCode>0</c:formatCode>
                <c:ptCount val="6"/>
                <c:pt idx="0">
                  <c:v>310.87649999999996</c:v>
                </c:pt>
                <c:pt idx="1">
                  <c:v>273.89999999999998</c:v>
                </c:pt>
                <c:pt idx="2">
                  <c:v>246.51</c:v>
                </c:pt>
                <c:pt idx="3">
                  <c:v>239.755</c:v>
                </c:pt>
                <c:pt idx="4">
                  <c:v>233</c:v>
                </c:pt>
                <c:pt idx="5">
                  <c:v>219.11999999999998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5A-4C23-A5EF-616FB2770065}"/>
            </c:ext>
          </c:extLst>
        </c:ser>
        <c:ser>
          <c:idx val="1"/>
          <c:order val="1"/>
          <c:tx>
            <c:v>Low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FuelCell!$A$8:$A$13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</c:numCache>
            </c:numRef>
          </c:xVal>
          <c:yVal>
            <c:numRef>
              <c:f>FuelCell!$K$8:$K$13</c:f>
              <c:numCache>
                <c:formatCode>0</c:formatCode>
                <c:ptCount val="6"/>
                <c:pt idx="0">
                  <c:v>310.87649999999996</c:v>
                </c:pt>
                <c:pt idx="1">
                  <c:v>301.28999999999996</c:v>
                </c:pt>
                <c:pt idx="2">
                  <c:v>273.89999999999998</c:v>
                </c:pt>
                <c:pt idx="3">
                  <c:v>267.05250000000001</c:v>
                </c:pt>
                <c:pt idx="4">
                  <c:v>260.20499999999998</c:v>
                </c:pt>
                <c:pt idx="5">
                  <c:v>246.51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5A-4C23-A5EF-616FB2770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172032"/>
        <c:axId val="698161864"/>
      </c:scatterChart>
      <c:valAx>
        <c:axId val="69817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61864"/>
        <c:crosses val="autoZero"/>
        <c:crossBetween val="midCat"/>
      </c:valAx>
      <c:valAx>
        <c:axId val="69816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Tank cost ($/kWh)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7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89683907304769"/>
          <c:y val="8.4480634462599305E-2"/>
          <c:w val="0.24640153232858863"/>
          <c:h val="0.250986077799430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760953686565402"/>
          <c:y val="8.9234166833928555E-2"/>
          <c:w val="0.61657519682555806"/>
          <c:h val="0.58798929133563183"/>
        </c:manualLayout>
      </c:layout>
      <c:scatterChart>
        <c:scatterStyle val="lineMarker"/>
        <c:varyColors val="0"/>
        <c:ser>
          <c:idx val="0"/>
          <c:order val="0"/>
          <c:tx>
            <c:v>High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FuelCell!$A$2:$A$7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</c:numCache>
            </c:numRef>
          </c:xVal>
          <c:yVal>
            <c:numRef>
              <c:f>FuelCell!$G$2:$G$7</c:f>
              <c:numCache>
                <c:formatCode>0</c:formatCode>
                <c:ptCount val="6"/>
                <c:pt idx="0">
                  <c:v>170.75471698113208</c:v>
                </c:pt>
                <c:pt idx="1">
                  <c:v>126.41509433962264</c:v>
                </c:pt>
                <c:pt idx="2">
                  <c:v>70</c:v>
                </c:pt>
                <c:pt idx="3">
                  <c:v>65</c:v>
                </c:pt>
                <c:pt idx="4">
                  <c:v>60</c:v>
                </c:pt>
                <c:pt idx="5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CF-4000-81BE-839162ECFCBC}"/>
            </c:ext>
          </c:extLst>
        </c:ser>
        <c:ser>
          <c:idx val="1"/>
          <c:order val="1"/>
          <c:tx>
            <c:v>Low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FuelCell!$A$8:$A$13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</c:numCache>
            </c:numRef>
          </c:xVal>
          <c:yVal>
            <c:numRef>
              <c:f>FuelCell!$G$8:$G$13</c:f>
              <c:numCache>
                <c:formatCode>0</c:formatCode>
                <c:ptCount val="6"/>
                <c:pt idx="0">
                  <c:v>170.75471698113208</c:v>
                </c:pt>
                <c:pt idx="1">
                  <c:v>126.41509433962264</c:v>
                </c:pt>
                <c:pt idx="2">
                  <c:v>110</c:v>
                </c:pt>
                <c:pt idx="3">
                  <c:v>95</c:v>
                </c:pt>
                <c:pt idx="4">
                  <c:v>80</c:v>
                </c:pt>
                <c:pt idx="5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CF-4000-81BE-839162ECF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172032"/>
        <c:axId val="698161864"/>
      </c:scatterChart>
      <c:valAx>
        <c:axId val="69817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61864"/>
        <c:crosses val="autoZero"/>
        <c:crossBetween val="midCat"/>
      </c:valAx>
      <c:valAx>
        <c:axId val="69816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FC Cost</a:t>
                </a:r>
                <a:r>
                  <a:rPr lang="en-US" baseline="0"/>
                  <a:t> ($/kW)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7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98929441287742"/>
          <c:y val="7.7321219476656558E-2"/>
          <c:w val="0.18580818337054625"/>
          <c:h val="0.265626868825709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860422264748368"/>
          <c:y val="8.1802297256783091E-2"/>
          <c:w val="0.57793893091925885"/>
          <c:h val="0.58798929133563183"/>
        </c:manualLayout>
      </c:layout>
      <c:scatterChart>
        <c:scatterStyle val="smoothMarker"/>
        <c:varyColors val="0"/>
        <c:ser>
          <c:idx val="0"/>
          <c:order val="0"/>
          <c:tx>
            <c:v>High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FuelCell!$A$2:$A$7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</c:numCache>
            </c:numRef>
          </c:xVal>
          <c:yVal>
            <c:numRef>
              <c:f>FuelCell!$F$2:$F$7</c:f>
              <c:numCache>
                <c:formatCode>General</c:formatCode>
                <c:ptCount val="6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850</c:v>
                </c:pt>
                <c:pt idx="4">
                  <c:v>900</c:v>
                </c:pt>
                <c:pt idx="5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B5-4CC4-BB28-56F8503009F4}"/>
            </c:ext>
          </c:extLst>
        </c:ser>
        <c:ser>
          <c:idx val="1"/>
          <c:order val="1"/>
          <c:tx>
            <c:v>Low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FuelCell!$A$8:$A$13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</c:numCache>
            </c:numRef>
          </c:xVal>
          <c:yVal>
            <c:numRef>
              <c:f>FuelCell!$F$8:$F$13</c:f>
              <c:numCache>
                <c:formatCode>General</c:formatCode>
                <c:ptCount val="6"/>
                <c:pt idx="0">
                  <c:v>600</c:v>
                </c:pt>
                <c:pt idx="1">
                  <c:v>650</c:v>
                </c:pt>
                <c:pt idx="2">
                  <c:v>700</c:v>
                </c:pt>
                <c:pt idx="3">
                  <c:v>750</c:v>
                </c:pt>
                <c:pt idx="4">
                  <c:v>800</c:v>
                </c:pt>
                <c:pt idx="5">
                  <c:v>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B5-4CC4-BB28-56F850300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172032"/>
        <c:axId val="698161864"/>
      </c:scatterChart>
      <c:valAx>
        <c:axId val="69817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61864"/>
        <c:crosses val="autoZero"/>
        <c:crossBetween val="midCat"/>
      </c:valAx>
      <c:valAx>
        <c:axId val="69816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FC specific power (W/kg)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7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633756326804688"/>
          <c:y val="8.1802297256783091E-2"/>
          <c:w val="0.55457214866316473"/>
          <c:h val="0.58798929133563183"/>
        </c:manualLayout>
      </c:layout>
      <c:scatterChart>
        <c:scatterStyle val="smoothMarker"/>
        <c:varyColors val="0"/>
        <c:ser>
          <c:idx val="0"/>
          <c:order val="0"/>
          <c:tx>
            <c:v>High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FuelCell!$A$2:$A$7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</c:numCache>
            </c:numRef>
          </c:xVal>
          <c:yVal>
            <c:numRef>
              <c:f>FuelCell!$L$2:$L$7</c:f>
              <c:numCache>
                <c:formatCode>General</c:formatCode>
                <c:ptCount val="6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71-49E5-A98B-C31E36978C41}"/>
            </c:ext>
          </c:extLst>
        </c:ser>
        <c:ser>
          <c:idx val="1"/>
          <c:order val="1"/>
          <c:tx>
            <c:v>Low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FuelCell!$A$8:$A$13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</c:numCache>
            </c:numRef>
          </c:xVal>
          <c:yVal>
            <c:numRef>
              <c:f>FuelCell!$L$8:$L$13</c:f>
              <c:numCache>
                <c:formatCode>General</c:formatCode>
                <c:ptCount val="6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71-49E5-A98B-C31E36978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172032"/>
        <c:axId val="698161864"/>
      </c:scatterChart>
      <c:valAx>
        <c:axId val="69817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61864"/>
        <c:crosses val="autoZero"/>
        <c:crossBetween val="midCat"/>
      </c:valAx>
      <c:valAx>
        <c:axId val="69816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Hydrogen cost ($/kg)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7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980671991319922"/>
          <c:y val="0.10679035189626743"/>
          <c:w val="0.24640153232858863"/>
          <c:h val="0.250986077799430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BEV, PHEV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800721275624594"/>
          <c:y val="0.25778934349072918"/>
          <c:w val="0.6875097181607972"/>
          <c:h val="0.4335910991440643"/>
        </c:manualLayout>
      </c:layout>
      <c:scatterChart>
        <c:scatterStyle val="smoothMarker"/>
        <c:varyColors val="0"/>
        <c:ser>
          <c:idx val="0"/>
          <c:order val="0"/>
          <c:tx>
            <c:v>High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Battery!$A$2:$A$6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</c:numCache>
            </c:numRef>
          </c:xVal>
          <c:yVal>
            <c:numRef>
              <c:f>Battery!$L$2:$L$6</c:f>
              <c:numCache>
                <c:formatCode>General</c:formatCode>
                <c:ptCount val="5"/>
                <c:pt idx="0">
                  <c:v>140</c:v>
                </c:pt>
                <c:pt idx="1">
                  <c:v>95</c:v>
                </c:pt>
                <c:pt idx="2">
                  <c:v>75</c:v>
                </c:pt>
                <c:pt idx="3">
                  <c:v>70</c:v>
                </c:pt>
                <c:pt idx="4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FC-4930-9D19-3BFE8083198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Battery!$A$8:$A$13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</c:numCache>
            </c:numRef>
          </c:xVal>
          <c:yVal>
            <c:numRef>
              <c:f>Battery!$L$8:$L$13</c:f>
              <c:numCache>
                <c:formatCode>General</c:formatCode>
                <c:ptCount val="6"/>
                <c:pt idx="0">
                  <c:v>140</c:v>
                </c:pt>
                <c:pt idx="1">
                  <c:v>128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FC-4930-9D19-3BFE80831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677448"/>
        <c:axId val="647682368"/>
      </c:scatterChart>
      <c:valAx>
        <c:axId val="647677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82368"/>
        <c:crosses val="autoZero"/>
        <c:crossBetween val="midCat"/>
      </c:valAx>
      <c:valAx>
        <c:axId val="64768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 pack cost ($/kWh)</a:t>
                </a:r>
              </a:p>
            </c:rich>
          </c:tx>
          <c:layout>
            <c:manualLayout>
              <c:xMode val="edge"/>
              <c:yMode val="edge"/>
              <c:x val="4.3794421399515469E-2"/>
              <c:y val="8.403001247783543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77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372799190526438"/>
          <c:y val="0.2718181519669009"/>
          <c:w val="0.28479519424740174"/>
          <c:h val="0.23457596842461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BEV, PHEV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800721275624594"/>
          <c:y val="0.25778934349072918"/>
          <c:w val="0.6875097181607972"/>
          <c:h val="0.4335910991440643"/>
        </c:manualLayout>
      </c:layout>
      <c:scatterChart>
        <c:scatterStyle val="smoothMarker"/>
        <c:varyColors val="0"/>
        <c:ser>
          <c:idx val="0"/>
          <c:order val="0"/>
          <c:tx>
            <c:v>High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Battery!$A$2:$A$6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</c:numCache>
            </c:numRef>
          </c:xVal>
          <c:yVal>
            <c:numRef>
              <c:f>Battery!$J$2:$J$6</c:f>
              <c:numCache>
                <c:formatCode>0</c:formatCode>
                <c:ptCount val="5"/>
                <c:pt idx="0">
                  <c:v>188.88888888888891</c:v>
                </c:pt>
                <c:pt idx="1">
                  <c:v>244.44444444444443</c:v>
                </c:pt>
                <c:pt idx="2">
                  <c:v>300</c:v>
                </c:pt>
                <c:pt idx="3">
                  <c:v>307.89473684210526</c:v>
                </c:pt>
                <c:pt idx="4">
                  <c:v>315.78947368421052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5E-43D3-81EB-37FD62562DC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Battery!$A$8:$A$13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</c:numCache>
            </c:numRef>
          </c:xVal>
          <c:yVal>
            <c:numRef>
              <c:f>Battery!$J$8:$J$13</c:f>
              <c:numCache>
                <c:formatCode>0</c:formatCode>
                <c:ptCount val="6"/>
                <c:pt idx="0">
                  <c:v>188.88888888888891</c:v>
                </c:pt>
                <c:pt idx="1">
                  <c:v>188.88888888888891</c:v>
                </c:pt>
                <c:pt idx="2">
                  <c:v>255.55555555555554</c:v>
                </c:pt>
                <c:pt idx="3">
                  <c:v>255.55555555555554</c:v>
                </c:pt>
                <c:pt idx="4">
                  <c:v>255.55555555555554</c:v>
                </c:pt>
                <c:pt idx="5">
                  <c:v>297.87234042553195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5E-43D3-81EB-37FD62562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677448"/>
        <c:axId val="647682368"/>
      </c:scatterChart>
      <c:valAx>
        <c:axId val="647677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82368"/>
        <c:crosses val="autoZero"/>
        <c:crossBetween val="midCat"/>
      </c:valAx>
      <c:valAx>
        <c:axId val="64768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pack  (Wh/kg)</a:t>
                </a:r>
              </a:p>
            </c:rich>
          </c:tx>
          <c:layout>
            <c:manualLayout>
              <c:xMode val="edge"/>
              <c:yMode val="edge"/>
              <c:x val="4.3794421399515469E-2"/>
              <c:y val="8.403001247783543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77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535898259007169"/>
          <c:y val="0.45947822946082617"/>
          <c:w val="0.27723906424770151"/>
          <c:h val="0.23457673868785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HEVs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800721275624594"/>
          <c:y val="0.25778934349072918"/>
          <c:w val="0.6875097181607972"/>
          <c:h val="0.4335910991440643"/>
        </c:manualLayout>
      </c:layout>
      <c:scatterChart>
        <c:scatterStyle val="smoothMarker"/>
        <c:varyColors val="0"/>
        <c:ser>
          <c:idx val="0"/>
          <c:order val="0"/>
          <c:tx>
            <c:v>High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Battery!$A$26:$A$31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</c:numCache>
            </c:numRef>
          </c:xVal>
          <c:yVal>
            <c:numRef>
              <c:f>Battery!$L$26:$L$31</c:f>
              <c:numCache>
                <c:formatCode>General</c:formatCode>
                <c:ptCount val="6"/>
                <c:pt idx="0">
                  <c:v>320</c:v>
                </c:pt>
                <c:pt idx="1">
                  <c:v>250</c:v>
                </c:pt>
                <c:pt idx="2">
                  <c:v>175</c:v>
                </c:pt>
                <c:pt idx="3">
                  <c:v>140</c:v>
                </c:pt>
                <c:pt idx="4">
                  <c:v>120</c:v>
                </c:pt>
                <c:pt idx="5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32-4814-9005-BB3AA12C0B06}"/>
            </c:ext>
          </c:extLst>
        </c:ser>
        <c:ser>
          <c:idx val="1"/>
          <c:order val="1"/>
          <c:tx>
            <c:v>Low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Battery!$A$32:$A$37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</c:numCache>
            </c:numRef>
          </c:xVal>
          <c:yVal>
            <c:numRef>
              <c:f>Battery!$L$32:$L$37</c:f>
              <c:numCache>
                <c:formatCode>General</c:formatCode>
                <c:ptCount val="6"/>
                <c:pt idx="0">
                  <c:v>320</c:v>
                </c:pt>
                <c:pt idx="1">
                  <c:v>302</c:v>
                </c:pt>
                <c:pt idx="2">
                  <c:v>225</c:v>
                </c:pt>
                <c:pt idx="3">
                  <c:v>170</c:v>
                </c:pt>
                <c:pt idx="4">
                  <c:v>135</c:v>
                </c:pt>
                <c:pt idx="5">
                  <c:v>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32-4814-9005-BB3AA12C0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677448"/>
        <c:axId val="647682368"/>
      </c:scatterChart>
      <c:valAx>
        <c:axId val="647677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82368"/>
        <c:crosses val="autoZero"/>
        <c:crossBetween val="midCat"/>
      </c:valAx>
      <c:valAx>
        <c:axId val="64768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</a:t>
                </a:r>
                <a:r>
                  <a:rPr lang="en-US"/>
                  <a:t> pack cost ($/kWh)</a:t>
                </a:r>
              </a:p>
            </c:rich>
          </c:tx>
          <c:layout>
            <c:manualLayout>
              <c:xMode val="edge"/>
              <c:yMode val="edge"/>
              <c:x val="4.3794421399515469E-2"/>
              <c:y val="8.403001247783543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77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28543805707006"/>
          <c:y val="0.2718181519669009"/>
          <c:w val="0.18566891041235098"/>
          <c:h val="0.23457596842461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HEVs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800721275624594"/>
          <c:y val="0.25778934349072918"/>
          <c:w val="0.6875097181607972"/>
          <c:h val="0.4335910991440643"/>
        </c:manualLayout>
      </c:layout>
      <c:scatterChart>
        <c:scatterStyle val="smoothMarker"/>
        <c:varyColors val="0"/>
        <c:ser>
          <c:idx val="0"/>
          <c:order val="0"/>
          <c:tx>
            <c:v>High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Battery!$A$26:$A$31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</c:numCache>
            </c:numRef>
          </c:xVal>
          <c:yVal>
            <c:numRef>
              <c:f>Battery!$J$26:$J$31</c:f>
              <c:numCache>
                <c:formatCode>General</c:formatCode>
                <c:ptCount val="6"/>
                <c:pt idx="0">
                  <c:v>92</c:v>
                </c:pt>
                <c:pt idx="1">
                  <c:v>97</c:v>
                </c:pt>
                <c:pt idx="2">
                  <c:v>103</c:v>
                </c:pt>
                <c:pt idx="3">
                  <c:v>119</c:v>
                </c:pt>
                <c:pt idx="4">
                  <c:v>140</c:v>
                </c:pt>
                <c:pt idx="5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04-4A0E-A1DF-A8EFBE67EF8C}"/>
            </c:ext>
          </c:extLst>
        </c:ser>
        <c:ser>
          <c:idx val="1"/>
          <c:order val="1"/>
          <c:tx>
            <c:v>Low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Battery!$A$32:$A$37</c:f>
              <c:numCache>
                <c:formatCode>General</c:formatCode>
                <c:ptCount val="6"/>
                <c:pt idx="0">
                  <c:v>2021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2050</c:v>
                </c:pt>
              </c:numCache>
            </c:numRef>
          </c:xVal>
          <c:yVal>
            <c:numRef>
              <c:f>Battery!$J$32:$J$37</c:f>
              <c:numCache>
                <c:formatCode>General</c:formatCode>
                <c:ptCount val="6"/>
                <c:pt idx="0">
                  <c:v>80</c:v>
                </c:pt>
                <c:pt idx="1">
                  <c:v>92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04-4A0E-A1DF-A8EFBE67E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677448"/>
        <c:axId val="647682368"/>
      </c:scatterChart>
      <c:valAx>
        <c:axId val="647677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82368"/>
        <c:crosses val="autoZero"/>
        <c:crossBetween val="midCat"/>
      </c:valAx>
      <c:valAx>
        <c:axId val="64768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pack  (Wh/kg)</a:t>
                </a:r>
              </a:p>
            </c:rich>
          </c:tx>
          <c:layout>
            <c:manualLayout>
              <c:xMode val="edge"/>
              <c:yMode val="edge"/>
              <c:x val="4.3794421399515469E-2"/>
              <c:y val="8.403001247783543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77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692913642542219"/>
          <c:y val="0.45947822946082617"/>
          <c:w val="0.18566891041235098"/>
          <c:h val="0.23457673868785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323849</xdr:colOff>
      <xdr:row>0</xdr:row>
      <xdr:rowOff>581024</xdr:rowOff>
    </xdr:from>
    <xdr:to>
      <xdr:col>13</xdr:col>
      <xdr:colOff>371475</xdr:colOff>
      <xdr:row>14</xdr:row>
      <xdr:rowOff>152399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323850</xdr:colOff>
      <xdr:row>14</xdr:row>
      <xdr:rowOff>190501</xdr:rowOff>
    </xdr:from>
    <xdr:to>
      <xdr:col>13</xdr:col>
      <xdr:colOff>371476</xdr:colOff>
      <xdr:row>30</xdr:row>
      <xdr:rowOff>47626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314325</xdr:colOff>
      <xdr:row>31</xdr:row>
      <xdr:rowOff>85725</xdr:rowOff>
    </xdr:from>
    <xdr:to>
      <xdr:col>13</xdr:col>
      <xdr:colOff>361951</xdr:colOff>
      <xdr:row>43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287668</xdr:colOff>
      <xdr:row>17</xdr:row>
      <xdr:rowOff>185587</xdr:rowOff>
    </xdr:from>
    <xdr:to>
      <xdr:col>9</xdr:col>
      <xdr:colOff>476251</xdr:colOff>
      <xdr:row>28</xdr:row>
      <xdr:rowOff>82609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377406</xdr:colOff>
      <xdr:row>18</xdr:row>
      <xdr:rowOff>17972</xdr:rowOff>
    </xdr:from>
    <xdr:to>
      <xdr:col>4</xdr:col>
      <xdr:colOff>844550</xdr:colOff>
      <xdr:row>28</xdr:row>
      <xdr:rowOff>103697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114300</xdr:colOff>
      <xdr:row>2</xdr:row>
      <xdr:rowOff>94129</xdr:rowOff>
    </xdr:from>
    <xdr:to>
      <xdr:col>17</xdr:col>
      <xdr:colOff>253813</xdr:colOff>
      <xdr:row>12</xdr:row>
      <xdr:rowOff>201705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225798</xdr:colOff>
      <xdr:row>2</xdr:row>
      <xdr:rowOff>81803</xdr:rowOff>
    </xdr:from>
    <xdr:to>
      <xdr:col>22</xdr:col>
      <xdr:colOff>243727</xdr:colOff>
      <xdr:row>12</xdr:row>
      <xdr:rowOff>189379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125506</xdr:colOff>
      <xdr:row>12</xdr:row>
      <xdr:rowOff>184897</xdr:rowOff>
    </xdr:from>
    <xdr:to>
      <xdr:col>17</xdr:col>
      <xdr:colOff>265019</xdr:colOff>
      <xdr:row>23</xdr:row>
      <xdr:rowOff>84044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214593</xdr:colOff>
      <xdr:row>12</xdr:row>
      <xdr:rowOff>179293</xdr:rowOff>
    </xdr:from>
    <xdr:to>
      <xdr:col>22</xdr:col>
      <xdr:colOff>249332</xdr:colOff>
      <xdr:row>23</xdr:row>
      <xdr:rowOff>77319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283508</xdr:colOff>
      <xdr:row>12</xdr:row>
      <xdr:rowOff>87406</xdr:rowOff>
    </xdr:from>
    <xdr:to>
      <xdr:col>30</xdr:col>
      <xdr:colOff>419100</xdr:colOff>
      <xdr:row>18</xdr:row>
      <xdr:rowOff>142875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9720</xdr:rowOff>
    </xdr:from>
    <xdr:to>
      <xdr:col>18</xdr:col>
      <xdr:colOff>369336</xdr:colOff>
      <xdr:row>13</xdr:row>
      <xdr:rowOff>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417933</xdr:colOff>
      <xdr:row>1</xdr:row>
      <xdr:rowOff>19440</xdr:rowOff>
    </xdr:from>
    <xdr:to>
      <xdr:col>23</xdr:col>
      <xdr:colOff>546230</xdr:colOff>
      <xdr:row>13</xdr:row>
      <xdr:rowOff>9716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15</xdr:row>
      <xdr:rowOff>29158</xdr:rowOff>
    </xdr:from>
    <xdr:to>
      <xdr:col>18</xdr:col>
      <xdr:colOff>371282</xdr:colOff>
      <xdr:row>27</xdr:row>
      <xdr:rowOff>19440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417933</xdr:colOff>
      <xdr:row>15</xdr:row>
      <xdr:rowOff>1</xdr:rowOff>
    </xdr:from>
    <xdr:to>
      <xdr:col>23</xdr:col>
      <xdr:colOff>546230</xdr:colOff>
      <xdr:row>25</xdr:row>
      <xdr:rowOff>194384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2" name="Table413" displayName="Table413" ref="A1:J24" totalsRowShown="0" headerRowDxfId="153" dataDxfId="152" tableBorderDxfId="151" headerRowCellStyle="Good 3" dataCellStyle="Input">
  <autoFilter ref="A1:J24"/>
  <tableColumns count="10">
    <tableColumn id="3" name="Class" dataDxfId="150" dataCellStyle="Good 3"/>
    <tableColumn id="4" name="Purpose" dataDxfId="149" dataCellStyle="Good"/>
    <tableColumn id="5" name="Regulatory Code" dataDxfId="148" dataCellStyle="Input"/>
    <tableColumn id="6" name="Frontal Area" dataDxfId="147" dataCellStyle="Input"/>
    <tableColumn id="7" name="Drag Coefficient (Cd)" dataDxfId="146" dataCellStyle="Input"/>
    <tableColumn id="8" name="Acc Load (W)" dataDxfId="145" dataCellStyle="Input"/>
    <tableColumn id="9" name="Rolling Resistance (Effective)" dataDxfId="144" dataCellStyle="Input"/>
    <tableColumn id="1" name="Payload (kg)" dataDxfId="143" dataCellStyle="Input"/>
    <tableColumn id="2" name="Glider Mass (kg)" dataDxfId="142" dataCellStyle="Input"/>
    <tableColumn id="11" name="Fuel" dataDxfId="141" dataCellStyle="Inpu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L45" totalsRowShown="0" headerRowDxfId="140" dataDxfId="139" tableBorderDxfId="138" headerRowCellStyle="Good 3" dataCellStyle="Input">
  <autoFilter ref="A1:L45"/>
  <tableColumns count="12">
    <tableColumn id="1" name="Year" dataDxfId="137" dataCellStyle="Good"/>
    <tableColumn id="2" name="Case" dataDxfId="136" dataCellStyle="Good 2"/>
    <tableColumn id="3" name="Regulatory Code" dataDxfId="135"/>
    <tableColumn id="14" name="Cd reduction (%)" dataDxfId="134" dataCellStyle="Input"/>
    <tableColumn id="15" name="Cr reduction (%)" dataDxfId="133" dataCellStyle="Input"/>
    <tableColumn id="16" name="Acc load reduction (%)" dataDxfId="132" dataCellStyle="Input"/>
    <tableColumn id="17" name="CdA_incr_cost($)" dataDxfId="131"/>
    <tableColumn id="4" name="cab &amp; body" dataDxfId="130" dataCellStyle="Input"/>
    <tableColumn id="5" name="chassis" dataDxfId="129" dataCellStyle="Input"/>
    <tableColumn id="6" name="Glider Weight Reduction(%)" dataDxfId="128" dataCellStyle="Input"/>
    <tableColumn id="7" name="cab &amp; body $/lb" dataDxfId="127" dataCellStyle="Input">
      <calculatedColumnFormula>5/2.2</calculatedColumnFormula>
    </tableColumn>
    <tableColumn id="8" name="chassis $/lb" dataDxfId="126" dataCellStyle="Input">
      <calculatedColumnFormula>5/2.2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1" name="Table312" displayName="Table312" ref="A1:G58" totalsRowShown="0" headerRowDxfId="125" tableBorderDxfId="124" headerRowCellStyle="Good">
  <autoFilter ref="A1:G58"/>
  <sortState ref="A2:G37">
    <sortCondition ref="C1:C37"/>
  </sortState>
  <tableColumns count="7">
    <tableColumn id="1" name="Year" dataDxfId="123" dataCellStyle="Input"/>
    <tableColumn id="2" name="Case" dataDxfId="122" dataCellStyle="Input"/>
    <tableColumn id="4" name="RegulatoryCode" dataDxfId="121" dataCellStyle="Good"/>
    <tableColumn id="5" name="Fuel" dataDxfId="120" dataCellStyle="Input"/>
    <tableColumn id="6" name="Peak Eff (%)" dataDxfId="119" dataCellStyle="Input"/>
    <tableColumn id="3" name="Efficiency Improvement Cost" dataDxfId="118"/>
    <tableColumn id="7" name="Transmission Improvement Cost" dataDxfId="1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3" name="Table13" displayName="Table13" ref="A1:AS30" totalsRowShown="0" headerRowDxfId="116" dataDxfId="114" headerRowBorderDxfId="115" tableBorderDxfId="113" headerRowCellStyle="Good 3" dataCellStyle="Input">
  <autoFilter ref="A1:AS30"/>
  <sortState ref="A2:AS30">
    <sortCondition ref="A1:A36"/>
  </sortState>
  <tableColumns count="45">
    <tableColumn id="1" name="Class" dataDxfId="112" dataCellStyle="Input"/>
    <tableColumn id="2" name="Purpose" dataDxfId="111" dataCellStyle="Good"/>
    <tableColumn id="3" name="RegulatoryCode" dataDxfId="110" dataCellStyle="Input"/>
    <tableColumn id="4" name="Remarks" dataDxfId="109" dataCellStyle="Good"/>
    <tableColumn id="5" name="# Gears" dataDxfId="108" dataCellStyle="Input"/>
    <tableColumn id="6" name="Final Drive Ratio" dataDxfId="107" dataCellStyle="Input"/>
    <tableColumn id="7" name="Transfer Case Eff" dataDxfId="106" dataCellStyle="Input"/>
    <tableColumn id="8" name="Final Drive Eff (%)" dataDxfId="105" dataCellStyle="Input"/>
    <tableColumn id="9" name="Starting Gear" dataDxfId="104" dataCellStyle="Input"/>
    <tableColumn id="10" name="Gear Ratio 1" dataDxfId="103" dataCellStyle="Input"/>
    <tableColumn id="11" name="Gear Ratio 2" dataDxfId="102" dataCellStyle="Input"/>
    <tableColumn id="12" name="Gear Ratio 3" dataDxfId="101" dataCellStyle="Input"/>
    <tableColumn id="13" name="Gear Ratio 4" dataDxfId="100" dataCellStyle="Input"/>
    <tableColumn id="14" name="Gear Ratio 5" dataDxfId="99" dataCellStyle="Input"/>
    <tableColumn id="15" name="Gear Ratio 6" dataDxfId="98" dataCellStyle="Input"/>
    <tableColumn id="16" name="Gear Ratio 7" dataDxfId="97" dataCellStyle="Input"/>
    <tableColumn id="17" name="Gear Ratio 8" dataDxfId="96" dataCellStyle="Input"/>
    <tableColumn id="18" name="Gear Ratio 9" dataDxfId="95" dataCellStyle="Input"/>
    <tableColumn id="19" name="Gear Ratio 10" dataDxfId="94" dataCellStyle="Input"/>
    <tableColumn id="20" name="Gear Ratio 11" dataDxfId="93" dataCellStyle="Input"/>
    <tableColumn id="21" name="Gear Ratio 12" dataDxfId="92" dataCellStyle="Input"/>
    <tableColumn id="22" name="Gear Ratio 13" dataDxfId="91" dataCellStyle="Input"/>
    <tableColumn id="23" name="Gear Ratio 14" dataDxfId="90" dataCellStyle="Input"/>
    <tableColumn id="24" name="Gear Ratio 15" dataDxfId="89" dataCellStyle="Input"/>
    <tableColumn id="25" name="Gear Ratio 16" dataDxfId="88" dataCellStyle="Input"/>
    <tableColumn id="26" name="Gear Ratio 17" dataDxfId="87" dataCellStyle="Input"/>
    <tableColumn id="27" name="Gear Ratio 18" dataDxfId="86" dataCellStyle="Input"/>
    <tableColumn id="28" name="Gear Eff 1" dataDxfId="85" dataCellStyle="Input"/>
    <tableColumn id="29" name="Gear Eff 2" dataDxfId="84" dataCellStyle="Input"/>
    <tableColumn id="30" name="Gear Eff 3" dataDxfId="83" dataCellStyle="Input"/>
    <tableColumn id="31" name="Gear Eff 4" dataDxfId="82" dataCellStyle="Input"/>
    <tableColumn id="32" name="Gear Eff 5" dataDxfId="81" dataCellStyle="Input"/>
    <tableColumn id="33" name="Gear Eff 6" dataDxfId="80" dataCellStyle="Input"/>
    <tableColumn id="34" name="Gear Eff 7" dataDxfId="79" dataCellStyle="Input"/>
    <tableColumn id="35" name="Gear Eff 8" dataDxfId="78" dataCellStyle="Input"/>
    <tableColumn id="36" name="Gear Eff 9" dataDxfId="77" dataCellStyle="Input"/>
    <tableColumn id="37" name="Gear Eff 10" dataDxfId="76" dataCellStyle="Input"/>
    <tableColumn id="38" name="Gear Eff 11" dataDxfId="75" dataCellStyle="Input"/>
    <tableColumn id="39" name="Gear Eff 12" dataDxfId="74" dataCellStyle="Input"/>
    <tableColumn id="40" name="Gear Eff 13" dataDxfId="73" dataCellStyle="Input"/>
    <tableColumn id="41" name="Gear Eff 14" dataDxfId="72" dataCellStyle="Input"/>
    <tableColumn id="42" name="Gear Eff 15" dataDxfId="71" dataCellStyle="Input"/>
    <tableColumn id="43" name="Gear Eff 16" dataDxfId="70" dataCellStyle="Input"/>
    <tableColumn id="44" name="Gear Eff 17" dataDxfId="69" dataCellStyle="Input"/>
    <tableColumn id="45" name="Gear Eff 18" dataDxfId="68" dataCellStyle="Inpu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A1:L14" totalsRowShown="0" headerRowDxfId="67" dataDxfId="65" headerRowBorderDxfId="66" tableBorderDxfId="64" totalsRowBorderDxfId="63" headerRowCellStyle="Good 3" dataCellStyle="Input">
  <autoFilter ref="A1:L14"/>
  <sortState ref="A2:J10">
    <sortCondition ref="C1:C10"/>
  </sortState>
  <tableColumns count="12">
    <tableColumn id="1" name="Year" dataDxfId="62" dataCellStyle="Input"/>
    <tableColumn id="12" name="Lab Year" dataDxfId="61" dataCellStyle="Input">
      <calculatedColumnFormula>Table8[[#This Row],[Year]]-5</calculatedColumnFormula>
    </tableColumn>
    <tableColumn id="2" name="Case" dataDxfId="60" dataCellStyle="Input"/>
    <tableColumn id="3" name="Boost Converter Specifc Power  (W/kg)" dataDxfId="59" dataCellStyle="Input"/>
    <tableColumn id="11" name="High Voltage System Specific Power (without boost* W/kg)" dataDxfId="58" dataCellStyle="Input"/>
    <tableColumn id="4" name="High Voltage System Weight Offset" dataDxfId="57" dataCellStyle="Input"/>
    <tableColumn id="9" name="Electric machine peak eff" dataDxfId="56" dataCellStyle="Input"/>
    <tableColumn id="7" name="inverter efficiency" dataDxfId="55" dataCellStyle="Input"/>
    <tableColumn id="5" name="High Voltage System Peak Efficiency (w/o boost)(%)" dataDxfId="54" dataCellStyle="Input"/>
    <tableColumn id="8" name="Electric Traction Drive System Cost ($/kw)" dataDxfId="53" dataCellStyle="Input"/>
    <tableColumn id="10" name="On-board Charger cost ($)" dataDxfId="52" dataCellStyle="Input"/>
    <tableColumn id="6" name="Charger Efficiency (%)" dataDxfId="51" dataCellStyle="Inpu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L49" totalsRowShown="0" headerRowDxfId="50" headerRowBorderDxfId="49" tableBorderDxfId="48" totalsRowBorderDxfId="47" headerRowCellStyle="Good 3">
  <autoFilter ref="A1:L49"/>
  <sortState ref="A2:K10">
    <sortCondition ref="D1:D10"/>
  </sortState>
  <tableColumns count="12">
    <tableColumn id="1" name="Year" dataDxfId="46" dataCellStyle="Input"/>
    <tableColumn id="9" name="Lab Year" dataDxfId="45" dataCellStyle="Input">
      <calculatedColumnFormula>A2-5</calculatedColumnFormula>
    </tableColumn>
    <tableColumn id="11" name="Regulatory Code" dataDxfId="44" dataCellStyle="Input"/>
    <tableColumn id="2" name="Case" dataDxfId="43" dataCellStyle="Input"/>
    <tableColumn id="3" name="FC Peak Eff (%)" dataDxfId="42" dataCellStyle="Input"/>
    <tableColumn id="4" name="FC specific power (W/kg)" dataDxfId="41" dataCellStyle="Input"/>
    <tableColumn id="5" name="FC cost ($/kw)" dataDxfId="40" dataCellStyle="Input"/>
    <tableColumn id="6" name="H2 to tank weight ratio" dataDxfId="39" dataCellStyle="Input"/>
    <tableColumn id="12" name="Gravimetric Energy Density of Storage (kWh/kg)" dataDxfId="38" dataCellStyle="Input"/>
    <tableColumn id="7" name="Tank fixed cost ($)" dataDxfId="37" dataCellStyle="Input"/>
    <tableColumn id="10" name="Tank Cost ($/kg H2)" dataDxfId="36" dataCellStyle="Input"/>
    <tableColumn id="8" name="Cost of Usable H2 ($/kg)" dataDxfId="35" dataCellStyle="Inpu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M85" totalsRowShown="0" headerRowDxfId="34" dataDxfId="33" tableBorderDxfId="32" dataCellStyle="Input">
  <autoFilter ref="A1:M85"/>
  <sortState ref="A2:N81">
    <sortCondition ref="D1:D81"/>
  </sortState>
  <tableColumns count="13">
    <tableColumn id="1" name="Year" dataDxfId="31" dataCellStyle="Input"/>
    <tableColumn id="13" name="Lab Year" dataDxfId="30" dataCellStyle="Input">
      <calculatedColumnFormula>A2-5</calculatedColumnFormula>
    </tableColumn>
    <tableColumn id="2" name="Case" dataDxfId="29" dataCellStyle="Input"/>
    <tableColumn id="3" name="Powertrain" dataDxfId="28" dataCellStyle="Input"/>
    <tableColumn id="4" name="Technology" dataDxfId="27" dataCellStyle="Input"/>
    <tableColumn id="5" name="SOC Max" dataDxfId="26" dataCellStyle="Input"/>
    <tableColumn id="6" name="SOC Min" dataDxfId="25" dataCellStyle="Input"/>
    <tableColumn id="7" name="SOC init" dataDxfId="24" dataCellStyle="Input"/>
    <tableColumn id="8" name="Specific Power @ 70% SOC (W/kg)" dataDxfId="23" dataCellStyle="Input"/>
    <tableColumn id="9" name="Total Pack Energy Density (Wh/kg) " dataDxfId="22" dataCellStyle="Input"/>
    <tableColumn id="10" name="Cost of Power ($/kW)" dataDxfId="21" dataCellStyle="Input"/>
    <tableColumn id="11" name="Total Energy Cost ($/kWh)" dataDxfId="20" dataCellStyle="Input"/>
    <tableColumn id="14" name="BatteryPackVoltage" dataDxfId="19" dataCellStyle="Inpu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2" name="Table2" displayName="Table2" ref="A1:F218" totalsRowShown="0" headerRowDxfId="18" dataDxfId="17">
  <autoFilter ref="A1:F218"/>
  <sortState ref="A2:F218">
    <sortCondition ref="C1:C218"/>
  </sortState>
  <tableColumns count="6">
    <tableColumn id="1" name="Class" dataDxfId="16" totalsRowDxfId="15"/>
    <tableColumn id="2" name="Purpose" dataDxfId="14" totalsRowDxfId="13"/>
    <tableColumn id="3" name="Powertrain" dataDxfId="12" totalsRowDxfId="11"/>
    <tableColumn id="4" name="Regulatory Code" dataDxfId="10" totalsRowDxfId="9"/>
    <tableColumn id="5" name="Autonomie ref vehicle" dataDxfId="8" totalsRowDxfId="7"/>
    <tableColumn id="6" name="Procedure" dataDxfId="6" totalsRowDxfId="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" name="Table1" displayName="Table1" ref="A1:C87" totalsRowShown="0" headerRowDxfId="4" dataDxfId="3">
  <autoFilter ref="A1:C87"/>
  <tableColumns count="3">
    <tableColumn id="1" name="DisplayName" dataDxfId="2" dataCellStyle="Good 3"/>
    <tableColumn id="2" name="TableVariable" dataDxfId="1" dataCellStyle="Good 3"/>
    <tableColumn id="3" name="AuVari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3.xml"/><Relationship Id="rId4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ord.com/commercial-trucks/transit-cargo-van/models/transit-van/" TargetMode="External"/><Relationship Id="rId1" Type="http://schemas.openxmlformats.org/officeDocument/2006/relationships/hyperlink" Target="https://www.ford.com/trucks/super-duty/models/f450-xlt/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anl.app.box.com/s/3dfq5bvqrjni0veon68by33im7gsgch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6"/>
  <sheetViews>
    <sheetView workbookViewId="0">
      <selection activeCell="J25" sqref="J25"/>
    </sheetView>
  </sheetViews>
  <sheetFormatPr defaultRowHeight="15" x14ac:dyDescent="0.25"/>
  <cols>
    <col min="1" max="1" width="23.140625" customWidth="1"/>
    <col min="2" max="2" width="89.28515625" customWidth="1"/>
  </cols>
  <sheetData>
    <row r="1" spans="1:2" ht="18.75" x14ac:dyDescent="0.3">
      <c r="A1" s="20" t="s">
        <v>403</v>
      </c>
      <c r="B1" s="20"/>
    </row>
    <row r="3" spans="1:2" ht="15.75" x14ac:dyDescent="0.25">
      <c r="A3" s="19" t="s">
        <v>184</v>
      </c>
      <c r="B3" t="s">
        <v>191</v>
      </c>
    </row>
    <row r="4" spans="1:2" x14ac:dyDescent="0.25">
      <c r="A4" s="17"/>
    </row>
    <row r="5" spans="1:2" s="5" customFormat="1" x14ac:dyDescent="0.25">
      <c r="A5" s="18" t="s">
        <v>402</v>
      </c>
      <c r="B5" s="16" t="s">
        <v>391</v>
      </c>
    </row>
    <row r="6" spans="1:2" x14ac:dyDescent="0.25">
      <c r="A6" s="18" t="s">
        <v>190</v>
      </c>
      <c r="B6" s="16" t="s">
        <v>202</v>
      </c>
    </row>
    <row r="7" spans="1:2" s="5" customFormat="1" x14ac:dyDescent="0.25">
      <c r="A7" s="18" t="s">
        <v>392</v>
      </c>
      <c r="B7" s="16" t="s">
        <v>393</v>
      </c>
    </row>
    <row r="8" spans="1:2" s="5" customFormat="1" x14ac:dyDescent="0.25">
      <c r="A8" s="17" t="s">
        <v>384</v>
      </c>
      <c r="B8" s="5" t="s">
        <v>385</v>
      </c>
    </row>
    <row r="9" spans="1:2" ht="30" x14ac:dyDescent="0.25">
      <c r="A9" s="18" t="s">
        <v>394</v>
      </c>
      <c r="B9" s="16" t="s">
        <v>185</v>
      </c>
    </row>
    <row r="10" spans="1:2" x14ac:dyDescent="0.25">
      <c r="A10" s="17" t="s">
        <v>186</v>
      </c>
      <c r="B10" t="s">
        <v>187</v>
      </c>
    </row>
    <row r="11" spans="1:2" s="5" customFormat="1" x14ac:dyDescent="0.25">
      <c r="A11" s="17" t="s">
        <v>395</v>
      </c>
      <c r="B11" s="16" t="s">
        <v>396</v>
      </c>
    </row>
    <row r="12" spans="1:2" x14ac:dyDescent="0.25">
      <c r="A12" s="17" t="s">
        <v>188</v>
      </c>
      <c r="B12" t="s">
        <v>397</v>
      </c>
    </row>
    <row r="13" spans="1:2" x14ac:dyDescent="0.25">
      <c r="A13" s="17" t="s">
        <v>189</v>
      </c>
      <c r="B13" t="s">
        <v>398</v>
      </c>
    </row>
    <row r="15" spans="1:2" s="5" customFormat="1" x14ac:dyDescent="0.25">
      <c r="A15" s="18" t="s">
        <v>399</v>
      </c>
      <c r="B15" s="16" t="s">
        <v>400</v>
      </c>
    </row>
    <row r="16" spans="1:2" x14ac:dyDescent="0.25">
      <c r="A16" s="18" t="s">
        <v>192</v>
      </c>
      <c r="B16" s="16" t="s">
        <v>401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26"/>
  <sheetViews>
    <sheetView zoomScale="120" zoomScaleNormal="120" workbookViewId="0">
      <selection activeCell="F23" sqref="F23"/>
    </sheetView>
  </sheetViews>
  <sheetFormatPr defaultRowHeight="15" x14ac:dyDescent="0.25"/>
  <cols>
    <col min="1" max="1" width="5.28515625" style="39" bestFit="1" customWidth="1"/>
    <col min="2" max="2" width="17.85546875" style="39" customWidth="1"/>
    <col min="5" max="5" width="11.7109375" customWidth="1"/>
    <col min="6" max="6" width="9.5703125" customWidth="1"/>
  </cols>
  <sheetData>
    <row r="1" spans="1:4" ht="98.25" customHeight="1" x14ac:dyDescent="0.25">
      <c r="A1" s="155" t="s">
        <v>16</v>
      </c>
      <c r="B1" s="151" t="s">
        <v>21</v>
      </c>
      <c r="C1" s="152" t="s">
        <v>390</v>
      </c>
      <c r="D1" s="153" t="s">
        <v>389</v>
      </c>
    </row>
    <row r="2" spans="1:4" x14ac:dyDescent="0.25">
      <c r="A2" s="156">
        <v>2</v>
      </c>
      <c r="B2" s="154" t="s">
        <v>286</v>
      </c>
      <c r="C2" s="158"/>
      <c r="D2" s="158"/>
    </row>
    <row r="3" spans="1:4" x14ac:dyDescent="0.25">
      <c r="A3" s="157">
        <v>3</v>
      </c>
      <c r="B3" s="74" t="s">
        <v>355</v>
      </c>
      <c r="C3" s="159"/>
      <c r="D3" s="159"/>
    </row>
    <row r="4" spans="1:4" x14ac:dyDescent="0.25">
      <c r="A4" s="156">
        <v>3</v>
      </c>
      <c r="B4" s="154" t="s">
        <v>286</v>
      </c>
      <c r="C4" s="158">
        <v>7.0000000000000001E-3</v>
      </c>
      <c r="D4" s="158">
        <v>0.04</v>
      </c>
    </row>
    <row r="5" spans="1:4" x14ac:dyDescent="0.25">
      <c r="A5" s="157">
        <v>3</v>
      </c>
      <c r="B5" s="74" t="s">
        <v>280</v>
      </c>
      <c r="C5" s="159"/>
      <c r="D5" s="159"/>
    </row>
    <row r="6" spans="1:4" x14ac:dyDescent="0.25">
      <c r="A6" s="156">
        <v>3</v>
      </c>
      <c r="B6" s="154" t="s">
        <v>349</v>
      </c>
      <c r="C6" s="158">
        <v>2.9000000000000001E-2</v>
      </c>
      <c r="D6" s="158">
        <v>0.10199999999999999</v>
      </c>
    </row>
    <row r="7" spans="1:4" x14ac:dyDescent="0.25">
      <c r="A7" s="157">
        <v>4</v>
      </c>
      <c r="B7" s="74" t="s">
        <v>355</v>
      </c>
      <c r="C7" s="159"/>
      <c r="D7" s="159"/>
    </row>
    <row r="8" spans="1:4" x14ac:dyDescent="0.25">
      <c r="A8" s="156">
        <v>4</v>
      </c>
      <c r="B8" s="154" t="s">
        <v>377</v>
      </c>
      <c r="C8" s="158">
        <v>8.0000000000000002E-3</v>
      </c>
      <c r="D8" s="158">
        <v>1.6E-2</v>
      </c>
    </row>
    <row r="9" spans="1:4" x14ac:dyDescent="0.25">
      <c r="A9" s="157">
        <v>4</v>
      </c>
      <c r="B9" s="74" t="s">
        <v>287</v>
      </c>
      <c r="C9" s="159">
        <v>8.0000000000000002E-3</v>
      </c>
      <c r="D9" s="159">
        <v>2.9000000000000001E-2</v>
      </c>
    </row>
    <row r="10" spans="1:4" x14ac:dyDescent="0.25">
      <c r="A10" s="156">
        <v>5</v>
      </c>
      <c r="B10" s="154" t="s">
        <v>288</v>
      </c>
      <c r="C10" s="158">
        <v>5.0000000000000001E-3</v>
      </c>
      <c r="D10" s="158"/>
    </row>
    <row r="11" spans="1:4" x14ac:dyDescent="0.25">
      <c r="A11" s="157">
        <v>6</v>
      </c>
      <c r="B11" s="74" t="s">
        <v>377</v>
      </c>
      <c r="C11" s="159"/>
      <c r="D11" s="159"/>
    </row>
    <row r="12" spans="1:4" x14ac:dyDescent="0.25">
      <c r="A12" s="156">
        <v>6</v>
      </c>
      <c r="B12" s="154" t="s">
        <v>355</v>
      </c>
      <c r="C12" s="158">
        <v>1.2999999999999999E-2</v>
      </c>
      <c r="D12" s="158">
        <v>2.9000000000000001E-2</v>
      </c>
    </row>
    <row r="13" spans="1:4" x14ac:dyDescent="0.25">
      <c r="A13" s="157">
        <v>6</v>
      </c>
      <c r="B13" s="74" t="s">
        <v>279</v>
      </c>
      <c r="C13" s="159">
        <v>8.0000000000000002E-3</v>
      </c>
      <c r="D13" s="159">
        <v>2.1999999999999999E-2</v>
      </c>
    </row>
    <row r="14" spans="1:4" x14ac:dyDescent="0.25">
      <c r="A14" s="156">
        <v>7</v>
      </c>
      <c r="B14" s="154" t="s">
        <v>227</v>
      </c>
      <c r="C14" s="158">
        <v>3.5000000000000003E-2</v>
      </c>
      <c r="D14" s="158">
        <v>2.3E-2</v>
      </c>
    </row>
    <row r="15" spans="1:4" x14ac:dyDescent="0.25">
      <c r="A15" s="157">
        <v>7</v>
      </c>
      <c r="B15" s="74" t="s">
        <v>226</v>
      </c>
      <c r="C15" s="159">
        <v>6.0000000000000001E-3</v>
      </c>
      <c r="D15" s="159"/>
    </row>
    <row r="16" spans="1:4" x14ac:dyDescent="0.25">
      <c r="A16" s="156">
        <v>7</v>
      </c>
      <c r="B16" s="154" t="s">
        <v>355</v>
      </c>
      <c r="C16" s="158">
        <v>0.01</v>
      </c>
      <c r="D16" s="158">
        <v>2.3E-2</v>
      </c>
    </row>
    <row r="17" spans="1:4" x14ac:dyDescent="0.25">
      <c r="A17" s="157">
        <v>7</v>
      </c>
      <c r="B17" s="74" t="s">
        <v>280</v>
      </c>
      <c r="C17" s="159">
        <v>1.7999999999999999E-2</v>
      </c>
      <c r="D17" s="159">
        <v>0.05</v>
      </c>
    </row>
    <row r="18" spans="1:4" x14ac:dyDescent="0.25">
      <c r="A18" s="156">
        <v>8</v>
      </c>
      <c r="B18" s="154" t="s">
        <v>381</v>
      </c>
      <c r="C18" s="158">
        <v>0.45100000000000001</v>
      </c>
      <c r="D18" s="158">
        <v>0.14399999999999999</v>
      </c>
    </row>
    <row r="19" spans="1:4" x14ac:dyDescent="0.25">
      <c r="A19" s="157">
        <v>8</v>
      </c>
      <c r="B19" s="74" t="s">
        <v>227</v>
      </c>
      <c r="C19" s="159">
        <v>8.0000000000000002E-3</v>
      </c>
      <c r="D19" s="159"/>
    </row>
    <row r="20" spans="1:4" x14ac:dyDescent="0.25">
      <c r="A20" s="156">
        <v>8</v>
      </c>
      <c r="B20" s="154" t="s">
        <v>338</v>
      </c>
      <c r="C20" s="158"/>
      <c r="D20" s="158"/>
    </row>
    <row r="21" spans="1:4" x14ac:dyDescent="0.25">
      <c r="A21" s="157">
        <v>8</v>
      </c>
      <c r="B21" s="74" t="s">
        <v>348</v>
      </c>
      <c r="C21" s="159"/>
      <c r="D21" s="159"/>
    </row>
    <row r="22" spans="1:4" x14ac:dyDescent="0.25">
      <c r="A22" s="156">
        <v>8</v>
      </c>
      <c r="B22" s="154" t="s">
        <v>226</v>
      </c>
      <c r="C22" s="158">
        <v>2.3E-2</v>
      </c>
      <c r="D22" s="158">
        <v>0.02</v>
      </c>
    </row>
    <row r="23" spans="1:4" x14ac:dyDescent="0.25">
      <c r="A23" s="157">
        <v>8</v>
      </c>
      <c r="B23" s="74" t="s">
        <v>275</v>
      </c>
      <c r="C23" s="159">
        <v>2.9000000000000001E-2</v>
      </c>
      <c r="D23" s="159">
        <v>1.0999999999999999E-2</v>
      </c>
    </row>
    <row r="24" spans="1:4" x14ac:dyDescent="0.25">
      <c r="A24" s="156">
        <v>8</v>
      </c>
      <c r="B24" s="154" t="s">
        <v>350</v>
      </c>
      <c r="C24" s="158"/>
      <c r="D24" s="158"/>
    </row>
    <row r="25" spans="1:4" x14ac:dyDescent="0.25">
      <c r="A25" s="157">
        <v>8</v>
      </c>
      <c r="B25" s="74" t="s">
        <v>281</v>
      </c>
      <c r="C25" s="159">
        <v>1.0999999999999999E-2</v>
      </c>
      <c r="D25" s="159"/>
    </row>
    <row r="26" spans="1:4" x14ac:dyDescent="0.25">
      <c r="A26" s="156">
        <v>8</v>
      </c>
      <c r="B26" s="154" t="s">
        <v>353</v>
      </c>
      <c r="C26" s="158">
        <v>0.224</v>
      </c>
      <c r="D26" s="158">
        <v>0.12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3" tint="0.59996337778862885"/>
  </sheetPr>
  <dimension ref="A1:Q24"/>
  <sheetViews>
    <sheetView zoomScale="120" zoomScaleNormal="120" workbookViewId="0">
      <pane xSplit="2" ySplit="1" topLeftCell="C20" activePane="bottomRight" state="frozen"/>
      <selection activeCell="M4" sqref="M4"/>
      <selection pane="topRight" activeCell="M4" sqref="M4"/>
      <selection pane="bottomLeft" activeCell="M4" sqref="M4"/>
      <selection pane="bottomRight" activeCell="O2" sqref="O2:O24"/>
    </sheetView>
  </sheetViews>
  <sheetFormatPr defaultColWidth="9.140625" defaultRowHeight="15" x14ac:dyDescent="0.25"/>
  <cols>
    <col min="1" max="1" width="5.28515625" style="39" bestFit="1" customWidth="1"/>
    <col min="2" max="2" width="17.85546875" style="39" customWidth="1"/>
    <col min="3" max="3" width="12" style="39" bestFit="1" customWidth="1"/>
    <col min="4" max="4" width="8.42578125" style="39" customWidth="1"/>
    <col min="5" max="5" width="7.85546875" style="39" bestFit="1" customWidth="1"/>
    <col min="6" max="8" width="8.5703125" style="39" customWidth="1"/>
    <col min="9" max="9" width="6.7109375" style="39" customWidth="1"/>
    <col min="10" max="10" width="6.7109375" style="39" bestFit="1" customWidth="1"/>
    <col min="11" max="11" width="6.7109375" style="39" customWidth="1"/>
    <col min="12" max="12" width="9.85546875" style="39" bestFit="1" customWidth="1"/>
    <col min="13" max="13" width="9.85546875" style="71" customWidth="1"/>
    <col min="14" max="14" width="9.85546875" style="39" hidden="1" customWidth="1"/>
    <col min="15" max="15" width="9.42578125" style="39" bestFit="1" customWidth="1"/>
    <col min="16" max="16" width="33.42578125" style="39" bestFit="1" customWidth="1"/>
    <col min="17" max="17" width="9.42578125" style="39" hidden="1" customWidth="1"/>
    <col min="18" max="27" width="12" style="39" bestFit="1" customWidth="1"/>
    <col min="28" max="16384" width="9.140625" style="39"/>
  </cols>
  <sheetData>
    <row r="1" spans="1:17" s="73" customFormat="1" ht="111" customHeight="1" x14ac:dyDescent="0.25">
      <c r="A1" s="161" t="s">
        <v>16</v>
      </c>
      <c r="B1" s="162" t="s">
        <v>21</v>
      </c>
      <c r="C1" s="163" t="s">
        <v>231</v>
      </c>
      <c r="D1" s="95" t="s">
        <v>28</v>
      </c>
      <c r="E1" s="164" t="s">
        <v>23</v>
      </c>
      <c r="F1" s="95" t="s">
        <v>323</v>
      </c>
      <c r="G1" s="95" t="s">
        <v>324</v>
      </c>
      <c r="H1" s="95" t="s">
        <v>322</v>
      </c>
      <c r="I1" s="95" t="s">
        <v>329</v>
      </c>
      <c r="J1" s="165" t="s">
        <v>25</v>
      </c>
      <c r="K1" s="161" t="s">
        <v>316</v>
      </c>
      <c r="L1" s="162" t="s">
        <v>317</v>
      </c>
      <c r="M1" s="195" t="s">
        <v>330</v>
      </c>
      <c r="N1" s="95" t="s">
        <v>340</v>
      </c>
      <c r="O1" s="164" t="s">
        <v>24</v>
      </c>
      <c r="P1" s="95" t="s">
        <v>326</v>
      </c>
      <c r="Q1" s="72" t="s">
        <v>327</v>
      </c>
    </row>
    <row r="2" spans="1:17" ht="15.75" x14ac:dyDescent="0.25">
      <c r="A2" s="166">
        <v>2</v>
      </c>
      <c r="B2" s="166" t="s">
        <v>286</v>
      </c>
      <c r="C2" s="166" t="s">
        <v>361</v>
      </c>
      <c r="D2" s="166">
        <v>7</v>
      </c>
      <c r="E2" s="166">
        <v>18</v>
      </c>
      <c r="F2" s="166">
        <v>50</v>
      </c>
      <c r="G2" s="166">
        <v>6</v>
      </c>
      <c r="H2" s="168">
        <v>70</v>
      </c>
      <c r="I2" s="169">
        <v>1.5</v>
      </c>
      <c r="J2" s="169">
        <f t="shared" ref="J2:J23" si="0">H2+5</f>
        <v>75</v>
      </c>
      <c r="K2" s="166">
        <v>15</v>
      </c>
      <c r="L2" s="166">
        <v>10000</v>
      </c>
      <c r="M2" s="196">
        <f>L2/2.2</f>
        <v>4545.454545454545</v>
      </c>
      <c r="N2" s="166">
        <f>O2*1608</f>
        <v>241200</v>
      </c>
      <c r="O2" s="167">
        <v>150</v>
      </c>
      <c r="P2" s="166" t="s">
        <v>387</v>
      </c>
      <c r="Q2" s="160" t="s">
        <v>328</v>
      </c>
    </row>
    <row r="3" spans="1:17" ht="15.75" x14ac:dyDescent="0.25">
      <c r="A3" s="170">
        <v>3</v>
      </c>
      <c r="B3" s="170" t="s">
        <v>355</v>
      </c>
      <c r="C3" s="170" t="s">
        <v>361</v>
      </c>
      <c r="D3" s="170">
        <v>7</v>
      </c>
      <c r="E3" s="166">
        <v>30</v>
      </c>
      <c r="F3" s="170">
        <v>50</v>
      </c>
      <c r="G3" s="170">
        <v>6</v>
      </c>
      <c r="H3" s="172">
        <v>65</v>
      </c>
      <c r="I3" s="146">
        <v>1.5</v>
      </c>
      <c r="J3" s="146">
        <f t="shared" si="0"/>
        <v>70</v>
      </c>
      <c r="K3" s="170">
        <v>15</v>
      </c>
      <c r="L3" s="170">
        <v>14000</v>
      </c>
      <c r="M3" s="197">
        <f t="shared" ref="M3:M23" si="1">L3/2.2</f>
        <v>6363.6363636363631</v>
      </c>
      <c r="N3" s="170">
        <f t="shared" ref="N3:N23" si="2">O3*1608</f>
        <v>241200</v>
      </c>
      <c r="O3" s="171">
        <v>150</v>
      </c>
      <c r="P3" s="170" t="s">
        <v>387</v>
      </c>
      <c r="Q3" s="160" t="s">
        <v>328</v>
      </c>
    </row>
    <row r="4" spans="1:17" ht="15.75" x14ac:dyDescent="0.25">
      <c r="A4" s="166">
        <v>3</v>
      </c>
      <c r="B4" s="166" t="s">
        <v>286</v>
      </c>
      <c r="C4" s="166" t="s">
        <v>361</v>
      </c>
      <c r="D4" s="166">
        <v>7</v>
      </c>
      <c r="E4" s="166">
        <v>24</v>
      </c>
      <c r="F4" s="166">
        <v>50</v>
      </c>
      <c r="G4" s="166">
        <v>6</v>
      </c>
      <c r="H4" s="166">
        <v>65</v>
      </c>
      <c r="I4" s="166">
        <v>1.5</v>
      </c>
      <c r="J4" s="166">
        <f t="shared" si="0"/>
        <v>70</v>
      </c>
      <c r="K4" s="166">
        <v>15</v>
      </c>
      <c r="L4" s="166">
        <v>14000</v>
      </c>
      <c r="M4" s="196">
        <f t="shared" si="1"/>
        <v>6363.6363636363631</v>
      </c>
      <c r="N4" s="166">
        <f t="shared" si="2"/>
        <v>241200</v>
      </c>
      <c r="O4" s="166">
        <v>150</v>
      </c>
      <c r="P4" s="166" t="s">
        <v>387</v>
      </c>
      <c r="Q4" s="160" t="s">
        <v>328</v>
      </c>
    </row>
    <row r="5" spans="1:17" ht="15.75" x14ac:dyDescent="0.25">
      <c r="A5" s="170">
        <v>3</v>
      </c>
      <c r="B5" s="170" t="s">
        <v>280</v>
      </c>
      <c r="C5" s="170" t="s">
        <v>361</v>
      </c>
      <c r="D5" s="170">
        <v>7</v>
      </c>
      <c r="E5" s="170">
        <v>20</v>
      </c>
      <c r="F5" s="170">
        <v>50</v>
      </c>
      <c r="G5" s="170">
        <v>6</v>
      </c>
      <c r="H5" s="170">
        <v>55</v>
      </c>
      <c r="I5" s="170">
        <v>1.5</v>
      </c>
      <c r="J5" s="170">
        <f t="shared" si="0"/>
        <v>60</v>
      </c>
      <c r="K5" s="170">
        <v>15</v>
      </c>
      <c r="L5" s="170">
        <v>14000</v>
      </c>
      <c r="M5" s="197">
        <f t="shared" si="1"/>
        <v>6363.6363636363631</v>
      </c>
      <c r="N5" s="170">
        <f t="shared" si="2"/>
        <v>241200</v>
      </c>
      <c r="O5" s="170">
        <v>150</v>
      </c>
      <c r="P5" s="170" t="s">
        <v>387</v>
      </c>
      <c r="Q5" s="160" t="s">
        <v>328</v>
      </c>
    </row>
    <row r="6" spans="1:17" ht="15.75" x14ac:dyDescent="0.25">
      <c r="A6" s="166">
        <v>3</v>
      </c>
      <c r="B6" s="166" t="s">
        <v>349</v>
      </c>
      <c r="C6" s="166" t="s">
        <v>361</v>
      </c>
      <c r="D6" s="166">
        <v>6</v>
      </c>
      <c r="E6" s="166">
        <v>12</v>
      </c>
      <c r="F6" s="166">
        <v>65</v>
      </c>
      <c r="G6" s="166">
        <v>6</v>
      </c>
      <c r="H6" s="166">
        <v>70</v>
      </c>
      <c r="I6" s="166">
        <v>1.5</v>
      </c>
      <c r="J6" s="166">
        <f t="shared" si="0"/>
        <v>75</v>
      </c>
      <c r="K6" s="166">
        <v>15</v>
      </c>
      <c r="L6" s="166">
        <v>14000</v>
      </c>
      <c r="M6" s="196">
        <f t="shared" si="1"/>
        <v>6363.6363636363631</v>
      </c>
      <c r="N6" s="166">
        <f t="shared" si="2"/>
        <v>241200</v>
      </c>
      <c r="O6" s="166">
        <v>150</v>
      </c>
      <c r="P6" s="166" t="s">
        <v>387</v>
      </c>
      <c r="Q6" s="160" t="s">
        <v>328</v>
      </c>
    </row>
    <row r="7" spans="1:17" ht="15.75" x14ac:dyDescent="0.25">
      <c r="A7" s="170">
        <v>4</v>
      </c>
      <c r="B7" s="170" t="s">
        <v>355</v>
      </c>
      <c r="C7" s="170" t="s">
        <v>361</v>
      </c>
      <c r="D7" s="170">
        <v>9</v>
      </c>
      <c r="E7" s="170">
        <v>30</v>
      </c>
      <c r="F7" s="170">
        <v>50</v>
      </c>
      <c r="G7" s="170">
        <v>6</v>
      </c>
      <c r="H7" s="170">
        <v>55</v>
      </c>
      <c r="I7" s="170">
        <v>1.5</v>
      </c>
      <c r="J7" s="170">
        <f t="shared" si="0"/>
        <v>60</v>
      </c>
      <c r="K7" s="170">
        <v>15</v>
      </c>
      <c r="L7" s="170">
        <v>16000</v>
      </c>
      <c r="M7" s="197">
        <f t="shared" si="1"/>
        <v>7272.7272727272721</v>
      </c>
      <c r="N7" s="170">
        <f t="shared" si="2"/>
        <v>241200</v>
      </c>
      <c r="O7" s="170">
        <v>150</v>
      </c>
      <c r="P7" s="170" t="s">
        <v>387</v>
      </c>
      <c r="Q7" s="160" t="s">
        <v>328</v>
      </c>
    </row>
    <row r="8" spans="1:17" ht="15.75" x14ac:dyDescent="0.25">
      <c r="A8" s="173">
        <v>4</v>
      </c>
      <c r="B8" s="173" t="s">
        <v>377</v>
      </c>
      <c r="C8" s="173" t="s">
        <v>361</v>
      </c>
      <c r="D8" s="173">
        <v>9</v>
      </c>
      <c r="E8" s="173">
        <v>35</v>
      </c>
      <c r="F8" s="173">
        <v>40</v>
      </c>
      <c r="G8" s="173">
        <v>6</v>
      </c>
      <c r="H8" s="173">
        <v>60</v>
      </c>
      <c r="I8" s="173">
        <v>1.5</v>
      </c>
      <c r="J8" s="173">
        <f t="shared" si="0"/>
        <v>65</v>
      </c>
      <c r="K8" s="173">
        <v>20</v>
      </c>
      <c r="L8" s="173">
        <v>16000</v>
      </c>
      <c r="M8" s="198">
        <f t="shared" si="1"/>
        <v>7272.7272727272721</v>
      </c>
      <c r="N8" s="173">
        <f t="shared" si="2"/>
        <v>241200</v>
      </c>
      <c r="O8" s="173">
        <v>150</v>
      </c>
      <c r="P8" s="166" t="s">
        <v>387</v>
      </c>
      <c r="Q8" s="160" t="s">
        <v>328</v>
      </c>
    </row>
    <row r="9" spans="1:17" ht="15.75" x14ac:dyDescent="0.25">
      <c r="A9" s="170">
        <v>4</v>
      </c>
      <c r="B9" s="170" t="s">
        <v>287</v>
      </c>
      <c r="C9" s="170" t="s">
        <v>361</v>
      </c>
      <c r="D9" s="170">
        <v>7</v>
      </c>
      <c r="E9" s="170">
        <v>18</v>
      </c>
      <c r="F9" s="170">
        <v>60</v>
      </c>
      <c r="G9" s="170">
        <v>6</v>
      </c>
      <c r="H9" s="170">
        <v>70</v>
      </c>
      <c r="I9" s="170">
        <v>1.5</v>
      </c>
      <c r="J9" s="170">
        <f t="shared" si="0"/>
        <v>75</v>
      </c>
      <c r="K9" s="170">
        <v>20</v>
      </c>
      <c r="L9" s="170">
        <v>16000</v>
      </c>
      <c r="M9" s="197">
        <f t="shared" si="1"/>
        <v>7272.7272727272721</v>
      </c>
      <c r="N9" s="170">
        <f t="shared" si="2"/>
        <v>321600</v>
      </c>
      <c r="O9" s="170">
        <v>200</v>
      </c>
      <c r="P9" s="170" t="s">
        <v>387</v>
      </c>
      <c r="Q9" s="160" t="s">
        <v>328</v>
      </c>
    </row>
    <row r="10" spans="1:17" ht="15.75" x14ac:dyDescent="0.25">
      <c r="A10" s="166">
        <v>5</v>
      </c>
      <c r="B10" s="166" t="s">
        <v>288</v>
      </c>
      <c r="C10" s="166" t="s">
        <v>361</v>
      </c>
      <c r="D10" s="166">
        <v>9</v>
      </c>
      <c r="E10" s="166">
        <v>24</v>
      </c>
      <c r="F10" s="166">
        <v>50</v>
      </c>
      <c r="G10" s="166">
        <v>6</v>
      </c>
      <c r="H10" s="166">
        <v>55</v>
      </c>
      <c r="I10" s="166">
        <v>1.5</v>
      </c>
      <c r="J10" s="166">
        <f t="shared" si="0"/>
        <v>60</v>
      </c>
      <c r="K10" s="166">
        <v>20</v>
      </c>
      <c r="L10" s="166">
        <v>19500</v>
      </c>
      <c r="M10" s="196">
        <f t="shared" si="1"/>
        <v>8863.6363636363621</v>
      </c>
      <c r="N10" s="166">
        <f t="shared" si="2"/>
        <v>241200</v>
      </c>
      <c r="O10" s="166">
        <v>150</v>
      </c>
      <c r="P10" s="166" t="s">
        <v>387</v>
      </c>
      <c r="Q10" s="160" t="s">
        <v>328</v>
      </c>
    </row>
    <row r="11" spans="1:17" ht="15.75" x14ac:dyDescent="0.25">
      <c r="A11" s="170">
        <v>6</v>
      </c>
      <c r="B11" s="170" t="s">
        <v>377</v>
      </c>
      <c r="C11" s="170" t="s">
        <v>361</v>
      </c>
      <c r="D11" s="170">
        <v>14</v>
      </c>
      <c r="E11" s="170">
        <v>40</v>
      </c>
      <c r="F11" s="170">
        <v>40</v>
      </c>
      <c r="G11" s="170">
        <v>6</v>
      </c>
      <c r="H11" s="170">
        <v>55</v>
      </c>
      <c r="I11" s="170">
        <v>1.5</v>
      </c>
      <c r="J11" s="170">
        <v>70</v>
      </c>
      <c r="K11" s="170">
        <v>15</v>
      </c>
      <c r="L11" s="170">
        <v>26000</v>
      </c>
      <c r="M11" s="197">
        <f t="shared" si="1"/>
        <v>11818.181818181818</v>
      </c>
      <c r="N11" s="170">
        <f t="shared" si="2"/>
        <v>241200</v>
      </c>
      <c r="O11" s="170">
        <v>150</v>
      </c>
      <c r="P11" s="170" t="s">
        <v>387</v>
      </c>
      <c r="Q11" s="160" t="s">
        <v>328</v>
      </c>
    </row>
    <row r="12" spans="1:17" ht="15.75" x14ac:dyDescent="0.25">
      <c r="A12" s="173">
        <v>6</v>
      </c>
      <c r="B12" s="173" t="s">
        <v>355</v>
      </c>
      <c r="C12" s="173" t="s">
        <v>361</v>
      </c>
      <c r="D12" s="173">
        <v>14</v>
      </c>
      <c r="E12" s="173">
        <v>40</v>
      </c>
      <c r="F12" s="173">
        <v>45</v>
      </c>
      <c r="G12" s="173">
        <v>6</v>
      </c>
      <c r="H12" s="173">
        <v>60</v>
      </c>
      <c r="I12" s="173">
        <v>1.5</v>
      </c>
      <c r="J12" s="173">
        <v>70</v>
      </c>
      <c r="K12" s="173">
        <v>20</v>
      </c>
      <c r="L12" s="173">
        <v>26000</v>
      </c>
      <c r="M12" s="198">
        <f t="shared" ref="M12" si="3">L12/2.2</f>
        <v>11818.181818181818</v>
      </c>
      <c r="N12" s="173">
        <f t="shared" ref="N12" si="4">O12*1608</f>
        <v>241200</v>
      </c>
      <c r="O12" s="173">
        <v>150</v>
      </c>
      <c r="P12" s="166" t="s">
        <v>387</v>
      </c>
      <c r="Q12" s="160" t="s">
        <v>328</v>
      </c>
    </row>
    <row r="13" spans="1:17" ht="15.75" x14ac:dyDescent="0.25">
      <c r="A13" s="170">
        <v>6</v>
      </c>
      <c r="B13" s="170" t="s">
        <v>279</v>
      </c>
      <c r="C13" s="170" t="s">
        <v>361</v>
      </c>
      <c r="D13" s="170">
        <v>12</v>
      </c>
      <c r="E13" s="170">
        <v>50</v>
      </c>
      <c r="F13" s="170">
        <v>40</v>
      </c>
      <c r="G13" s="170">
        <v>6</v>
      </c>
      <c r="H13" s="170">
        <v>60</v>
      </c>
      <c r="I13" s="170">
        <v>1.5</v>
      </c>
      <c r="J13" s="170">
        <f t="shared" si="0"/>
        <v>65</v>
      </c>
      <c r="K13" s="170">
        <v>20</v>
      </c>
      <c r="L13" s="170">
        <v>26000</v>
      </c>
      <c r="M13" s="197">
        <f t="shared" si="1"/>
        <v>11818.181818181818</v>
      </c>
      <c r="N13" s="170">
        <f t="shared" si="2"/>
        <v>241200</v>
      </c>
      <c r="O13" s="170">
        <v>150</v>
      </c>
      <c r="P13" s="170" t="s">
        <v>387</v>
      </c>
      <c r="Q13" s="160" t="s">
        <v>328</v>
      </c>
    </row>
    <row r="14" spans="1:17" ht="15.75" x14ac:dyDescent="0.25">
      <c r="A14" s="166">
        <v>7</v>
      </c>
      <c r="B14" s="166" t="s">
        <v>227</v>
      </c>
      <c r="C14" s="166" t="s">
        <v>360</v>
      </c>
      <c r="D14" s="166">
        <v>18</v>
      </c>
      <c r="E14" s="166">
        <v>60</v>
      </c>
      <c r="F14" s="166">
        <v>30</v>
      </c>
      <c r="G14" s="166">
        <v>6</v>
      </c>
      <c r="H14" s="166">
        <v>65</v>
      </c>
      <c r="I14" s="166">
        <v>1.25</v>
      </c>
      <c r="J14" s="166">
        <f t="shared" si="0"/>
        <v>70</v>
      </c>
      <c r="K14" s="166">
        <v>15</v>
      </c>
      <c r="L14" s="166">
        <v>33000</v>
      </c>
      <c r="M14" s="196">
        <f t="shared" si="1"/>
        <v>14999.999999999998</v>
      </c>
      <c r="N14" s="166">
        <f t="shared" si="2"/>
        <v>402000</v>
      </c>
      <c r="O14" s="166">
        <v>250</v>
      </c>
      <c r="P14" s="166" t="s">
        <v>387</v>
      </c>
      <c r="Q14" s="160" t="s">
        <v>328</v>
      </c>
    </row>
    <row r="15" spans="1:17" ht="15.75" x14ac:dyDescent="0.25">
      <c r="A15" s="170">
        <v>7</v>
      </c>
      <c r="B15" s="170" t="s">
        <v>226</v>
      </c>
      <c r="C15" s="170" t="s">
        <v>361</v>
      </c>
      <c r="D15" s="170">
        <v>18</v>
      </c>
      <c r="E15" s="170">
        <v>60</v>
      </c>
      <c r="F15" s="170">
        <v>30</v>
      </c>
      <c r="G15" s="170">
        <v>6</v>
      </c>
      <c r="H15" s="170">
        <v>60</v>
      </c>
      <c r="I15" s="170">
        <v>1.25</v>
      </c>
      <c r="J15" s="170">
        <f t="shared" si="0"/>
        <v>65</v>
      </c>
      <c r="K15" s="170">
        <v>15</v>
      </c>
      <c r="L15" s="170">
        <v>33000</v>
      </c>
      <c r="M15" s="197">
        <f t="shared" si="1"/>
        <v>14999.999999999998</v>
      </c>
      <c r="N15" s="170">
        <f t="shared" si="2"/>
        <v>321600</v>
      </c>
      <c r="O15" s="170">
        <v>200</v>
      </c>
      <c r="P15" s="170" t="s">
        <v>387</v>
      </c>
      <c r="Q15" s="160" t="s">
        <v>328</v>
      </c>
    </row>
    <row r="16" spans="1:17" ht="15.75" x14ac:dyDescent="0.25">
      <c r="A16" s="166">
        <v>7</v>
      </c>
      <c r="B16" s="166" t="s">
        <v>355</v>
      </c>
      <c r="C16" s="166" t="s">
        <v>361</v>
      </c>
      <c r="D16" s="166">
        <v>18</v>
      </c>
      <c r="E16" s="166">
        <v>60</v>
      </c>
      <c r="F16" s="166">
        <v>30</v>
      </c>
      <c r="G16" s="166">
        <v>6</v>
      </c>
      <c r="H16" s="166">
        <v>55</v>
      </c>
      <c r="I16" s="166">
        <v>1.25</v>
      </c>
      <c r="J16" s="166">
        <f t="shared" si="0"/>
        <v>60</v>
      </c>
      <c r="K16" s="166">
        <v>15</v>
      </c>
      <c r="L16" s="166">
        <v>33000</v>
      </c>
      <c r="M16" s="196">
        <f t="shared" si="1"/>
        <v>14999.999999999998</v>
      </c>
      <c r="N16" s="166">
        <f t="shared" si="2"/>
        <v>241200</v>
      </c>
      <c r="O16" s="166">
        <v>150</v>
      </c>
      <c r="P16" s="166" t="s">
        <v>387</v>
      </c>
      <c r="Q16" s="160" t="s">
        <v>328</v>
      </c>
    </row>
    <row r="17" spans="1:17" ht="15.75" x14ac:dyDescent="0.25">
      <c r="A17" s="170">
        <v>7</v>
      </c>
      <c r="B17" s="170" t="s">
        <v>280</v>
      </c>
      <c r="C17" s="170" t="s">
        <v>361</v>
      </c>
      <c r="D17" s="170">
        <v>19</v>
      </c>
      <c r="E17" s="170">
        <v>60</v>
      </c>
      <c r="F17" s="170">
        <v>30</v>
      </c>
      <c r="G17" s="170">
        <v>6</v>
      </c>
      <c r="H17" s="170">
        <v>55</v>
      </c>
      <c r="I17" s="170">
        <v>1.25</v>
      </c>
      <c r="J17" s="170">
        <f t="shared" si="0"/>
        <v>60</v>
      </c>
      <c r="K17" s="170">
        <v>15</v>
      </c>
      <c r="L17" s="170">
        <v>33000</v>
      </c>
      <c r="M17" s="197">
        <f t="shared" si="1"/>
        <v>14999.999999999998</v>
      </c>
      <c r="N17" s="170">
        <f t="shared" si="2"/>
        <v>241200</v>
      </c>
      <c r="O17" s="170">
        <v>150</v>
      </c>
      <c r="P17" s="170" t="s">
        <v>387</v>
      </c>
      <c r="Q17" s="160" t="s">
        <v>328</v>
      </c>
    </row>
    <row r="18" spans="1:17" ht="15.75" x14ac:dyDescent="0.25">
      <c r="A18" s="173">
        <v>8</v>
      </c>
      <c r="B18" s="173" t="s">
        <v>381</v>
      </c>
      <c r="C18" s="173" t="s">
        <v>359</v>
      </c>
      <c r="D18" s="173">
        <v>18</v>
      </c>
      <c r="E18" s="173">
        <v>80</v>
      </c>
      <c r="F18" s="173">
        <v>30</v>
      </c>
      <c r="G18" s="173">
        <v>6</v>
      </c>
      <c r="H18" s="173">
        <v>65</v>
      </c>
      <c r="I18" s="173">
        <v>1.25</v>
      </c>
      <c r="J18" s="173">
        <v>70</v>
      </c>
      <c r="K18" s="173">
        <v>15</v>
      </c>
      <c r="L18" s="173">
        <v>80000</v>
      </c>
      <c r="M18" s="198">
        <f t="shared" si="1"/>
        <v>36363.63636363636</v>
      </c>
      <c r="N18" s="173">
        <f t="shared" si="2"/>
        <v>804000</v>
      </c>
      <c r="O18" s="173">
        <v>500</v>
      </c>
      <c r="P18" s="166" t="s">
        <v>386</v>
      </c>
      <c r="Q18" s="160" t="s">
        <v>328</v>
      </c>
    </row>
    <row r="19" spans="1:17" ht="15.75" x14ac:dyDescent="0.25">
      <c r="A19" s="166">
        <v>8</v>
      </c>
      <c r="B19" s="166" t="s">
        <v>338</v>
      </c>
      <c r="C19" s="166" t="s">
        <v>360</v>
      </c>
      <c r="D19" s="166">
        <v>20</v>
      </c>
      <c r="E19" s="166">
        <v>66</v>
      </c>
      <c r="F19" s="166">
        <v>30</v>
      </c>
      <c r="G19" s="166">
        <v>6</v>
      </c>
      <c r="H19" s="166">
        <v>65</v>
      </c>
      <c r="I19" s="166">
        <v>1.25</v>
      </c>
      <c r="J19" s="166">
        <f t="shared" si="0"/>
        <v>70</v>
      </c>
      <c r="K19" s="166">
        <v>15</v>
      </c>
      <c r="L19" s="166">
        <v>55000</v>
      </c>
      <c r="M19" s="196">
        <f t="shared" si="1"/>
        <v>24999.999999999996</v>
      </c>
      <c r="N19" s="166">
        <f t="shared" si="2"/>
        <v>402000</v>
      </c>
      <c r="O19" s="166">
        <v>250</v>
      </c>
      <c r="P19" s="166" t="s">
        <v>387</v>
      </c>
      <c r="Q19" s="160" t="s">
        <v>328</v>
      </c>
    </row>
    <row r="20" spans="1:17" ht="15.75" x14ac:dyDescent="0.25">
      <c r="A20" s="170">
        <v>8</v>
      </c>
      <c r="B20" s="170" t="s">
        <v>348</v>
      </c>
      <c r="C20" s="170" t="s">
        <v>360</v>
      </c>
      <c r="D20" s="170">
        <v>20</v>
      </c>
      <c r="E20" s="170">
        <v>80</v>
      </c>
      <c r="F20" s="170">
        <v>30</v>
      </c>
      <c r="G20" s="170">
        <v>6</v>
      </c>
      <c r="H20" s="170">
        <v>60</v>
      </c>
      <c r="I20" s="170">
        <v>1.25</v>
      </c>
      <c r="J20" s="170">
        <f t="shared" si="0"/>
        <v>65</v>
      </c>
      <c r="K20" s="170">
        <v>15</v>
      </c>
      <c r="L20" s="170">
        <v>65000</v>
      </c>
      <c r="M20" s="197">
        <f t="shared" si="1"/>
        <v>29545.454545454544</v>
      </c>
      <c r="N20" s="170">
        <f t="shared" si="2"/>
        <v>321600</v>
      </c>
      <c r="O20" s="170">
        <v>200</v>
      </c>
      <c r="P20" s="170" t="s">
        <v>387</v>
      </c>
      <c r="Q20" s="160" t="s">
        <v>328</v>
      </c>
    </row>
    <row r="21" spans="1:17" ht="15.75" x14ac:dyDescent="0.25">
      <c r="A21" s="166">
        <v>8</v>
      </c>
      <c r="B21" s="166" t="s">
        <v>226</v>
      </c>
      <c r="C21" s="166" t="s">
        <v>362</v>
      </c>
      <c r="D21" s="166">
        <v>20</v>
      </c>
      <c r="E21" s="166">
        <v>120</v>
      </c>
      <c r="F21" s="166">
        <v>25</v>
      </c>
      <c r="G21" s="166">
        <v>6</v>
      </c>
      <c r="H21" s="166">
        <v>50</v>
      </c>
      <c r="I21" s="166">
        <v>1</v>
      </c>
      <c r="J21" s="166">
        <f t="shared" si="0"/>
        <v>55</v>
      </c>
      <c r="K21" s="166">
        <v>15</v>
      </c>
      <c r="L21" s="166">
        <v>80000</v>
      </c>
      <c r="M21" s="196">
        <f t="shared" si="1"/>
        <v>36363.63636363636</v>
      </c>
      <c r="N21" s="166">
        <f t="shared" si="2"/>
        <v>321600</v>
      </c>
      <c r="O21" s="166">
        <v>200</v>
      </c>
      <c r="P21" s="166" t="s">
        <v>387</v>
      </c>
      <c r="Q21" s="160" t="s">
        <v>328</v>
      </c>
    </row>
    <row r="22" spans="1:17" ht="15.75" x14ac:dyDescent="0.25">
      <c r="A22" s="170">
        <v>8</v>
      </c>
      <c r="B22" s="170" t="s">
        <v>275</v>
      </c>
      <c r="C22" s="170" t="s">
        <v>362</v>
      </c>
      <c r="D22" s="170">
        <v>17</v>
      </c>
      <c r="E22" s="170">
        <v>120</v>
      </c>
      <c r="F22" s="170">
        <v>25</v>
      </c>
      <c r="G22" s="170">
        <v>6</v>
      </c>
      <c r="H22" s="170">
        <v>50</v>
      </c>
      <c r="I22" s="170">
        <v>1</v>
      </c>
      <c r="J22" s="170">
        <f t="shared" si="0"/>
        <v>55</v>
      </c>
      <c r="K22" s="170">
        <v>15</v>
      </c>
      <c r="L22" s="170">
        <v>44000</v>
      </c>
      <c r="M22" s="197">
        <f t="shared" si="1"/>
        <v>20000</v>
      </c>
      <c r="N22" s="170">
        <f t="shared" si="2"/>
        <v>321600</v>
      </c>
      <c r="O22" s="170">
        <v>200</v>
      </c>
      <c r="P22" s="170" t="s">
        <v>388</v>
      </c>
      <c r="Q22" s="160" t="s">
        <v>328</v>
      </c>
    </row>
    <row r="23" spans="1:17" ht="15.75" x14ac:dyDescent="0.25">
      <c r="A23" s="174">
        <v>8</v>
      </c>
      <c r="B23" s="174" t="s">
        <v>281</v>
      </c>
      <c r="C23" s="174" t="s">
        <v>362</v>
      </c>
      <c r="D23" s="174">
        <v>20</v>
      </c>
      <c r="E23" s="174">
        <v>120</v>
      </c>
      <c r="F23" s="174">
        <v>25</v>
      </c>
      <c r="G23" s="174">
        <v>6</v>
      </c>
      <c r="H23" s="174">
        <v>50</v>
      </c>
      <c r="I23" s="174">
        <v>1</v>
      </c>
      <c r="J23" s="174">
        <f t="shared" si="0"/>
        <v>55</v>
      </c>
      <c r="K23" s="174">
        <v>20</v>
      </c>
      <c r="L23" s="174">
        <v>66000</v>
      </c>
      <c r="M23" s="199">
        <f t="shared" si="1"/>
        <v>29999.999999999996</v>
      </c>
      <c r="N23" s="174">
        <f t="shared" si="2"/>
        <v>128640</v>
      </c>
      <c r="O23" s="174">
        <v>80</v>
      </c>
      <c r="P23" s="170" t="s">
        <v>387</v>
      </c>
      <c r="Q23" s="160" t="s">
        <v>328</v>
      </c>
    </row>
    <row r="24" spans="1:17" ht="15.75" x14ac:dyDescent="0.25">
      <c r="A24" s="173">
        <v>8</v>
      </c>
      <c r="B24" s="173" t="s">
        <v>353</v>
      </c>
      <c r="C24" s="173" t="s">
        <v>360</v>
      </c>
      <c r="D24" s="173">
        <v>18</v>
      </c>
      <c r="E24" s="173">
        <v>80</v>
      </c>
      <c r="F24" s="173">
        <v>30</v>
      </c>
      <c r="G24" s="173">
        <v>6</v>
      </c>
      <c r="H24" s="173">
        <v>65</v>
      </c>
      <c r="I24" s="173">
        <v>1.25</v>
      </c>
      <c r="J24" s="173">
        <v>70</v>
      </c>
      <c r="K24" s="173">
        <v>15</v>
      </c>
      <c r="L24" s="173">
        <v>80000</v>
      </c>
      <c r="M24" s="198">
        <f t="shared" ref="M24" si="5">L24/2.2</f>
        <v>36363.63636363636</v>
      </c>
      <c r="N24" s="173">
        <f t="shared" ref="N24" si="6">O24*1608</f>
        <v>402000</v>
      </c>
      <c r="O24" s="173">
        <v>250</v>
      </c>
      <c r="P24" s="166" t="s">
        <v>386</v>
      </c>
      <c r="Q24" s="160" t="s">
        <v>328</v>
      </c>
    </row>
  </sheetData>
  <autoFilter ref="A1:P24">
    <sortState ref="A2:K27">
      <sortCondition ref="A1:A27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92D050"/>
  </sheetPr>
  <dimension ref="A1:J1526"/>
  <sheetViews>
    <sheetView tabSelected="1" zoomScale="112" zoomScaleNormal="112" workbookViewId="0">
      <pane xSplit="3" ySplit="1" topLeftCell="D2" activePane="bottomRight" state="frozen"/>
      <selection activeCell="C19" sqref="C19"/>
      <selection pane="topRight" activeCell="C19" sqref="C19"/>
      <selection pane="bottomLeft" activeCell="C19" sqref="C19"/>
      <selection pane="bottomRight" activeCell="K2" sqref="K2:O17"/>
    </sheetView>
  </sheetViews>
  <sheetFormatPr defaultColWidth="9.140625" defaultRowHeight="15.75" x14ac:dyDescent="0.25"/>
  <cols>
    <col min="1" max="1" width="6.5703125" style="52" customWidth="1"/>
    <col min="2" max="2" width="12.28515625" style="52" customWidth="1"/>
    <col min="3" max="3" width="12" style="52" bestFit="1" customWidth="1"/>
    <col min="4" max="4" width="13.5703125" style="52" customWidth="1"/>
    <col min="5" max="5" width="10.85546875" style="70" customWidth="1"/>
    <col min="6" max="6" width="9.140625" style="52" bestFit="1" customWidth="1"/>
    <col min="7" max="7" width="11.85546875" style="52" bestFit="1" customWidth="1"/>
    <col min="8" max="16384" width="9.140625" style="39"/>
  </cols>
  <sheetData>
    <row r="1" spans="1:10" ht="105" x14ac:dyDescent="0.25">
      <c r="A1" s="54" t="s">
        <v>16</v>
      </c>
      <c r="B1" s="54" t="s">
        <v>21</v>
      </c>
      <c r="C1" s="55" t="s">
        <v>22</v>
      </c>
      <c r="D1" s="75" t="s">
        <v>7</v>
      </c>
      <c r="E1" s="76" t="s">
        <v>9</v>
      </c>
      <c r="F1" s="75" t="s">
        <v>11</v>
      </c>
      <c r="G1" s="75" t="s">
        <v>35</v>
      </c>
      <c r="H1" s="95" t="s">
        <v>8</v>
      </c>
      <c r="I1" s="95" t="s">
        <v>36</v>
      </c>
      <c r="J1" s="147" t="s">
        <v>19</v>
      </c>
    </row>
    <row r="2" spans="1:10" ht="15" x14ac:dyDescent="0.25">
      <c r="A2" s="39">
        <v>2</v>
      </c>
      <c r="B2" s="39" t="s">
        <v>286</v>
      </c>
      <c r="C2" s="39" t="s">
        <v>361</v>
      </c>
      <c r="D2" s="39">
        <v>5.38</v>
      </c>
      <c r="E2" s="68">
        <v>0.5</v>
      </c>
      <c r="F2" s="39">
        <v>1000</v>
      </c>
      <c r="G2" s="39">
        <v>7.0000000000000001E-3</v>
      </c>
      <c r="H2" s="78">
        <v>2000</v>
      </c>
      <c r="I2" s="96">
        <v>1500</v>
      </c>
      <c r="J2" s="146" t="s">
        <v>20</v>
      </c>
    </row>
    <row r="3" spans="1:10" ht="15" x14ac:dyDescent="0.25">
      <c r="A3" s="39">
        <v>3</v>
      </c>
      <c r="B3" s="39" t="s">
        <v>349</v>
      </c>
      <c r="C3" s="39" t="s">
        <v>361</v>
      </c>
      <c r="D3" s="39">
        <v>3.95</v>
      </c>
      <c r="E3" s="68">
        <v>0.5</v>
      </c>
      <c r="F3" s="39">
        <v>1000</v>
      </c>
      <c r="G3" s="39">
        <v>7.0000000000000001E-3</v>
      </c>
      <c r="H3" s="78">
        <v>2590</v>
      </c>
      <c r="I3" s="96">
        <v>2600</v>
      </c>
      <c r="J3" s="146" t="s">
        <v>20</v>
      </c>
    </row>
    <row r="4" spans="1:10" ht="15" x14ac:dyDescent="0.25">
      <c r="A4" s="39">
        <v>3</v>
      </c>
      <c r="B4" s="39" t="s">
        <v>355</v>
      </c>
      <c r="C4" s="39" t="s">
        <v>361</v>
      </c>
      <c r="D4" s="39">
        <v>5</v>
      </c>
      <c r="E4" s="68">
        <v>0.67999999999999994</v>
      </c>
      <c r="F4" s="39">
        <v>1500</v>
      </c>
      <c r="G4" s="39">
        <v>7.0000000000000001E-3</v>
      </c>
      <c r="H4" s="78">
        <v>2590</v>
      </c>
      <c r="I4" s="96">
        <v>2600</v>
      </c>
      <c r="J4" s="146" t="s">
        <v>20</v>
      </c>
    </row>
    <row r="5" spans="1:10" ht="15" x14ac:dyDescent="0.25">
      <c r="A5" s="39">
        <v>3</v>
      </c>
      <c r="B5" s="39" t="s">
        <v>280</v>
      </c>
      <c r="C5" s="39" t="s">
        <v>361</v>
      </c>
      <c r="D5" s="39">
        <v>5</v>
      </c>
      <c r="E5" s="68">
        <v>0.6</v>
      </c>
      <c r="F5" s="39">
        <v>2500</v>
      </c>
      <c r="G5" s="39">
        <v>7.0000000000000001E-3</v>
      </c>
      <c r="H5" s="78">
        <v>2590</v>
      </c>
      <c r="I5" s="96">
        <v>2600</v>
      </c>
      <c r="J5" s="146" t="s">
        <v>20</v>
      </c>
    </row>
    <row r="6" spans="1:10" ht="15" x14ac:dyDescent="0.25">
      <c r="A6" s="39">
        <v>3</v>
      </c>
      <c r="B6" s="39" t="s">
        <v>286</v>
      </c>
      <c r="C6" s="39" t="s">
        <v>361</v>
      </c>
      <c r="D6" s="39">
        <v>5.4</v>
      </c>
      <c r="E6" s="68">
        <v>0.6</v>
      </c>
      <c r="F6" s="39">
        <v>1000</v>
      </c>
      <c r="G6" s="39">
        <v>7.0000000000000001E-3</v>
      </c>
      <c r="H6" s="78">
        <v>2590</v>
      </c>
      <c r="I6" s="96">
        <v>2600</v>
      </c>
      <c r="J6" s="146" t="s">
        <v>20</v>
      </c>
    </row>
    <row r="7" spans="1:10" ht="15" x14ac:dyDescent="0.25">
      <c r="A7" s="39">
        <v>4</v>
      </c>
      <c r="B7" s="39" t="s">
        <v>355</v>
      </c>
      <c r="C7" s="39" t="s">
        <v>361</v>
      </c>
      <c r="D7" s="39">
        <v>6.5</v>
      </c>
      <c r="E7" s="68">
        <v>0.55000000000000004</v>
      </c>
      <c r="F7" s="39">
        <v>1500</v>
      </c>
      <c r="G7" s="39">
        <v>7.0000000000000001E-3</v>
      </c>
      <c r="H7" s="78">
        <v>2590</v>
      </c>
      <c r="I7" s="96">
        <v>2600</v>
      </c>
      <c r="J7" s="146" t="s">
        <v>20</v>
      </c>
    </row>
    <row r="8" spans="1:10" ht="15" x14ac:dyDescent="0.25">
      <c r="A8" s="39">
        <v>4</v>
      </c>
      <c r="B8" s="39" t="s">
        <v>287</v>
      </c>
      <c r="C8" s="39" t="s">
        <v>361</v>
      </c>
      <c r="D8" s="39">
        <v>4</v>
      </c>
      <c r="E8" s="68">
        <v>0.6</v>
      </c>
      <c r="F8" s="39">
        <v>1500</v>
      </c>
      <c r="G8" s="39">
        <v>7.0000000000000001E-3</v>
      </c>
      <c r="H8" s="78">
        <v>2590</v>
      </c>
      <c r="I8" s="96">
        <v>2600</v>
      </c>
      <c r="J8" s="146" t="s">
        <v>20</v>
      </c>
    </row>
    <row r="9" spans="1:10" ht="15" x14ac:dyDescent="0.25">
      <c r="A9" s="131">
        <v>4</v>
      </c>
      <c r="B9" s="131" t="s">
        <v>377</v>
      </c>
      <c r="C9" s="131" t="s">
        <v>361</v>
      </c>
      <c r="D9" s="131">
        <v>6.5</v>
      </c>
      <c r="E9" s="132">
        <v>0.7</v>
      </c>
      <c r="F9" s="131">
        <v>1500</v>
      </c>
      <c r="G9" s="131">
        <v>6.0000000000000001E-3</v>
      </c>
      <c r="H9" s="133">
        <v>2590</v>
      </c>
      <c r="I9" s="134">
        <v>2600</v>
      </c>
      <c r="J9" s="146" t="s">
        <v>20</v>
      </c>
    </row>
    <row r="10" spans="1:10" ht="15" x14ac:dyDescent="0.25">
      <c r="A10" s="39">
        <v>5</v>
      </c>
      <c r="B10" s="39" t="s">
        <v>288</v>
      </c>
      <c r="C10" s="39" t="s">
        <v>361</v>
      </c>
      <c r="D10" s="39">
        <v>4.6500000000000004</v>
      </c>
      <c r="E10" s="68">
        <v>0.5</v>
      </c>
      <c r="F10" s="39">
        <v>2000</v>
      </c>
      <c r="G10" s="39">
        <v>7.0000000000000001E-3</v>
      </c>
      <c r="H10" s="78">
        <v>2590</v>
      </c>
      <c r="I10" s="96">
        <v>2600</v>
      </c>
      <c r="J10" s="146" t="s">
        <v>20</v>
      </c>
    </row>
    <row r="11" spans="1:10" s="149" customFormat="1" ht="15" x14ac:dyDescent="0.25">
      <c r="A11" s="149">
        <v>6</v>
      </c>
      <c r="B11" s="149" t="s">
        <v>279</v>
      </c>
      <c r="C11" s="149" t="s">
        <v>361</v>
      </c>
      <c r="D11" s="149">
        <v>5.22</v>
      </c>
      <c r="E11" s="150">
        <v>0.75</v>
      </c>
      <c r="F11" s="149">
        <v>2500</v>
      </c>
      <c r="G11" s="149">
        <v>7.0000000000000001E-3</v>
      </c>
      <c r="H11" s="78">
        <v>3500</v>
      </c>
      <c r="I11" s="96">
        <v>7000</v>
      </c>
      <c r="J11" s="146" t="s">
        <v>20</v>
      </c>
    </row>
    <row r="12" spans="1:10" ht="15" x14ac:dyDescent="0.25">
      <c r="A12" s="131">
        <v>6</v>
      </c>
      <c r="B12" s="131" t="s">
        <v>355</v>
      </c>
      <c r="C12" s="131" t="s">
        <v>361</v>
      </c>
      <c r="D12" s="131">
        <v>7</v>
      </c>
      <c r="E12" s="132">
        <v>0.63</v>
      </c>
      <c r="F12" s="131">
        <v>2500</v>
      </c>
      <c r="G12" s="131">
        <v>6.0000000000000001E-3</v>
      </c>
      <c r="H12" s="133">
        <v>5090</v>
      </c>
      <c r="I12" s="134">
        <v>4385</v>
      </c>
      <c r="J12" s="146" t="s">
        <v>20</v>
      </c>
    </row>
    <row r="13" spans="1:10" ht="15" x14ac:dyDescent="0.25">
      <c r="A13" s="149">
        <v>6</v>
      </c>
      <c r="B13" s="149" t="s">
        <v>377</v>
      </c>
      <c r="C13" s="149" t="s">
        <v>361</v>
      </c>
      <c r="D13" s="149">
        <v>7</v>
      </c>
      <c r="E13" s="150">
        <v>0.7</v>
      </c>
      <c r="F13" s="149">
        <v>2500</v>
      </c>
      <c r="G13" s="149">
        <v>7.0000000000000001E-3</v>
      </c>
      <c r="H13" s="78">
        <v>2000</v>
      </c>
      <c r="I13" s="96">
        <v>5000</v>
      </c>
      <c r="J13" s="146" t="s">
        <v>20</v>
      </c>
    </row>
    <row r="14" spans="1:10" ht="15" x14ac:dyDescent="0.25">
      <c r="A14" s="39">
        <v>7</v>
      </c>
      <c r="B14" s="39" t="s">
        <v>227</v>
      </c>
      <c r="C14" s="39" t="s">
        <v>360</v>
      </c>
      <c r="D14" s="39">
        <v>10.18</v>
      </c>
      <c r="E14" s="68">
        <v>0.65</v>
      </c>
      <c r="F14" s="39">
        <v>2500</v>
      </c>
      <c r="G14" s="39">
        <v>5.8999999999999999E-3</v>
      </c>
      <c r="H14" s="78">
        <v>11363</v>
      </c>
      <c r="I14" s="96">
        <v>8000</v>
      </c>
      <c r="J14" s="146" t="s">
        <v>20</v>
      </c>
    </row>
    <row r="15" spans="1:10" ht="15" x14ac:dyDescent="0.25">
      <c r="A15" s="39">
        <v>7</v>
      </c>
      <c r="B15" s="39" t="s">
        <v>280</v>
      </c>
      <c r="C15" s="39" t="s">
        <v>361</v>
      </c>
      <c r="D15" s="39">
        <v>5.22</v>
      </c>
      <c r="E15" s="68">
        <v>0.5</v>
      </c>
      <c r="F15" s="39">
        <v>5000</v>
      </c>
      <c r="G15" s="39">
        <v>7.7000000000000002E-3</v>
      </c>
      <c r="H15" s="78">
        <v>3700</v>
      </c>
      <c r="I15" s="96">
        <v>8000</v>
      </c>
      <c r="J15" s="146" t="s">
        <v>20</v>
      </c>
    </row>
    <row r="16" spans="1:10" ht="15" x14ac:dyDescent="0.25">
      <c r="A16" s="39">
        <v>7</v>
      </c>
      <c r="B16" s="39" t="s">
        <v>355</v>
      </c>
      <c r="C16" s="39" t="s">
        <v>361</v>
      </c>
      <c r="D16" s="39">
        <v>9</v>
      </c>
      <c r="E16" s="68">
        <v>0.60000000000000009</v>
      </c>
      <c r="F16" s="39">
        <v>2500</v>
      </c>
      <c r="G16" s="39">
        <v>7.7000000000000002E-3</v>
      </c>
      <c r="H16" s="78">
        <v>5090</v>
      </c>
      <c r="I16" s="96">
        <v>8000</v>
      </c>
      <c r="J16" s="146" t="s">
        <v>20</v>
      </c>
    </row>
    <row r="17" spans="1:10" ht="15" x14ac:dyDescent="0.25">
      <c r="A17" s="39">
        <v>7</v>
      </c>
      <c r="B17" s="39" t="s">
        <v>226</v>
      </c>
      <c r="C17" s="39" t="s">
        <v>361</v>
      </c>
      <c r="D17" s="39">
        <v>9</v>
      </c>
      <c r="E17" s="68">
        <v>0.60000000000000009</v>
      </c>
      <c r="F17" s="39">
        <v>2500</v>
      </c>
      <c r="G17" s="39">
        <v>7.7000000000000002E-3</v>
      </c>
      <c r="H17" s="78">
        <v>5090</v>
      </c>
      <c r="I17" s="96">
        <v>8000</v>
      </c>
      <c r="J17" s="146" t="s">
        <v>20</v>
      </c>
    </row>
    <row r="18" spans="1:10" ht="15" x14ac:dyDescent="0.25">
      <c r="A18" s="39">
        <v>8</v>
      </c>
      <c r="B18" s="39" t="s">
        <v>338</v>
      </c>
      <c r="C18" s="39" t="s">
        <v>360</v>
      </c>
      <c r="D18" s="39">
        <v>9</v>
      </c>
      <c r="E18" s="68">
        <v>0.60111111111111115</v>
      </c>
      <c r="F18" s="39">
        <v>3500</v>
      </c>
      <c r="G18" s="39">
        <v>5.8999999999999999E-3</v>
      </c>
      <c r="H18" s="78">
        <v>17273</v>
      </c>
      <c r="I18" s="96">
        <v>10000</v>
      </c>
      <c r="J18" s="146" t="s">
        <v>20</v>
      </c>
    </row>
    <row r="19" spans="1:10" ht="15" x14ac:dyDescent="0.25">
      <c r="A19" s="39">
        <v>8</v>
      </c>
      <c r="B19" s="39" t="s">
        <v>348</v>
      </c>
      <c r="C19" s="39" t="s">
        <v>360</v>
      </c>
      <c r="D19" s="39">
        <v>10</v>
      </c>
      <c r="E19" s="68">
        <v>0.64800000000000002</v>
      </c>
      <c r="F19" s="39">
        <v>3500</v>
      </c>
      <c r="G19" s="39">
        <v>5.8999999999999999E-3</v>
      </c>
      <c r="H19" s="78">
        <v>17273</v>
      </c>
      <c r="I19" s="96">
        <v>10000</v>
      </c>
      <c r="J19" s="146" t="s">
        <v>20</v>
      </c>
    </row>
    <row r="20" spans="1:10" ht="15" x14ac:dyDescent="0.25">
      <c r="A20" s="131">
        <v>8</v>
      </c>
      <c r="B20" s="131" t="s">
        <v>281</v>
      </c>
      <c r="C20" s="131" t="s">
        <v>362</v>
      </c>
      <c r="D20" s="131">
        <v>6.4</v>
      </c>
      <c r="E20" s="132">
        <v>0.7</v>
      </c>
      <c r="F20" s="131">
        <v>4000</v>
      </c>
      <c r="G20" s="131">
        <v>7.7000000000000002E-3</v>
      </c>
      <c r="H20" s="133">
        <v>12400</v>
      </c>
      <c r="I20" s="134">
        <v>9000</v>
      </c>
      <c r="J20" s="146" t="s">
        <v>20</v>
      </c>
    </row>
    <row r="21" spans="1:10" ht="15" x14ac:dyDescent="0.25">
      <c r="A21" s="39">
        <v>8</v>
      </c>
      <c r="B21" s="39" t="s">
        <v>275</v>
      </c>
      <c r="C21" s="39" t="s">
        <v>362</v>
      </c>
      <c r="D21" s="39">
        <v>7.33</v>
      </c>
      <c r="E21" s="68">
        <v>0.7</v>
      </c>
      <c r="F21" s="39">
        <v>6000</v>
      </c>
      <c r="G21" s="39">
        <v>7.7000000000000002E-3</v>
      </c>
      <c r="H21" s="78">
        <v>680</v>
      </c>
      <c r="I21" s="96">
        <v>11000</v>
      </c>
      <c r="J21" s="146" t="s">
        <v>20</v>
      </c>
    </row>
    <row r="22" spans="1:10" ht="15" x14ac:dyDescent="0.25">
      <c r="A22" s="39">
        <v>8</v>
      </c>
      <c r="B22" s="39" t="s">
        <v>226</v>
      </c>
      <c r="C22" s="39" t="s">
        <v>362</v>
      </c>
      <c r="D22" s="39">
        <v>9.8000000000000007</v>
      </c>
      <c r="E22" s="68">
        <v>0.7</v>
      </c>
      <c r="F22" s="39">
        <v>3500</v>
      </c>
      <c r="G22" s="39">
        <v>7.7000000000000002E-3</v>
      </c>
      <c r="H22" s="78">
        <v>6818</v>
      </c>
      <c r="I22" s="96">
        <v>11000</v>
      </c>
      <c r="J22" s="146" t="s">
        <v>20</v>
      </c>
    </row>
    <row r="23" spans="1:10" ht="15" x14ac:dyDescent="0.25">
      <c r="A23" s="131">
        <v>8</v>
      </c>
      <c r="B23" s="131" t="s">
        <v>381</v>
      </c>
      <c r="C23" s="131" t="s">
        <v>359</v>
      </c>
      <c r="D23" s="131">
        <v>10.18</v>
      </c>
      <c r="E23" s="132">
        <v>0.52</v>
      </c>
      <c r="F23" s="131">
        <v>4000</v>
      </c>
      <c r="G23" s="131">
        <v>5.4000000000000003E-3</v>
      </c>
      <c r="H23" s="133">
        <v>17273</v>
      </c>
      <c r="I23" s="134">
        <v>10833</v>
      </c>
      <c r="J23" s="146" t="s">
        <v>20</v>
      </c>
    </row>
    <row r="24" spans="1:10" ht="15" x14ac:dyDescent="0.25">
      <c r="A24" s="131">
        <v>8</v>
      </c>
      <c r="B24" s="131" t="s">
        <v>353</v>
      </c>
      <c r="C24" s="131" t="s">
        <v>360</v>
      </c>
      <c r="D24" s="131">
        <v>10.18</v>
      </c>
      <c r="E24" s="132">
        <v>0.57999999999999996</v>
      </c>
      <c r="F24" s="131">
        <v>3400</v>
      </c>
      <c r="G24" s="131">
        <v>5.4000000000000003E-3</v>
      </c>
      <c r="H24" s="133">
        <v>17273</v>
      </c>
      <c r="I24" s="134">
        <v>9848</v>
      </c>
      <c r="J24" s="146" t="s">
        <v>20</v>
      </c>
    </row>
    <row r="25" spans="1:10" x14ac:dyDescent="0.25">
      <c r="D25" s="22"/>
      <c r="E25" s="69"/>
      <c r="F25" s="22"/>
      <c r="G25" s="22"/>
    </row>
    <row r="26" spans="1:10" x14ac:dyDescent="0.25">
      <c r="D26" s="22"/>
      <c r="E26" s="69"/>
      <c r="F26" s="22"/>
      <c r="G26" s="22"/>
    </row>
    <row r="27" spans="1:10" s="52" customFormat="1" x14ac:dyDescent="0.25">
      <c r="D27" s="22"/>
      <c r="E27" s="116"/>
      <c r="F27" s="22"/>
      <c r="G27" s="22"/>
    </row>
    <row r="28" spans="1:10" s="52" customFormat="1" x14ac:dyDescent="0.25">
      <c r="D28" s="22"/>
      <c r="E28" s="69"/>
      <c r="F28" s="22"/>
      <c r="G28" s="22"/>
    </row>
    <row r="29" spans="1:10" s="52" customFormat="1" x14ac:dyDescent="0.25">
      <c r="D29" s="22"/>
      <c r="E29" s="69"/>
      <c r="F29" s="22"/>
      <c r="G29" s="22"/>
    </row>
    <row r="30" spans="1:10" s="52" customFormat="1" x14ac:dyDescent="0.25">
      <c r="D30" s="22"/>
      <c r="E30" s="69"/>
      <c r="F30" s="22"/>
      <c r="G30" s="22"/>
    </row>
    <row r="31" spans="1:10" s="52" customFormat="1" x14ac:dyDescent="0.25">
      <c r="D31" s="22"/>
      <c r="E31" s="69"/>
      <c r="F31" s="22"/>
      <c r="G31" s="22"/>
    </row>
    <row r="32" spans="1:10" s="52" customFormat="1" x14ac:dyDescent="0.25">
      <c r="D32" s="22"/>
      <c r="E32" s="69"/>
      <c r="F32" s="22"/>
      <c r="G32" s="22"/>
    </row>
    <row r="33" spans="4:7" s="52" customFormat="1" x14ac:dyDescent="0.25">
      <c r="D33" s="22"/>
      <c r="E33" s="69"/>
      <c r="F33" s="22"/>
      <c r="G33" s="22"/>
    </row>
    <row r="34" spans="4:7" s="52" customFormat="1" x14ac:dyDescent="0.25">
      <c r="D34" s="22"/>
      <c r="E34" s="69"/>
      <c r="F34" s="22"/>
      <c r="G34" s="22"/>
    </row>
    <row r="35" spans="4:7" s="52" customFormat="1" x14ac:dyDescent="0.25">
      <c r="D35" s="22"/>
      <c r="E35" s="69"/>
      <c r="F35" s="22"/>
      <c r="G35" s="22"/>
    </row>
    <row r="36" spans="4:7" s="52" customFormat="1" x14ac:dyDescent="0.25">
      <c r="D36" s="22"/>
      <c r="E36" s="69"/>
      <c r="F36" s="22"/>
      <c r="G36" s="22"/>
    </row>
    <row r="37" spans="4:7" s="52" customFormat="1" x14ac:dyDescent="0.25">
      <c r="D37" s="22"/>
      <c r="E37" s="69"/>
      <c r="F37" s="22"/>
      <c r="G37" s="22"/>
    </row>
    <row r="38" spans="4:7" s="52" customFormat="1" x14ac:dyDescent="0.25">
      <c r="D38" s="22"/>
      <c r="E38" s="69"/>
      <c r="F38" s="22"/>
      <c r="G38" s="22"/>
    </row>
    <row r="39" spans="4:7" s="52" customFormat="1" x14ac:dyDescent="0.25">
      <c r="D39" s="22"/>
      <c r="E39" s="69"/>
      <c r="F39" s="22"/>
      <c r="G39" s="22"/>
    </row>
    <row r="40" spans="4:7" s="52" customFormat="1" x14ac:dyDescent="0.25">
      <c r="D40" s="22"/>
      <c r="E40" s="69"/>
      <c r="F40" s="22"/>
      <c r="G40" s="22"/>
    </row>
    <row r="41" spans="4:7" s="52" customFormat="1" x14ac:dyDescent="0.25">
      <c r="D41" s="22"/>
      <c r="E41" s="69"/>
      <c r="F41" s="22"/>
      <c r="G41" s="22"/>
    </row>
    <row r="42" spans="4:7" s="52" customFormat="1" x14ac:dyDescent="0.25">
      <c r="D42" s="22"/>
      <c r="E42" s="69"/>
      <c r="F42" s="22"/>
      <c r="G42" s="22"/>
    </row>
    <row r="43" spans="4:7" s="52" customFormat="1" x14ac:dyDescent="0.25">
      <c r="D43" s="22"/>
      <c r="E43" s="69"/>
      <c r="F43" s="22"/>
      <c r="G43" s="22"/>
    </row>
    <row r="44" spans="4:7" s="52" customFormat="1" x14ac:dyDescent="0.25">
      <c r="D44" s="22"/>
      <c r="E44" s="69"/>
      <c r="F44" s="22"/>
      <c r="G44" s="22"/>
    </row>
    <row r="45" spans="4:7" s="52" customFormat="1" x14ac:dyDescent="0.25">
      <c r="D45" s="22"/>
      <c r="E45" s="69"/>
      <c r="F45" s="22"/>
      <c r="G45" s="22"/>
    </row>
    <row r="46" spans="4:7" s="52" customFormat="1" x14ac:dyDescent="0.25">
      <c r="D46" s="22"/>
      <c r="E46" s="69"/>
      <c r="F46" s="22"/>
      <c r="G46" s="22"/>
    </row>
    <row r="47" spans="4:7" s="52" customFormat="1" x14ac:dyDescent="0.25">
      <c r="D47" s="22"/>
      <c r="E47" s="69"/>
      <c r="F47" s="22"/>
      <c r="G47" s="22"/>
    </row>
    <row r="48" spans="4:7" s="52" customFormat="1" x14ac:dyDescent="0.25">
      <c r="D48" s="22"/>
      <c r="E48" s="69"/>
      <c r="F48" s="22"/>
      <c r="G48" s="22"/>
    </row>
    <row r="49" spans="4:7" s="52" customFormat="1" x14ac:dyDescent="0.25">
      <c r="D49" s="22"/>
      <c r="E49" s="69"/>
      <c r="F49" s="22"/>
      <c r="G49" s="22"/>
    </row>
    <row r="50" spans="4:7" s="52" customFormat="1" x14ac:dyDescent="0.25">
      <c r="D50" s="22"/>
      <c r="E50" s="69"/>
      <c r="F50" s="22"/>
      <c r="G50" s="22"/>
    </row>
    <row r="51" spans="4:7" s="52" customFormat="1" x14ac:dyDescent="0.25">
      <c r="D51" s="22"/>
      <c r="E51" s="69"/>
      <c r="F51" s="22"/>
      <c r="G51" s="22"/>
    </row>
    <row r="52" spans="4:7" s="52" customFormat="1" x14ac:dyDescent="0.25">
      <c r="D52" s="22"/>
      <c r="E52" s="69"/>
      <c r="F52" s="22"/>
      <c r="G52" s="22"/>
    </row>
    <row r="53" spans="4:7" s="52" customFormat="1" x14ac:dyDescent="0.25">
      <c r="D53" s="22"/>
      <c r="E53" s="69"/>
      <c r="F53" s="22"/>
      <c r="G53" s="22"/>
    </row>
    <row r="54" spans="4:7" s="52" customFormat="1" x14ac:dyDescent="0.25">
      <c r="D54" s="22"/>
      <c r="E54" s="69"/>
      <c r="F54" s="22"/>
      <c r="G54" s="22"/>
    </row>
    <row r="55" spans="4:7" s="52" customFormat="1" x14ac:dyDescent="0.25">
      <c r="D55" s="22"/>
      <c r="E55" s="69"/>
      <c r="F55" s="22"/>
      <c r="G55" s="22"/>
    </row>
    <row r="56" spans="4:7" s="52" customFormat="1" x14ac:dyDescent="0.25">
      <c r="D56" s="22"/>
      <c r="E56" s="69"/>
      <c r="F56" s="22"/>
      <c r="G56" s="22"/>
    </row>
    <row r="57" spans="4:7" s="52" customFormat="1" x14ac:dyDescent="0.25">
      <c r="D57" s="22"/>
      <c r="E57" s="69"/>
      <c r="F57" s="22"/>
      <c r="G57" s="22"/>
    </row>
    <row r="58" spans="4:7" s="52" customFormat="1" x14ac:dyDescent="0.25">
      <c r="D58" s="22"/>
      <c r="E58" s="69"/>
      <c r="F58" s="22"/>
      <c r="G58" s="22"/>
    </row>
    <row r="59" spans="4:7" s="52" customFormat="1" x14ac:dyDescent="0.25">
      <c r="D59" s="22"/>
      <c r="E59" s="69"/>
      <c r="F59" s="22"/>
      <c r="G59" s="22"/>
    </row>
    <row r="60" spans="4:7" s="52" customFormat="1" x14ac:dyDescent="0.25">
      <c r="D60" s="22"/>
      <c r="E60" s="69"/>
      <c r="F60" s="22"/>
      <c r="G60" s="22"/>
    </row>
    <row r="61" spans="4:7" s="52" customFormat="1" x14ac:dyDescent="0.25">
      <c r="D61" s="22"/>
      <c r="E61" s="69"/>
      <c r="F61" s="22"/>
      <c r="G61" s="22"/>
    </row>
    <row r="62" spans="4:7" s="52" customFormat="1" x14ac:dyDescent="0.25">
      <c r="D62" s="22"/>
      <c r="E62" s="69"/>
      <c r="F62" s="22"/>
      <c r="G62" s="22"/>
    </row>
    <row r="63" spans="4:7" s="52" customFormat="1" x14ac:dyDescent="0.25">
      <c r="D63" s="22"/>
      <c r="E63" s="69"/>
      <c r="F63" s="22"/>
      <c r="G63" s="22"/>
    </row>
    <row r="64" spans="4:7" s="52" customFormat="1" x14ac:dyDescent="0.25">
      <c r="D64" s="22"/>
      <c r="E64" s="69"/>
      <c r="F64" s="22"/>
      <c r="G64" s="22"/>
    </row>
    <row r="65" spans="4:7" s="52" customFormat="1" x14ac:dyDescent="0.25">
      <c r="D65" s="22"/>
      <c r="E65" s="69"/>
      <c r="F65" s="22"/>
      <c r="G65" s="22"/>
    </row>
    <row r="66" spans="4:7" s="52" customFormat="1" x14ac:dyDescent="0.25">
      <c r="D66" s="22"/>
      <c r="E66" s="69"/>
      <c r="F66" s="22"/>
      <c r="G66" s="22"/>
    </row>
    <row r="67" spans="4:7" s="52" customFormat="1" x14ac:dyDescent="0.25">
      <c r="D67" s="22"/>
      <c r="E67" s="69"/>
      <c r="F67" s="22"/>
      <c r="G67" s="22"/>
    </row>
    <row r="68" spans="4:7" s="52" customFormat="1" x14ac:dyDescent="0.25">
      <c r="D68" s="22"/>
      <c r="E68" s="69"/>
      <c r="F68" s="22"/>
      <c r="G68" s="22"/>
    </row>
    <row r="69" spans="4:7" s="52" customFormat="1" x14ac:dyDescent="0.25">
      <c r="D69" s="22"/>
      <c r="E69" s="69"/>
      <c r="F69" s="22"/>
      <c r="G69" s="22"/>
    </row>
    <row r="70" spans="4:7" s="52" customFormat="1" x14ac:dyDescent="0.25">
      <c r="D70" s="22"/>
      <c r="E70" s="69"/>
      <c r="F70" s="22"/>
      <c r="G70" s="22"/>
    </row>
    <row r="71" spans="4:7" s="52" customFormat="1" x14ac:dyDescent="0.25">
      <c r="D71" s="22"/>
      <c r="E71" s="69"/>
      <c r="F71" s="22"/>
      <c r="G71" s="22"/>
    </row>
    <row r="72" spans="4:7" s="52" customFormat="1" x14ac:dyDescent="0.25">
      <c r="D72" s="22"/>
      <c r="E72" s="69"/>
      <c r="F72" s="22"/>
      <c r="G72" s="22"/>
    </row>
    <row r="73" spans="4:7" s="52" customFormat="1" x14ac:dyDescent="0.25">
      <c r="D73" s="22"/>
      <c r="E73" s="69"/>
      <c r="F73" s="22"/>
      <c r="G73" s="22"/>
    </row>
    <row r="74" spans="4:7" s="52" customFormat="1" x14ac:dyDescent="0.25">
      <c r="D74" s="22"/>
      <c r="E74" s="69"/>
      <c r="F74" s="22"/>
      <c r="G74" s="22"/>
    </row>
    <row r="75" spans="4:7" s="52" customFormat="1" x14ac:dyDescent="0.25">
      <c r="D75" s="22"/>
      <c r="E75" s="69"/>
      <c r="F75" s="22"/>
      <c r="G75" s="22"/>
    </row>
    <row r="76" spans="4:7" s="52" customFormat="1" x14ac:dyDescent="0.25">
      <c r="D76" s="22"/>
      <c r="E76" s="69"/>
      <c r="F76" s="22"/>
      <c r="G76" s="22"/>
    </row>
    <row r="77" spans="4:7" s="52" customFormat="1" x14ac:dyDescent="0.25">
      <c r="D77" s="22"/>
      <c r="E77" s="69"/>
      <c r="F77" s="22"/>
      <c r="G77" s="22"/>
    </row>
    <row r="78" spans="4:7" s="52" customFormat="1" x14ac:dyDescent="0.25">
      <c r="D78" s="22"/>
      <c r="E78" s="69"/>
      <c r="F78" s="22"/>
      <c r="G78" s="22"/>
    </row>
    <row r="79" spans="4:7" s="52" customFormat="1" x14ac:dyDescent="0.25">
      <c r="D79" s="22"/>
      <c r="E79" s="69"/>
      <c r="F79" s="22"/>
      <c r="G79" s="22"/>
    </row>
    <row r="80" spans="4:7" s="52" customFormat="1" x14ac:dyDescent="0.25">
      <c r="D80" s="22"/>
      <c r="E80" s="69"/>
      <c r="F80" s="22"/>
      <c r="G80" s="22"/>
    </row>
    <row r="81" spans="4:7" s="52" customFormat="1" x14ac:dyDescent="0.25">
      <c r="D81" s="22"/>
      <c r="E81" s="69"/>
      <c r="F81" s="22"/>
      <c r="G81" s="22"/>
    </row>
    <row r="82" spans="4:7" s="52" customFormat="1" x14ac:dyDescent="0.25">
      <c r="D82" s="22"/>
      <c r="E82" s="69"/>
      <c r="F82" s="22"/>
      <c r="G82" s="22"/>
    </row>
    <row r="83" spans="4:7" s="52" customFormat="1" x14ac:dyDescent="0.25">
      <c r="D83" s="22"/>
      <c r="E83" s="69"/>
      <c r="F83" s="22"/>
      <c r="G83" s="22"/>
    </row>
    <row r="84" spans="4:7" s="52" customFormat="1" x14ac:dyDescent="0.25">
      <c r="D84" s="22"/>
      <c r="E84" s="69"/>
      <c r="F84" s="22"/>
      <c r="G84" s="22"/>
    </row>
    <row r="85" spans="4:7" s="52" customFormat="1" x14ac:dyDescent="0.25">
      <c r="D85" s="22"/>
      <c r="E85" s="69"/>
      <c r="F85" s="22"/>
      <c r="G85" s="22"/>
    </row>
    <row r="86" spans="4:7" s="52" customFormat="1" x14ac:dyDescent="0.25">
      <c r="D86" s="22"/>
      <c r="E86" s="69"/>
      <c r="F86" s="22"/>
      <c r="G86" s="22"/>
    </row>
    <row r="87" spans="4:7" s="52" customFormat="1" x14ac:dyDescent="0.25">
      <c r="D87" s="22"/>
      <c r="E87" s="69"/>
      <c r="F87" s="22"/>
      <c r="G87" s="22"/>
    </row>
    <row r="88" spans="4:7" s="52" customFormat="1" x14ac:dyDescent="0.25">
      <c r="D88" s="22"/>
      <c r="E88" s="69"/>
      <c r="F88" s="22"/>
      <c r="G88" s="22"/>
    </row>
    <row r="89" spans="4:7" s="52" customFormat="1" x14ac:dyDescent="0.25">
      <c r="D89" s="22"/>
      <c r="E89" s="69"/>
      <c r="F89" s="22"/>
      <c r="G89" s="22"/>
    </row>
    <row r="90" spans="4:7" s="52" customFormat="1" x14ac:dyDescent="0.25">
      <c r="D90" s="22"/>
      <c r="E90" s="69"/>
      <c r="F90" s="22"/>
      <c r="G90" s="22"/>
    </row>
    <row r="91" spans="4:7" s="52" customFormat="1" x14ac:dyDescent="0.25">
      <c r="D91" s="22"/>
      <c r="E91" s="69"/>
      <c r="F91" s="22"/>
      <c r="G91" s="22"/>
    </row>
    <row r="92" spans="4:7" s="52" customFormat="1" x14ac:dyDescent="0.25">
      <c r="D92" s="22"/>
      <c r="E92" s="69"/>
      <c r="F92" s="22"/>
      <c r="G92" s="22"/>
    </row>
    <row r="93" spans="4:7" s="52" customFormat="1" x14ac:dyDescent="0.25">
      <c r="D93" s="22"/>
      <c r="E93" s="69"/>
      <c r="F93" s="22"/>
      <c r="G93" s="22"/>
    </row>
    <row r="94" spans="4:7" s="52" customFormat="1" x14ac:dyDescent="0.25">
      <c r="D94" s="22"/>
      <c r="E94" s="69"/>
      <c r="F94" s="22"/>
      <c r="G94" s="22"/>
    </row>
    <row r="95" spans="4:7" s="52" customFormat="1" x14ac:dyDescent="0.25">
      <c r="D95" s="22"/>
      <c r="E95" s="69"/>
      <c r="F95" s="22"/>
      <c r="G95" s="22"/>
    </row>
    <row r="96" spans="4:7" s="52" customFormat="1" x14ac:dyDescent="0.25">
      <c r="D96" s="22"/>
      <c r="E96" s="69"/>
      <c r="F96" s="22"/>
      <c r="G96" s="22"/>
    </row>
    <row r="97" spans="4:7" s="52" customFormat="1" x14ac:dyDescent="0.25">
      <c r="D97" s="22"/>
      <c r="E97" s="69"/>
      <c r="F97" s="22"/>
      <c r="G97" s="22"/>
    </row>
    <row r="98" spans="4:7" s="52" customFormat="1" x14ac:dyDescent="0.25">
      <c r="D98" s="22"/>
      <c r="E98" s="69"/>
      <c r="F98" s="22"/>
      <c r="G98" s="22"/>
    </row>
    <row r="99" spans="4:7" s="52" customFormat="1" x14ac:dyDescent="0.25">
      <c r="D99" s="22"/>
      <c r="E99" s="69"/>
      <c r="F99" s="22"/>
      <c r="G99" s="22"/>
    </row>
    <row r="100" spans="4:7" s="52" customFormat="1" x14ac:dyDescent="0.25">
      <c r="D100" s="22"/>
      <c r="E100" s="69"/>
      <c r="F100" s="22"/>
      <c r="G100" s="22"/>
    </row>
    <row r="101" spans="4:7" s="52" customFormat="1" x14ac:dyDescent="0.25">
      <c r="D101" s="22"/>
      <c r="E101" s="69"/>
      <c r="F101" s="22"/>
      <c r="G101" s="22"/>
    </row>
    <row r="102" spans="4:7" s="52" customFormat="1" x14ac:dyDescent="0.25">
      <c r="D102" s="22"/>
      <c r="E102" s="69"/>
      <c r="F102" s="22"/>
      <c r="G102" s="22"/>
    </row>
    <row r="103" spans="4:7" s="52" customFormat="1" x14ac:dyDescent="0.25">
      <c r="D103" s="22"/>
      <c r="E103" s="69"/>
      <c r="F103" s="22"/>
      <c r="G103" s="22"/>
    </row>
    <row r="104" spans="4:7" s="52" customFormat="1" x14ac:dyDescent="0.25">
      <c r="D104" s="22"/>
      <c r="E104" s="69"/>
      <c r="F104" s="22"/>
      <c r="G104" s="22"/>
    </row>
    <row r="105" spans="4:7" s="52" customFormat="1" x14ac:dyDescent="0.25">
      <c r="D105" s="22"/>
      <c r="E105" s="69"/>
      <c r="F105" s="22"/>
      <c r="G105" s="22"/>
    </row>
    <row r="106" spans="4:7" s="52" customFormat="1" x14ac:dyDescent="0.25">
      <c r="D106" s="22"/>
      <c r="E106" s="69"/>
      <c r="F106" s="22"/>
      <c r="G106" s="22"/>
    </row>
    <row r="107" spans="4:7" s="52" customFormat="1" x14ac:dyDescent="0.25">
      <c r="D107" s="22"/>
      <c r="E107" s="69"/>
      <c r="F107" s="22"/>
      <c r="G107" s="22"/>
    </row>
    <row r="108" spans="4:7" s="52" customFormat="1" x14ac:dyDescent="0.25">
      <c r="D108" s="22"/>
      <c r="E108" s="69"/>
      <c r="F108" s="22"/>
      <c r="G108" s="22"/>
    </row>
    <row r="109" spans="4:7" s="52" customFormat="1" x14ac:dyDescent="0.25">
      <c r="D109" s="22"/>
      <c r="E109" s="69"/>
      <c r="F109" s="22"/>
      <c r="G109" s="22"/>
    </row>
    <row r="110" spans="4:7" s="52" customFormat="1" x14ac:dyDescent="0.25">
      <c r="D110" s="22"/>
      <c r="E110" s="69"/>
      <c r="F110" s="22"/>
      <c r="G110" s="22"/>
    </row>
    <row r="111" spans="4:7" s="52" customFormat="1" x14ac:dyDescent="0.25">
      <c r="D111" s="22"/>
      <c r="E111" s="69"/>
      <c r="F111" s="22"/>
      <c r="G111" s="22"/>
    </row>
    <row r="112" spans="4:7" s="52" customFormat="1" x14ac:dyDescent="0.25">
      <c r="D112" s="22"/>
      <c r="E112" s="69"/>
      <c r="F112" s="22"/>
      <c r="G112" s="22"/>
    </row>
    <row r="113" spans="4:7" s="52" customFormat="1" x14ac:dyDescent="0.25">
      <c r="D113" s="22"/>
      <c r="E113" s="69"/>
      <c r="F113" s="22"/>
      <c r="G113" s="22"/>
    </row>
    <row r="114" spans="4:7" s="52" customFormat="1" x14ac:dyDescent="0.25">
      <c r="D114" s="22"/>
      <c r="E114" s="69"/>
      <c r="F114" s="22"/>
      <c r="G114" s="22"/>
    </row>
    <row r="115" spans="4:7" s="52" customFormat="1" x14ac:dyDescent="0.25">
      <c r="D115" s="22"/>
      <c r="E115" s="69"/>
      <c r="F115" s="22"/>
      <c r="G115" s="22"/>
    </row>
    <row r="116" spans="4:7" s="52" customFormat="1" x14ac:dyDescent="0.25">
      <c r="D116" s="22"/>
      <c r="E116" s="69"/>
      <c r="F116" s="22"/>
      <c r="G116" s="22"/>
    </row>
    <row r="117" spans="4:7" s="52" customFormat="1" x14ac:dyDescent="0.25">
      <c r="D117" s="22"/>
      <c r="E117" s="69"/>
      <c r="F117" s="22"/>
      <c r="G117" s="22"/>
    </row>
    <row r="118" spans="4:7" s="52" customFormat="1" x14ac:dyDescent="0.25">
      <c r="D118" s="22"/>
      <c r="E118" s="69"/>
      <c r="F118" s="22"/>
      <c r="G118" s="22"/>
    </row>
    <row r="119" spans="4:7" s="52" customFormat="1" x14ac:dyDescent="0.25">
      <c r="D119" s="22"/>
      <c r="E119" s="69"/>
      <c r="F119" s="22"/>
      <c r="G119" s="22"/>
    </row>
    <row r="120" spans="4:7" s="52" customFormat="1" x14ac:dyDescent="0.25">
      <c r="D120" s="22"/>
      <c r="E120" s="69"/>
      <c r="F120" s="22"/>
      <c r="G120" s="22"/>
    </row>
    <row r="121" spans="4:7" s="52" customFormat="1" x14ac:dyDescent="0.25">
      <c r="D121" s="22"/>
      <c r="E121" s="69"/>
      <c r="F121" s="22"/>
      <c r="G121" s="22"/>
    </row>
    <row r="122" spans="4:7" s="52" customFormat="1" x14ac:dyDescent="0.25">
      <c r="D122" s="22"/>
      <c r="E122" s="69"/>
      <c r="F122" s="22"/>
      <c r="G122" s="22"/>
    </row>
    <row r="123" spans="4:7" s="52" customFormat="1" x14ac:dyDescent="0.25">
      <c r="D123" s="22"/>
      <c r="E123" s="69"/>
      <c r="F123" s="22"/>
      <c r="G123" s="22"/>
    </row>
    <row r="124" spans="4:7" s="52" customFormat="1" x14ac:dyDescent="0.25">
      <c r="D124" s="22"/>
      <c r="E124" s="69"/>
      <c r="F124" s="22"/>
      <c r="G124" s="22"/>
    </row>
    <row r="125" spans="4:7" s="52" customFormat="1" x14ac:dyDescent="0.25">
      <c r="D125" s="22"/>
      <c r="E125" s="69"/>
      <c r="F125" s="22"/>
      <c r="G125" s="22"/>
    </row>
    <row r="126" spans="4:7" s="52" customFormat="1" x14ac:dyDescent="0.25">
      <c r="D126" s="22"/>
      <c r="E126" s="69"/>
      <c r="F126" s="22"/>
      <c r="G126" s="22"/>
    </row>
    <row r="127" spans="4:7" s="52" customFormat="1" x14ac:dyDescent="0.25">
      <c r="D127" s="22"/>
      <c r="E127" s="69"/>
      <c r="F127" s="22"/>
      <c r="G127" s="22"/>
    </row>
    <row r="128" spans="4:7" s="52" customFormat="1" x14ac:dyDescent="0.25">
      <c r="D128" s="22"/>
      <c r="E128" s="69"/>
      <c r="F128" s="22"/>
      <c r="G128" s="22"/>
    </row>
    <row r="129" spans="4:7" s="52" customFormat="1" x14ac:dyDescent="0.25">
      <c r="D129" s="22"/>
      <c r="E129" s="69"/>
      <c r="F129" s="22"/>
      <c r="G129" s="22"/>
    </row>
    <row r="130" spans="4:7" s="52" customFormat="1" x14ac:dyDescent="0.25">
      <c r="D130" s="22"/>
      <c r="E130" s="69"/>
      <c r="F130" s="22"/>
      <c r="G130" s="22"/>
    </row>
    <row r="131" spans="4:7" s="52" customFormat="1" x14ac:dyDescent="0.25">
      <c r="D131" s="22"/>
      <c r="E131" s="69"/>
      <c r="F131" s="22"/>
      <c r="G131" s="22"/>
    </row>
    <row r="132" spans="4:7" s="52" customFormat="1" x14ac:dyDescent="0.25">
      <c r="D132" s="22"/>
      <c r="E132" s="69"/>
      <c r="F132" s="22"/>
      <c r="G132" s="22"/>
    </row>
    <row r="133" spans="4:7" s="52" customFormat="1" x14ac:dyDescent="0.25">
      <c r="D133" s="22"/>
      <c r="E133" s="69"/>
      <c r="F133" s="22"/>
      <c r="G133" s="22"/>
    </row>
    <row r="134" spans="4:7" s="52" customFormat="1" x14ac:dyDescent="0.25">
      <c r="D134" s="22"/>
      <c r="E134" s="69"/>
      <c r="F134" s="22"/>
      <c r="G134" s="22"/>
    </row>
    <row r="135" spans="4:7" s="52" customFormat="1" x14ac:dyDescent="0.25">
      <c r="D135" s="22"/>
      <c r="E135" s="69"/>
      <c r="F135" s="22"/>
      <c r="G135" s="22"/>
    </row>
    <row r="136" spans="4:7" s="52" customFormat="1" x14ac:dyDescent="0.25">
      <c r="D136" s="22"/>
      <c r="E136" s="69"/>
      <c r="F136" s="22"/>
      <c r="G136" s="22"/>
    </row>
    <row r="137" spans="4:7" s="52" customFormat="1" x14ac:dyDescent="0.25">
      <c r="D137" s="22"/>
      <c r="E137" s="69"/>
      <c r="F137" s="22"/>
      <c r="G137" s="22"/>
    </row>
    <row r="138" spans="4:7" s="52" customFormat="1" x14ac:dyDescent="0.25">
      <c r="D138" s="22"/>
      <c r="E138" s="69"/>
      <c r="F138" s="22"/>
      <c r="G138" s="22"/>
    </row>
    <row r="139" spans="4:7" s="52" customFormat="1" x14ac:dyDescent="0.25">
      <c r="D139" s="22"/>
      <c r="E139" s="69"/>
      <c r="F139" s="22"/>
      <c r="G139" s="22"/>
    </row>
    <row r="140" spans="4:7" s="52" customFormat="1" x14ac:dyDescent="0.25">
      <c r="D140" s="22"/>
      <c r="E140" s="69"/>
      <c r="F140" s="22"/>
      <c r="G140" s="22"/>
    </row>
    <row r="141" spans="4:7" s="52" customFormat="1" x14ac:dyDescent="0.25">
      <c r="D141" s="22"/>
      <c r="E141" s="69"/>
      <c r="F141" s="22"/>
      <c r="G141" s="22"/>
    </row>
    <row r="142" spans="4:7" s="52" customFormat="1" x14ac:dyDescent="0.25">
      <c r="D142" s="22"/>
      <c r="E142" s="69"/>
      <c r="F142" s="22"/>
      <c r="G142" s="22"/>
    </row>
    <row r="143" spans="4:7" s="52" customFormat="1" x14ac:dyDescent="0.25">
      <c r="D143" s="22"/>
      <c r="E143" s="69"/>
      <c r="F143" s="22"/>
      <c r="G143" s="22"/>
    </row>
    <row r="144" spans="4:7" s="52" customFormat="1" x14ac:dyDescent="0.25">
      <c r="D144" s="22"/>
      <c r="E144" s="69"/>
      <c r="F144" s="22"/>
      <c r="G144" s="22"/>
    </row>
    <row r="145" spans="4:7" s="52" customFormat="1" x14ac:dyDescent="0.25">
      <c r="D145" s="22"/>
      <c r="E145" s="69"/>
      <c r="F145" s="22"/>
      <c r="G145" s="22"/>
    </row>
    <row r="146" spans="4:7" s="52" customFormat="1" x14ac:dyDescent="0.25">
      <c r="D146" s="22"/>
      <c r="E146" s="69"/>
      <c r="F146" s="22"/>
      <c r="G146" s="22"/>
    </row>
    <row r="147" spans="4:7" s="52" customFormat="1" x14ac:dyDescent="0.25">
      <c r="D147" s="22"/>
      <c r="E147" s="69"/>
      <c r="F147" s="22"/>
      <c r="G147" s="22"/>
    </row>
    <row r="148" spans="4:7" s="52" customFormat="1" x14ac:dyDescent="0.25">
      <c r="D148" s="22"/>
      <c r="E148" s="69"/>
      <c r="F148" s="22"/>
      <c r="G148" s="22"/>
    </row>
    <row r="149" spans="4:7" s="52" customFormat="1" x14ac:dyDescent="0.25">
      <c r="D149" s="22"/>
      <c r="E149" s="69"/>
      <c r="F149" s="22"/>
      <c r="G149" s="22"/>
    </row>
    <row r="150" spans="4:7" s="52" customFormat="1" x14ac:dyDescent="0.25">
      <c r="D150" s="22"/>
      <c r="E150" s="69"/>
      <c r="F150" s="22"/>
      <c r="G150" s="22"/>
    </row>
    <row r="151" spans="4:7" s="52" customFormat="1" x14ac:dyDescent="0.25">
      <c r="D151" s="22"/>
      <c r="E151" s="69"/>
      <c r="F151" s="22"/>
      <c r="G151" s="22"/>
    </row>
    <row r="152" spans="4:7" s="52" customFormat="1" x14ac:dyDescent="0.25">
      <c r="D152" s="22"/>
      <c r="E152" s="69"/>
      <c r="F152" s="22"/>
      <c r="G152" s="22"/>
    </row>
    <row r="153" spans="4:7" s="52" customFormat="1" x14ac:dyDescent="0.25">
      <c r="D153" s="22"/>
      <c r="E153" s="69"/>
      <c r="F153" s="22"/>
      <c r="G153" s="22"/>
    </row>
    <row r="154" spans="4:7" s="52" customFormat="1" x14ac:dyDescent="0.25">
      <c r="D154" s="22"/>
      <c r="E154" s="69"/>
      <c r="F154" s="22"/>
      <c r="G154" s="22"/>
    </row>
    <row r="155" spans="4:7" s="52" customFormat="1" x14ac:dyDescent="0.25">
      <c r="D155" s="22"/>
      <c r="E155" s="69"/>
      <c r="F155" s="22"/>
      <c r="G155" s="22"/>
    </row>
    <row r="156" spans="4:7" s="52" customFormat="1" x14ac:dyDescent="0.25">
      <c r="D156" s="22"/>
      <c r="E156" s="69"/>
      <c r="F156" s="22"/>
      <c r="G156" s="22"/>
    </row>
    <row r="157" spans="4:7" s="52" customFormat="1" x14ac:dyDescent="0.25">
      <c r="D157" s="22"/>
      <c r="E157" s="69"/>
      <c r="F157" s="22"/>
      <c r="G157" s="22"/>
    </row>
    <row r="158" spans="4:7" s="52" customFormat="1" x14ac:dyDescent="0.25">
      <c r="D158" s="22"/>
      <c r="E158" s="69"/>
      <c r="F158" s="22"/>
      <c r="G158" s="22"/>
    </row>
    <row r="159" spans="4:7" s="52" customFormat="1" x14ac:dyDescent="0.25">
      <c r="D159" s="22"/>
      <c r="E159" s="69"/>
      <c r="F159" s="22"/>
      <c r="G159" s="22"/>
    </row>
    <row r="160" spans="4:7" s="52" customFormat="1" x14ac:dyDescent="0.25">
      <c r="D160" s="22"/>
      <c r="E160" s="69"/>
      <c r="F160" s="22"/>
      <c r="G160" s="22"/>
    </row>
    <row r="161" spans="4:7" s="52" customFormat="1" x14ac:dyDescent="0.25">
      <c r="D161" s="22"/>
      <c r="E161" s="69"/>
      <c r="F161" s="22"/>
      <c r="G161" s="22"/>
    </row>
    <row r="162" spans="4:7" s="52" customFormat="1" x14ac:dyDescent="0.25">
      <c r="D162" s="22"/>
      <c r="E162" s="69"/>
      <c r="F162" s="22"/>
      <c r="G162" s="22"/>
    </row>
    <row r="163" spans="4:7" s="52" customFormat="1" x14ac:dyDescent="0.25">
      <c r="D163" s="22"/>
      <c r="E163" s="69"/>
      <c r="F163" s="22"/>
      <c r="G163" s="22"/>
    </row>
    <row r="164" spans="4:7" s="52" customFormat="1" x14ac:dyDescent="0.25">
      <c r="D164" s="22"/>
      <c r="E164" s="69"/>
      <c r="F164" s="22"/>
      <c r="G164" s="22"/>
    </row>
    <row r="165" spans="4:7" s="52" customFormat="1" x14ac:dyDescent="0.25">
      <c r="D165" s="22"/>
      <c r="E165" s="69"/>
      <c r="F165" s="22"/>
      <c r="G165" s="22"/>
    </row>
    <row r="166" spans="4:7" s="52" customFormat="1" x14ac:dyDescent="0.25">
      <c r="D166" s="22"/>
      <c r="E166" s="69"/>
      <c r="F166" s="22"/>
      <c r="G166" s="22"/>
    </row>
    <row r="167" spans="4:7" s="52" customFormat="1" x14ac:dyDescent="0.25">
      <c r="D167" s="22"/>
      <c r="E167" s="69"/>
      <c r="F167" s="22"/>
      <c r="G167" s="22"/>
    </row>
    <row r="168" spans="4:7" s="52" customFormat="1" x14ac:dyDescent="0.25">
      <c r="D168" s="22"/>
      <c r="E168" s="69"/>
      <c r="F168" s="22"/>
      <c r="G168" s="22"/>
    </row>
    <row r="169" spans="4:7" s="52" customFormat="1" x14ac:dyDescent="0.25">
      <c r="D169" s="22"/>
      <c r="E169" s="69"/>
      <c r="F169" s="22"/>
      <c r="G169" s="22"/>
    </row>
    <row r="170" spans="4:7" s="52" customFormat="1" x14ac:dyDescent="0.25">
      <c r="D170" s="22"/>
      <c r="E170" s="69"/>
      <c r="F170" s="22"/>
      <c r="G170" s="22"/>
    </row>
    <row r="171" spans="4:7" s="52" customFormat="1" x14ac:dyDescent="0.25">
      <c r="D171" s="22"/>
      <c r="E171" s="69"/>
      <c r="F171" s="22"/>
      <c r="G171" s="22"/>
    </row>
    <row r="172" spans="4:7" s="52" customFormat="1" x14ac:dyDescent="0.25">
      <c r="D172" s="22"/>
      <c r="E172" s="69"/>
      <c r="F172" s="22"/>
      <c r="G172" s="22"/>
    </row>
    <row r="173" spans="4:7" s="52" customFormat="1" x14ac:dyDescent="0.25">
      <c r="D173" s="22"/>
      <c r="E173" s="69"/>
      <c r="F173" s="22"/>
      <c r="G173" s="22"/>
    </row>
    <row r="174" spans="4:7" s="52" customFormat="1" x14ac:dyDescent="0.25">
      <c r="D174" s="22"/>
      <c r="E174" s="69"/>
      <c r="F174" s="22"/>
      <c r="G174" s="22"/>
    </row>
    <row r="175" spans="4:7" s="52" customFormat="1" x14ac:dyDescent="0.25">
      <c r="D175" s="22"/>
      <c r="E175" s="69"/>
      <c r="F175" s="22"/>
      <c r="G175" s="22"/>
    </row>
    <row r="176" spans="4:7" s="52" customFormat="1" x14ac:dyDescent="0.25">
      <c r="D176" s="22"/>
      <c r="E176" s="69"/>
      <c r="F176" s="22"/>
      <c r="G176" s="22"/>
    </row>
    <row r="177" spans="4:7" s="52" customFormat="1" x14ac:dyDescent="0.25">
      <c r="D177" s="22"/>
      <c r="E177" s="69"/>
      <c r="F177" s="22"/>
      <c r="G177" s="22"/>
    </row>
    <row r="178" spans="4:7" s="52" customFormat="1" x14ac:dyDescent="0.25">
      <c r="D178" s="22"/>
      <c r="E178" s="69"/>
      <c r="F178" s="22"/>
      <c r="G178" s="22"/>
    </row>
    <row r="179" spans="4:7" s="52" customFormat="1" x14ac:dyDescent="0.25">
      <c r="D179" s="22"/>
      <c r="E179" s="69"/>
      <c r="F179" s="22"/>
      <c r="G179" s="22"/>
    </row>
    <row r="180" spans="4:7" s="52" customFormat="1" x14ac:dyDescent="0.25">
      <c r="D180" s="22"/>
      <c r="E180" s="69"/>
      <c r="F180" s="22"/>
      <c r="G180" s="22"/>
    </row>
    <row r="181" spans="4:7" s="52" customFormat="1" x14ac:dyDescent="0.25">
      <c r="D181" s="22"/>
      <c r="E181" s="69"/>
      <c r="F181" s="22"/>
      <c r="G181" s="22"/>
    </row>
    <row r="182" spans="4:7" s="52" customFormat="1" x14ac:dyDescent="0.25">
      <c r="D182" s="22"/>
      <c r="E182" s="69"/>
      <c r="F182" s="22"/>
      <c r="G182" s="22"/>
    </row>
    <row r="183" spans="4:7" s="52" customFormat="1" x14ac:dyDescent="0.25">
      <c r="D183" s="22"/>
      <c r="E183" s="69"/>
      <c r="F183" s="22"/>
      <c r="G183" s="22"/>
    </row>
    <row r="184" spans="4:7" s="52" customFormat="1" x14ac:dyDescent="0.25">
      <c r="D184" s="22"/>
      <c r="E184" s="69"/>
      <c r="F184" s="22"/>
      <c r="G184" s="22"/>
    </row>
    <row r="185" spans="4:7" s="52" customFormat="1" x14ac:dyDescent="0.25">
      <c r="D185" s="22"/>
      <c r="E185" s="69"/>
      <c r="F185" s="22"/>
      <c r="G185" s="22"/>
    </row>
    <row r="186" spans="4:7" s="52" customFormat="1" x14ac:dyDescent="0.25">
      <c r="D186" s="22"/>
      <c r="E186" s="69"/>
      <c r="F186" s="22"/>
      <c r="G186" s="22"/>
    </row>
    <row r="187" spans="4:7" s="52" customFormat="1" x14ac:dyDescent="0.25">
      <c r="D187" s="22"/>
      <c r="E187" s="69"/>
      <c r="F187" s="22"/>
      <c r="G187" s="22"/>
    </row>
    <row r="188" spans="4:7" s="52" customFormat="1" x14ac:dyDescent="0.25">
      <c r="D188" s="22"/>
      <c r="E188" s="69"/>
      <c r="F188" s="22"/>
      <c r="G188" s="22"/>
    </row>
    <row r="189" spans="4:7" s="52" customFormat="1" x14ac:dyDescent="0.25">
      <c r="D189" s="22"/>
      <c r="E189" s="69"/>
      <c r="F189" s="22"/>
      <c r="G189" s="22"/>
    </row>
    <row r="190" spans="4:7" s="52" customFormat="1" x14ac:dyDescent="0.25">
      <c r="D190" s="22"/>
      <c r="E190" s="69"/>
      <c r="F190" s="22"/>
      <c r="G190" s="22"/>
    </row>
    <row r="191" spans="4:7" s="52" customFormat="1" x14ac:dyDescent="0.25">
      <c r="D191" s="22"/>
      <c r="E191" s="69"/>
      <c r="F191" s="22"/>
      <c r="G191" s="22"/>
    </row>
    <row r="192" spans="4:7" s="52" customFormat="1" x14ac:dyDescent="0.25">
      <c r="D192" s="22"/>
      <c r="E192" s="69"/>
      <c r="F192" s="22"/>
      <c r="G192" s="22"/>
    </row>
    <row r="193" spans="4:7" s="52" customFormat="1" x14ac:dyDescent="0.25">
      <c r="D193" s="22"/>
      <c r="E193" s="69"/>
      <c r="F193" s="22"/>
      <c r="G193" s="22"/>
    </row>
    <row r="194" spans="4:7" s="52" customFormat="1" x14ac:dyDescent="0.25">
      <c r="D194" s="22"/>
      <c r="E194" s="69"/>
      <c r="F194" s="22"/>
      <c r="G194" s="22"/>
    </row>
    <row r="195" spans="4:7" s="52" customFormat="1" x14ac:dyDescent="0.25">
      <c r="D195" s="22"/>
      <c r="E195" s="69"/>
      <c r="F195" s="22"/>
      <c r="G195" s="22"/>
    </row>
    <row r="196" spans="4:7" s="52" customFormat="1" x14ac:dyDescent="0.25">
      <c r="D196" s="22"/>
      <c r="E196" s="69"/>
      <c r="F196" s="22"/>
      <c r="G196" s="22"/>
    </row>
    <row r="197" spans="4:7" s="52" customFormat="1" x14ac:dyDescent="0.25">
      <c r="D197" s="22"/>
      <c r="E197" s="69"/>
      <c r="F197" s="22"/>
      <c r="G197" s="22"/>
    </row>
    <row r="198" spans="4:7" s="52" customFormat="1" x14ac:dyDescent="0.25">
      <c r="D198" s="22"/>
      <c r="E198" s="69"/>
      <c r="F198" s="22"/>
      <c r="G198" s="22"/>
    </row>
    <row r="199" spans="4:7" s="52" customFormat="1" x14ac:dyDescent="0.25">
      <c r="D199" s="22"/>
      <c r="E199" s="69"/>
      <c r="F199" s="22"/>
      <c r="G199" s="22"/>
    </row>
    <row r="200" spans="4:7" s="52" customFormat="1" x14ac:dyDescent="0.25">
      <c r="D200" s="22"/>
      <c r="E200" s="69"/>
      <c r="F200" s="22"/>
      <c r="G200" s="22"/>
    </row>
    <row r="201" spans="4:7" s="52" customFormat="1" x14ac:dyDescent="0.25">
      <c r="D201" s="22"/>
      <c r="E201" s="69"/>
      <c r="F201" s="22"/>
      <c r="G201" s="22"/>
    </row>
    <row r="202" spans="4:7" s="52" customFormat="1" x14ac:dyDescent="0.25">
      <c r="D202" s="22"/>
      <c r="E202" s="69"/>
      <c r="F202" s="22"/>
      <c r="G202" s="22"/>
    </row>
    <row r="203" spans="4:7" s="52" customFormat="1" x14ac:dyDescent="0.25">
      <c r="D203" s="22"/>
      <c r="E203" s="69"/>
      <c r="F203" s="22"/>
      <c r="G203" s="22"/>
    </row>
    <row r="204" spans="4:7" s="52" customFormat="1" x14ac:dyDescent="0.25">
      <c r="D204" s="22"/>
      <c r="E204" s="69"/>
      <c r="F204" s="22"/>
      <c r="G204" s="22"/>
    </row>
    <row r="205" spans="4:7" s="52" customFormat="1" x14ac:dyDescent="0.25">
      <c r="D205" s="22"/>
      <c r="E205" s="69"/>
      <c r="F205" s="22"/>
      <c r="G205" s="22"/>
    </row>
    <row r="206" spans="4:7" s="52" customFormat="1" x14ac:dyDescent="0.25">
      <c r="D206" s="22"/>
      <c r="E206" s="69"/>
      <c r="F206" s="22"/>
      <c r="G206" s="22"/>
    </row>
    <row r="207" spans="4:7" s="52" customFormat="1" x14ac:dyDescent="0.25">
      <c r="D207" s="22"/>
      <c r="E207" s="69"/>
      <c r="F207" s="22"/>
      <c r="G207" s="22"/>
    </row>
    <row r="208" spans="4:7" s="52" customFormat="1" x14ac:dyDescent="0.25">
      <c r="D208" s="22"/>
      <c r="E208" s="69"/>
      <c r="F208" s="22"/>
      <c r="G208" s="22"/>
    </row>
    <row r="209" spans="4:7" s="52" customFormat="1" x14ac:dyDescent="0.25">
      <c r="D209" s="22"/>
      <c r="E209" s="69"/>
      <c r="F209" s="22"/>
      <c r="G209" s="22"/>
    </row>
    <row r="210" spans="4:7" s="52" customFormat="1" x14ac:dyDescent="0.25">
      <c r="D210" s="22"/>
      <c r="E210" s="69"/>
      <c r="F210" s="22"/>
      <c r="G210" s="22"/>
    </row>
    <row r="211" spans="4:7" s="52" customFormat="1" x14ac:dyDescent="0.25">
      <c r="D211" s="22"/>
      <c r="E211" s="69"/>
      <c r="F211" s="22"/>
      <c r="G211" s="22"/>
    </row>
    <row r="212" spans="4:7" s="52" customFormat="1" x14ac:dyDescent="0.25">
      <c r="D212" s="22"/>
      <c r="E212" s="69"/>
      <c r="F212" s="22"/>
      <c r="G212" s="22"/>
    </row>
    <row r="213" spans="4:7" s="52" customFormat="1" x14ac:dyDescent="0.25">
      <c r="D213" s="22"/>
      <c r="E213" s="69"/>
      <c r="F213" s="22"/>
      <c r="G213" s="22"/>
    </row>
    <row r="214" spans="4:7" s="52" customFormat="1" x14ac:dyDescent="0.25">
      <c r="D214" s="22"/>
      <c r="E214" s="69"/>
      <c r="F214" s="22"/>
      <c r="G214" s="22"/>
    </row>
    <row r="215" spans="4:7" s="52" customFormat="1" x14ac:dyDescent="0.25">
      <c r="D215" s="22"/>
      <c r="E215" s="69"/>
      <c r="F215" s="22"/>
      <c r="G215" s="22"/>
    </row>
    <row r="216" spans="4:7" s="52" customFormat="1" x14ac:dyDescent="0.25">
      <c r="D216" s="22"/>
      <c r="E216" s="69"/>
      <c r="F216" s="22"/>
      <c r="G216" s="22"/>
    </row>
    <row r="217" spans="4:7" s="52" customFormat="1" x14ac:dyDescent="0.25">
      <c r="D217" s="22"/>
      <c r="E217" s="69"/>
      <c r="F217" s="22"/>
      <c r="G217" s="22"/>
    </row>
    <row r="218" spans="4:7" s="52" customFormat="1" x14ac:dyDescent="0.25">
      <c r="D218" s="22"/>
      <c r="E218" s="69"/>
      <c r="F218" s="22"/>
      <c r="G218" s="22"/>
    </row>
    <row r="219" spans="4:7" s="52" customFormat="1" x14ac:dyDescent="0.25">
      <c r="D219" s="22"/>
      <c r="E219" s="69"/>
      <c r="F219" s="22"/>
      <c r="G219" s="22"/>
    </row>
    <row r="220" spans="4:7" s="52" customFormat="1" x14ac:dyDescent="0.25">
      <c r="D220" s="22"/>
      <c r="E220" s="69"/>
      <c r="F220" s="22"/>
      <c r="G220" s="22"/>
    </row>
    <row r="221" spans="4:7" s="52" customFormat="1" x14ac:dyDescent="0.25">
      <c r="D221" s="22"/>
      <c r="E221" s="69"/>
      <c r="F221" s="22"/>
      <c r="G221" s="22"/>
    </row>
    <row r="222" spans="4:7" s="52" customFormat="1" x14ac:dyDescent="0.25">
      <c r="D222" s="22"/>
      <c r="E222" s="69"/>
      <c r="F222" s="22"/>
      <c r="G222" s="22"/>
    </row>
    <row r="223" spans="4:7" s="52" customFormat="1" x14ac:dyDescent="0.25">
      <c r="D223" s="22"/>
      <c r="E223" s="69"/>
      <c r="F223" s="22"/>
      <c r="G223" s="22"/>
    </row>
    <row r="224" spans="4:7" s="52" customFormat="1" x14ac:dyDescent="0.25">
      <c r="D224" s="22"/>
      <c r="E224" s="69"/>
      <c r="F224" s="22"/>
      <c r="G224" s="22"/>
    </row>
    <row r="225" spans="4:7" s="52" customFormat="1" x14ac:dyDescent="0.25">
      <c r="D225" s="22"/>
      <c r="E225" s="69"/>
      <c r="F225" s="22"/>
      <c r="G225" s="22"/>
    </row>
    <row r="226" spans="4:7" s="52" customFormat="1" x14ac:dyDescent="0.25">
      <c r="D226" s="22"/>
      <c r="E226" s="69"/>
      <c r="F226" s="22"/>
      <c r="G226" s="22"/>
    </row>
    <row r="227" spans="4:7" s="52" customFormat="1" x14ac:dyDescent="0.25">
      <c r="D227" s="22"/>
      <c r="E227" s="69"/>
      <c r="F227" s="22"/>
      <c r="G227" s="22"/>
    </row>
    <row r="228" spans="4:7" s="52" customFormat="1" x14ac:dyDescent="0.25">
      <c r="D228" s="22"/>
      <c r="E228" s="69"/>
      <c r="F228" s="22"/>
      <c r="G228" s="22"/>
    </row>
    <row r="229" spans="4:7" s="52" customFormat="1" x14ac:dyDescent="0.25">
      <c r="D229" s="22"/>
      <c r="E229" s="69"/>
      <c r="F229" s="22"/>
      <c r="G229" s="22"/>
    </row>
    <row r="230" spans="4:7" s="52" customFormat="1" x14ac:dyDescent="0.25">
      <c r="D230" s="22"/>
      <c r="E230" s="69"/>
      <c r="F230" s="22"/>
      <c r="G230" s="22"/>
    </row>
    <row r="231" spans="4:7" s="52" customFormat="1" x14ac:dyDescent="0.25">
      <c r="D231" s="22"/>
      <c r="E231" s="69"/>
      <c r="F231" s="22"/>
      <c r="G231" s="22"/>
    </row>
    <row r="232" spans="4:7" s="52" customFormat="1" x14ac:dyDescent="0.25">
      <c r="D232" s="22"/>
      <c r="E232" s="69"/>
      <c r="F232" s="22"/>
      <c r="G232" s="22"/>
    </row>
    <row r="233" spans="4:7" s="52" customFormat="1" x14ac:dyDescent="0.25">
      <c r="D233" s="22"/>
      <c r="E233" s="69"/>
      <c r="F233" s="22"/>
      <c r="G233" s="22"/>
    </row>
    <row r="234" spans="4:7" s="52" customFormat="1" x14ac:dyDescent="0.25">
      <c r="D234" s="22"/>
      <c r="E234" s="69"/>
      <c r="F234" s="22"/>
      <c r="G234" s="22"/>
    </row>
    <row r="235" spans="4:7" s="52" customFormat="1" x14ac:dyDescent="0.25">
      <c r="D235" s="22"/>
      <c r="E235" s="69"/>
      <c r="F235" s="22"/>
      <c r="G235" s="22"/>
    </row>
    <row r="236" spans="4:7" s="52" customFormat="1" x14ac:dyDescent="0.25">
      <c r="D236" s="22"/>
      <c r="E236" s="69"/>
      <c r="F236" s="22"/>
      <c r="G236" s="22"/>
    </row>
    <row r="237" spans="4:7" s="52" customFormat="1" x14ac:dyDescent="0.25">
      <c r="D237" s="22"/>
      <c r="E237" s="69"/>
      <c r="F237" s="22"/>
      <c r="G237" s="22"/>
    </row>
    <row r="238" spans="4:7" s="52" customFormat="1" x14ac:dyDescent="0.25">
      <c r="D238" s="22"/>
      <c r="E238" s="69"/>
      <c r="F238" s="22"/>
      <c r="G238" s="22"/>
    </row>
    <row r="239" spans="4:7" s="52" customFormat="1" x14ac:dyDescent="0.25">
      <c r="D239" s="22"/>
      <c r="E239" s="69"/>
      <c r="F239" s="22"/>
      <c r="G239" s="22"/>
    </row>
    <row r="240" spans="4:7" s="52" customFormat="1" x14ac:dyDescent="0.25">
      <c r="D240" s="22"/>
      <c r="E240" s="69"/>
      <c r="F240" s="22"/>
      <c r="G240" s="22"/>
    </row>
    <row r="241" spans="4:7" s="52" customFormat="1" x14ac:dyDescent="0.25">
      <c r="D241" s="22"/>
      <c r="E241" s="69"/>
      <c r="F241" s="22"/>
      <c r="G241" s="22"/>
    </row>
    <row r="242" spans="4:7" s="52" customFormat="1" x14ac:dyDescent="0.25">
      <c r="D242" s="22"/>
      <c r="E242" s="69"/>
      <c r="F242" s="22"/>
      <c r="G242" s="22"/>
    </row>
    <row r="243" spans="4:7" s="52" customFormat="1" x14ac:dyDescent="0.25">
      <c r="D243" s="22"/>
      <c r="E243" s="69"/>
      <c r="F243" s="22"/>
      <c r="G243" s="22"/>
    </row>
    <row r="244" spans="4:7" s="52" customFormat="1" x14ac:dyDescent="0.25">
      <c r="D244" s="22"/>
      <c r="E244" s="69"/>
      <c r="F244" s="22"/>
      <c r="G244" s="22"/>
    </row>
    <row r="245" spans="4:7" s="52" customFormat="1" x14ac:dyDescent="0.25">
      <c r="D245" s="22"/>
      <c r="E245" s="69"/>
      <c r="F245" s="22"/>
      <c r="G245" s="22"/>
    </row>
    <row r="246" spans="4:7" s="52" customFormat="1" x14ac:dyDescent="0.25">
      <c r="D246" s="22"/>
      <c r="E246" s="69"/>
      <c r="F246" s="22"/>
      <c r="G246" s="22"/>
    </row>
    <row r="247" spans="4:7" s="52" customFormat="1" x14ac:dyDescent="0.25">
      <c r="D247" s="22"/>
      <c r="E247" s="69"/>
      <c r="F247" s="22"/>
      <c r="G247" s="22"/>
    </row>
    <row r="248" spans="4:7" s="52" customFormat="1" x14ac:dyDescent="0.25">
      <c r="D248" s="22"/>
      <c r="E248" s="69"/>
      <c r="F248" s="22"/>
      <c r="G248" s="22"/>
    </row>
    <row r="249" spans="4:7" s="52" customFormat="1" x14ac:dyDescent="0.25">
      <c r="D249" s="22"/>
      <c r="E249" s="69"/>
      <c r="F249" s="22"/>
      <c r="G249" s="22"/>
    </row>
    <row r="250" spans="4:7" s="52" customFormat="1" x14ac:dyDescent="0.25">
      <c r="D250" s="22"/>
      <c r="E250" s="69"/>
      <c r="F250" s="22"/>
      <c r="G250" s="22"/>
    </row>
    <row r="251" spans="4:7" s="52" customFormat="1" x14ac:dyDescent="0.25">
      <c r="D251" s="22"/>
      <c r="E251" s="69"/>
      <c r="F251" s="22"/>
      <c r="G251" s="22"/>
    </row>
    <row r="252" spans="4:7" s="52" customFormat="1" x14ac:dyDescent="0.25">
      <c r="D252" s="22"/>
      <c r="E252" s="69"/>
      <c r="F252" s="22"/>
      <c r="G252" s="22"/>
    </row>
    <row r="253" spans="4:7" s="52" customFormat="1" x14ac:dyDescent="0.25">
      <c r="D253" s="22"/>
      <c r="E253" s="69"/>
      <c r="F253" s="22"/>
      <c r="G253" s="22"/>
    </row>
    <row r="254" spans="4:7" s="52" customFormat="1" x14ac:dyDescent="0.25">
      <c r="D254" s="22"/>
      <c r="E254" s="69"/>
      <c r="F254" s="22"/>
      <c r="G254" s="22"/>
    </row>
    <row r="255" spans="4:7" s="52" customFormat="1" x14ac:dyDescent="0.25">
      <c r="D255" s="22"/>
      <c r="E255" s="69"/>
      <c r="F255" s="22"/>
      <c r="G255" s="22"/>
    </row>
    <row r="256" spans="4:7" s="52" customFormat="1" x14ac:dyDescent="0.25">
      <c r="D256" s="22"/>
      <c r="E256" s="69"/>
      <c r="F256" s="22"/>
      <c r="G256" s="22"/>
    </row>
    <row r="257" spans="4:7" s="52" customFormat="1" x14ac:dyDescent="0.25">
      <c r="D257" s="22"/>
      <c r="E257" s="69"/>
      <c r="F257" s="22"/>
      <c r="G257" s="22"/>
    </row>
    <row r="258" spans="4:7" s="52" customFormat="1" x14ac:dyDescent="0.25">
      <c r="D258" s="22"/>
      <c r="E258" s="69"/>
      <c r="F258" s="22"/>
      <c r="G258" s="22"/>
    </row>
    <row r="259" spans="4:7" s="52" customFormat="1" x14ac:dyDescent="0.25">
      <c r="D259" s="22"/>
      <c r="E259" s="69"/>
      <c r="F259" s="22"/>
      <c r="G259" s="22"/>
    </row>
    <row r="260" spans="4:7" s="52" customFormat="1" x14ac:dyDescent="0.25">
      <c r="D260" s="22"/>
      <c r="E260" s="69"/>
      <c r="F260" s="22"/>
      <c r="G260" s="22"/>
    </row>
    <row r="261" spans="4:7" s="52" customFormat="1" x14ac:dyDescent="0.25">
      <c r="D261" s="22"/>
      <c r="E261" s="69"/>
      <c r="F261" s="22"/>
      <c r="G261" s="22"/>
    </row>
    <row r="262" spans="4:7" s="52" customFormat="1" x14ac:dyDescent="0.25">
      <c r="D262" s="22"/>
      <c r="E262" s="69"/>
      <c r="F262" s="22"/>
      <c r="G262" s="22"/>
    </row>
    <row r="263" spans="4:7" s="52" customFormat="1" x14ac:dyDescent="0.25">
      <c r="D263" s="22"/>
      <c r="E263" s="69"/>
      <c r="F263" s="22"/>
      <c r="G263" s="22"/>
    </row>
    <row r="264" spans="4:7" s="52" customFormat="1" x14ac:dyDescent="0.25">
      <c r="D264" s="22"/>
      <c r="E264" s="69"/>
      <c r="F264" s="22"/>
      <c r="G264" s="22"/>
    </row>
    <row r="265" spans="4:7" s="52" customFormat="1" x14ac:dyDescent="0.25">
      <c r="D265" s="22"/>
      <c r="E265" s="69"/>
      <c r="F265" s="22"/>
      <c r="G265" s="22"/>
    </row>
    <row r="266" spans="4:7" s="52" customFormat="1" x14ac:dyDescent="0.25">
      <c r="D266" s="22"/>
      <c r="E266" s="69"/>
      <c r="F266" s="22"/>
      <c r="G266" s="22"/>
    </row>
    <row r="267" spans="4:7" s="52" customFormat="1" x14ac:dyDescent="0.25">
      <c r="D267" s="22"/>
      <c r="E267" s="69"/>
      <c r="F267" s="22"/>
      <c r="G267" s="22"/>
    </row>
    <row r="268" spans="4:7" s="52" customFormat="1" x14ac:dyDescent="0.25">
      <c r="D268" s="22"/>
      <c r="E268" s="69"/>
      <c r="F268" s="22"/>
      <c r="G268" s="22"/>
    </row>
    <row r="269" spans="4:7" s="52" customFormat="1" x14ac:dyDescent="0.25">
      <c r="D269" s="22"/>
      <c r="E269" s="69"/>
      <c r="F269" s="22"/>
      <c r="G269" s="22"/>
    </row>
    <row r="270" spans="4:7" s="52" customFormat="1" x14ac:dyDescent="0.25">
      <c r="D270" s="22"/>
      <c r="E270" s="69"/>
      <c r="F270" s="22"/>
      <c r="G270" s="22"/>
    </row>
    <row r="271" spans="4:7" s="52" customFormat="1" x14ac:dyDescent="0.25">
      <c r="D271" s="22"/>
      <c r="E271" s="69"/>
      <c r="F271" s="22"/>
      <c r="G271" s="22"/>
    </row>
    <row r="272" spans="4:7" s="52" customFormat="1" x14ac:dyDescent="0.25">
      <c r="D272" s="22"/>
      <c r="E272" s="69"/>
      <c r="F272" s="22"/>
      <c r="G272" s="22"/>
    </row>
    <row r="273" spans="4:7" s="52" customFormat="1" x14ac:dyDescent="0.25">
      <c r="D273" s="22"/>
      <c r="E273" s="69"/>
      <c r="F273" s="22"/>
      <c r="G273" s="22"/>
    </row>
    <row r="274" spans="4:7" s="52" customFormat="1" x14ac:dyDescent="0.25">
      <c r="D274" s="22"/>
      <c r="E274" s="69"/>
      <c r="F274" s="22"/>
      <c r="G274" s="22"/>
    </row>
    <row r="275" spans="4:7" s="52" customFormat="1" x14ac:dyDescent="0.25">
      <c r="D275" s="22"/>
      <c r="E275" s="69"/>
      <c r="F275" s="22"/>
      <c r="G275" s="22"/>
    </row>
    <row r="276" spans="4:7" s="52" customFormat="1" x14ac:dyDescent="0.25">
      <c r="D276" s="22"/>
      <c r="E276" s="69"/>
      <c r="F276" s="22"/>
      <c r="G276" s="22"/>
    </row>
    <row r="277" spans="4:7" s="52" customFormat="1" x14ac:dyDescent="0.25">
      <c r="D277" s="22"/>
      <c r="E277" s="69"/>
      <c r="F277" s="22"/>
      <c r="G277" s="22"/>
    </row>
    <row r="278" spans="4:7" s="52" customFormat="1" x14ac:dyDescent="0.25">
      <c r="D278" s="22"/>
      <c r="E278" s="69"/>
      <c r="F278" s="22"/>
      <c r="G278" s="22"/>
    </row>
    <row r="279" spans="4:7" s="52" customFormat="1" x14ac:dyDescent="0.25">
      <c r="D279" s="22"/>
      <c r="E279" s="69"/>
      <c r="F279" s="22"/>
      <c r="G279" s="22"/>
    </row>
    <row r="280" spans="4:7" s="52" customFormat="1" x14ac:dyDescent="0.25">
      <c r="D280" s="22"/>
      <c r="E280" s="69"/>
      <c r="F280" s="22"/>
      <c r="G280" s="22"/>
    </row>
    <row r="281" spans="4:7" s="52" customFormat="1" x14ac:dyDescent="0.25">
      <c r="D281" s="22"/>
      <c r="E281" s="69"/>
      <c r="F281" s="22"/>
      <c r="G281" s="22"/>
    </row>
    <row r="282" spans="4:7" s="52" customFormat="1" x14ac:dyDescent="0.25">
      <c r="D282" s="22"/>
      <c r="E282" s="69"/>
      <c r="F282" s="22"/>
      <c r="G282" s="22"/>
    </row>
    <row r="283" spans="4:7" s="52" customFormat="1" x14ac:dyDescent="0.25">
      <c r="D283" s="22"/>
      <c r="E283" s="69"/>
      <c r="F283" s="22"/>
      <c r="G283" s="22"/>
    </row>
    <row r="284" spans="4:7" s="52" customFormat="1" x14ac:dyDescent="0.25">
      <c r="D284" s="22"/>
      <c r="E284" s="69"/>
      <c r="F284" s="22"/>
      <c r="G284" s="22"/>
    </row>
    <row r="285" spans="4:7" s="52" customFormat="1" x14ac:dyDescent="0.25">
      <c r="D285" s="22"/>
      <c r="E285" s="69"/>
      <c r="F285" s="22"/>
      <c r="G285" s="22"/>
    </row>
    <row r="286" spans="4:7" s="52" customFormat="1" x14ac:dyDescent="0.25">
      <c r="D286" s="22"/>
      <c r="E286" s="69"/>
      <c r="F286" s="22"/>
      <c r="G286" s="22"/>
    </row>
    <row r="287" spans="4:7" s="52" customFormat="1" x14ac:dyDescent="0.25">
      <c r="D287" s="22"/>
      <c r="E287" s="69"/>
      <c r="F287" s="22"/>
      <c r="G287" s="22"/>
    </row>
    <row r="288" spans="4:7" s="52" customFormat="1" x14ac:dyDescent="0.25">
      <c r="D288" s="22"/>
      <c r="E288" s="69"/>
      <c r="F288" s="22"/>
      <c r="G288" s="22"/>
    </row>
    <row r="289" spans="4:7" s="52" customFormat="1" x14ac:dyDescent="0.25">
      <c r="D289" s="22"/>
      <c r="E289" s="69"/>
      <c r="F289" s="22"/>
      <c r="G289" s="22"/>
    </row>
    <row r="290" spans="4:7" s="52" customFormat="1" x14ac:dyDescent="0.25">
      <c r="D290" s="22"/>
      <c r="E290" s="69"/>
      <c r="F290" s="22"/>
      <c r="G290" s="22"/>
    </row>
    <row r="291" spans="4:7" s="52" customFormat="1" x14ac:dyDescent="0.25">
      <c r="D291" s="22"/>
      <c r="E291" s="69"/>
      <c r="F291" s="22"/>
      <c r="G291" s="22"/>
    </row>
    <row r="292" spans="4:7" s="52" customFormat="1" x14ac:dyDescent="0.25">
      <c r="D292" s="22"/>
      <c r="E292" s="69"/>
      <c r="F292" s="22"/>
      <c r="G292" s="22"/>
    </row>
    <row r="293" spans="4:7" s="52" customFormat="1" x14ac:dyDescent="0.25">
      <c r="D293" s="22"/>
      <c r="E293" s="69"/>
      <c r="F293" s="22"/>
      <c r="G293" s="22"/>
    </row>
    <row r="294" spans="4:7" s="52" customFormat="1" x14ac:dyDescent="0.25">
      <c r="D294" s="22"/>
      <c r="E294" s="69"/>
      <c r="F294" s="22"/>
      <c r="G294" s="22"/>
    </row>
    <row r="295" spans="4:7" s="52" customFormat="1" x14ac:dyDescent="0.25">
      <c r="D295" s="22"/>
      <c r="E295" s="69"/>
      <c r="F295" s="22"/>
      <c r="G295" s="22"/>
    </row>
    <row r="296" spans="4:7" s="52" customFormat="1" x14ac:dyDescent="0.25">
      <c r="D296" s="22"/>
      <c r="E296" s="69"/>
      <c r="F296" s="22"/>
      <c r="G296" s="22"/>
    </row>
    <row r="297" spans="4:7" s="52" customFormat="1" x14ac:dyDescent="0.25">
      <c r="D297" s="22"/>
      <c r="E297" s="69"/>
      <c r="F297" s="22"/>
      <c r="G297" s="22"/>
    </row>
    <row r="298" spans="4:7" s="52" customFormat="1" x14ac:dyDescent="0.25">
      <c r="D298" s="22"/>
      <c r="E298" s="69"/>
      <c r="F298" s="22"/>
      <c r="G298" s="22"/>
    </row>
    <row r="299" spans="4:7" s="52" customFormat="1" x14ac:dyDescent="0.25">
      <c r="D299" s="22"/>
      <c r="E299" s="69"/>
      <c r="F299" s="22"/>
      <c r="G299" s="22"/>
    </row>
    <row r="300" spans="4:7" s="52" customFormat="1" x14ac:dyDescent="0.25">
      <c r="D300" s="22"/>
      <c r="E300" s="69"/>
      <c r="F300" s="22"/>
      <c r="G300" s="22"/>
    </row>
    <row r="301" spans="4:7" s="52" customFormat="1" x14ac:dyDescent="0.25">
      <c r="D301" s="22"/>
      <c r="E301" s="69"/>
      <c r="F301" s="22"/>
      <c r="G301" s="22"/>
    </row>
    <row r="302" spans="4:7" s="52" customFormat="1" x14ac:dyDescent="0.25">
      <c r="D302" s="22"/>
      <c r="E302" s="69"/>
      <c r="F302" s="22"/>
      <c r="G302" s="22"/>
    </row>
    <row r="303" spans="4:7" s="52" customFormat="1" x14ac:dyDescent="0.25">
      <c r="D303" s="22"/>
      <c r="E303" s="69"/>
      <c r="F303" s="22"/>
      <c r="G303" s="22"/>
    </row>
    <row r="304" spans="4:7" s="52" customFormat="1" x14ac:dyDescent="0.25">
      <c r="D304" s="22"/>
      <c r="E304" s="69"/>
      <c r="F304" s="22"/>
      <c r="G304" s="22"/>
    </row>
    <row r="305" spans="4:7" s="52" customFormat="1" x14ac:dyDescent="0.25">
      <c r="D305" s="22"/>
      <c r="E305" s="69"/>
      <c r="F305" s="22"/>
      <c r="G305" s="22"/>
    </row>
    <row r="306" spans="4:7" s="52" customFormat="1" x14ac:dyDescent="0.25">
      <c r="D306" s="22"/>
      <c r="E306" s="69"/>
      <c r="F306" s="22"/>
      <c r="G306" s="22"/>
    </row>
    <row r="307" spans="4:7" s="52" customFormat="1" x14ac:dyDescent="0.25">
      <c r="D307" s="22"/>
      <c r="E307" s="69"/>
      <c r="F307" s="22"/>
      <c r="G307" s="22"/>
    </row>
    <row r="308" spans="4:7" s="52" customFormat="1" x14ac:dyDescent="0.25">
      <c r="D308" s="22"/>
      <c r="E308" s="69"/>
      <c r="F308" s="22"/>
      <c r="G308" s="22"/>
    </row>
    <row r="309" spans="4:7" s="52" customFormat="1" x14ac:dyDescent="0.25">
      <c r="D309" s="22"/>
      <c r="E309" s="69"/>
      <c r="F309" s="22"/>
      <c r="G309" s="22"/>
    </row>
    <row r="310" spans="4:7" s="52" customFormat="1" x14ac:dyDescent="0.25">
      <c r="D310" s="22"/>
      <c r="E310" s="69"/>
      <c r="F310" s="22"/>
      <c r="G310" s="22"/>
    </row>
    <row r="311" spans="4:7" s="52" customFormat="1" x14ac:dyDescent="0.25">
      <c r="D311" s="22"/>
      <c r="E311" s="69"/>
      <c r="F311" s="22"/>
      <c r="G311" s="22"/>
    </row>
    <row r="312" spans="4:7" s="52" customFormat="1" x14ac:dyDescent="0.25">
      <c r="D312" s="22"/>
      <c r="E312" s="69"/>
      <c r="F312" s="22"/>
      <c r="G312" s="22"/>
    </row>
    <row r="313" spans="4:7" s="52" customFormat="1" x14ac:dyDescent="0.25">
      <c r="D313" s="22"/>
      <c r="E313" s="69"/>
      <c r="F313" s="22"/>
      <c r="G313" s="22"/>
    </row>
    <row r="314" spans="4:7" s="52" customFormat="1" x14ac:dyDescent="0.25">
      <c r="D314" s="22"/>
      <c r="E314" s="69"/>
      <c r="F314" s="22"/>
      <c r="G314" s="22"/>
    </row>
    <row r="315" spans="4:7" s="52" customFormat="1" x14ac:dyDescent="0.25">
      <c r="D315" s="22"/>
      <c r="E315" s="69"/>
      <c r="F315" s="22"/>
      <c r="G315" s="22"/>
    </row>
    <row r="316" spans="4:7" s="52" customFormat="1" x14ac:dyDescent="0.25">
      <c r="D316" s="22"/>
      <c r="E316" s="69"/>
      <c r="F316" s="22"/>
      <c r="G316" s="22"/>
    </row>
    <row r="317" spans="4:7" s="52" customFormat="1" x14ac:dyDescent="0.25">
      <c r="D317" s="22"/>
      <c r="E317" s="69"/>
      <c r="F317" s="22"/>
      <c r="G317" s="22"/>
    </row>
    <row r="318" spans="4:7" s="52" customFormat="1" x14ac:dyDescent="0.25">
      <c r="D318" s="22"/>
      <c r="E318" s="69"/>
      <c r="F318" s="22"/>
      <c r="G318" s="22"/>
    </row>
    <row r="319" spans="4:7" s="52" customFormat="1" x14ac:dyDescent="0.25">
      <c r="D319" s="22"/>
      <c r="E319" s="69"/>
      <c r="F319" s="22"/>
      <c r="G319" s="22"/>
    </row>
    <row r="320" spans="4:7" s="52" customFormat="1" x14ac:dyDescent="0.25">
      <c r="D320" s="22"/>
      <c r="E320" s="69"/>
      <c r="F320" s="22"/>
      <c r="G320" s="22"/>
    </row>
    <row r="321" spans="4:7" s="52" customFormat="1" x14ac:dyDescent="0.25">
      <c r="D321" s="22"/>
      <c r="E321" s="69"/>
      <c r="F321" s="22"/>
      <c r="G321" s="22"/>
    </row>
    <row r="322" spans="4:7" s="52" customFormat="1" x14ac:dyDescent="0.25">
      <c r="D322" s="22"/>
      <c r="E322" s="69"/>
      <c r="F322" s="22"/>
      <c r="G322" s="22"/>
    </row>
    <row r="323" spans="4:7" s="52" customFormat="1" x14ac:dyDescent="0.25">
      <c r="D323" s="22"/>
      <c r="E323" s="69"/>
      <c r="F323" s="22"/>
      <c r="G323" s="22"/>
    </row>
    <row r="324" spans="4:7" s="52" customFormat="1" x14ac:dyDescent="0.25">
      <c r="D324" s="22"/>
      <c r="E324" s="69"/>
      <c r="F324" s="22"/>
      <c r="G324" s="22"/>
    </row>
    <row r="325" spans="4:7" s="52" customFormat="1" x14ac:dyDescent="0.25">
      <c r="D325" s="22"/>
      <c r="E325" s="69"/>
      <c r="F325" s="22"/>
      <c r="G325" s="22"/>
    </row>
    <row r="326" spans="4:7" s="52" customFormat="1" x14ac:dyDescent="0.25">
      <c r="D326" s="22"/>
      <c r="E326" s="69"/>
      <c r="F326" s="22"/>
      <c r="G326" s="22"/>
    </row>
    <row r="327" spans="4:7" s="52" customFormat="1" x14ac:dyDescent="0.25">
      <c r="D327" s="22"/>
      <c r="E327" s="69"/>
      <c r="F327" s="22"/>
      <c r="G327" s="22"/>
    </row>
    <row r="328" spans="4:7" s="52" customFormat="1" x14ac:dyDescent="0.25">
      <c r="D328" s="22"/>
      <c r="E328" s="69"/>
      <c r="F328" s="22"/>
      <c r="G328" s="22"/>
    </row>
    <row r="329" spans="4:7" s="52" customFormat="1" x14ac:dyDescent="0.25">
      <c r="D329" s="22"/>
      <c r="E329" s="69"/>
      <c r="F329" s="22"/>
      <c r="G329" s="22"/>
    </row>
    <row r="330" spans="4:7" s="52" customFormat="1" x14ac:dyDescent="0.25">
      <c r="D330" s="22"/>
      <c r="E330" s="69"/>
      <c r="F330" s="22"/>
      <c r="G330" s="22"/>
    </row>
    <row r="331" spans="4:7" s="52" customFormat="1" x14ac:dyDescent="0.25">
      <c r="D331" s="22"/>
      <c r="E331" s="69"/>
      <c r="F331" s="22"/>
      <c r="G331" s="22"/>
    </row>
    <row r="332" spans="4:7" s="52" customFormat="1" x14ac:dyDescent="0.25">
      <c r="D332" s="22"/>
      <c r="E332" s="69"/>
      <c r="F332" s="22"/>
      <c r="G332" s="22"/>
    </row>
    <row r="333" spans="4:7" s="52" customFormat="1" x14ac:dyDescent="0.25">
      <c r="D333" s="22"/>
      <c r="E333" s="69"/>
      <c r="F333" s="22"/>
      <c r="G333" s="22"/>
    </row>
    <row r="334" spans="4:7" s="52" customFormat="1" x14ac:dyDescent="0.25">
      <c r="D334" s="22"/>
      <c r="E334" s="69"/>
      <c r="F334" s="22"/>
      <c r="G334" s="22"/>
    </row>
    <row r="335" spans="4:7" s="52" customFormat="1" x14ac:dyDescent="0.25">
      <c r="D335" s="22"/>
      <c r="E335" s="69"/>
      <c r="F335" s="22"/>
      <c r="G335" s="22"/>
    </row>
    <row r="336" spans="4:7" s="52" customFormat="1" x14ac:dyDescent="0.25">
      <c r="D336" s="22"/>
      <c r="E336" s="69"/>
      <c r="F336" s="22"/>
      <c r="G336" s="22"/>
    </row>
    <row r="337" spans="4:7" s="52" customFormat="1" x14ac:dyDescent="0.25">
      <c r="D337" s="22"/>
      <c r="E337" s="69"/>
      <c r="F337" s="22"/>
      <c r="G337" s="22"/>
    </row>
    <row r="338" spans="4:7" s="52" customFormat="1" x14ac:dyDescent="0.25">
      <c r="D338" s="22"/>
      <c r="E338" s="69"/>
      <c r="F338" s="22"/>
      <c r="G338" s="22"/>
    </row>
    <row r="339" spans="4:7" s="52" customFormat="1" x14ac:dyDescent="0.25">
      <c r="D339" s="22"/>
      <c r="E339" s="69"/>
      <c r="F339" s="22"/>
      <c r="G339" s="22"/>
    </row>
    <row r="340" spans="4:7" s="52" customFormat="1" x14ac:dyDescent="0.25">
      <c r="D340" s="22"/>
      <c r="E340" s="69"/>
      <c r="F340" s="22"/>
      <c r="G340" s="22"/>
    </row>
    <row r="341" spans="4:7" s="52" customFormat="1" x14ac:dyDescent="0.25">
      <c r="D341" s="22"/>
      <c r="E341" s="69"/>
      <c r="F341" s="22"/>
      <c r="G341" s="22"/>
    </row>
    <row r="342" spans="4:7" s="52" customFormat="1" x14ac:dyDescent="0.25">
      <c r="D342" s="22"/>
      <c r="E342" s="69"/>
      <c r="F342" s="22"/>
      <c r="G342" s="22"/>
    </row>
    <row r="343" spans="4:7" s="52" customFormat="1" x14ac:dyDescent="0.25">
      <c r="D343" s="22"/>
      <c r="E343" s="69"/>
      <c r="F343" s="22"/>
      <c r="G343" s="22"/>
    </row>
    <row r="344" spans="4:7" s="52" customFormat="1" x14ac:dyDescent="0.25">
      <c r="D344" s="22"/>
      <c r="E344" s="69"/>
      <c r="F344" s="22"/>
      <c r="G344" s="22"/>
    </row>
    <row r="345" spans="4:7" s="52" customFormat="1" x14ac:dyDescent="0.25">
      <c r="D345" s="22"/>
      <c r="E345" s="69"/>
      <c r="F345" s="22"/>
      <c r="G345" s="22"/>
    </row>
    <row r="346" spans="4:7" s="52" customFormat="1" x14ac:dyDescent="0.25">
      <c r="D346" s="22"/>
      <c r="E346" s="69"/>
      <c r="F346" s="22"/>
      <c r="G346" s="22"/>
    </row>
    <row r="347" spans="4:7" s="52" customFormat="1" x14ac:dyDescent="0.25">
      <c r="D347" s="22"/>
      <c r="E347" s="69"/>
      <c r="F347" s="22"/>
      <c r="G347" s="22"/>
    </row>
    <row r="348" spans="4:7" s="52" customFormat="1" x14ac:dyDescent="0.25">
      <c r="D348" s="22"/>
      <c r="E348" s="69"/>
      <c r="F348" s="22"/>
      <c r="G348" s="22"/>
    </row>
    <row r="349" spans="4:7" s="52" customFormat="1" x14ac:dyDescent="0.25">
      <c r="D349" s="22"/>
      <c r="E349" s="69"/>
      <c r="F349" s="22"/>
      <c r="G349" s="22"/>
    </row>
    <row r="350" spans="4:7" s="52" customFormat="1" x14ac:dyDescent="0.25">
      <c r="D350" s="22"/>
      <c r="E350" s="69"/>
      <c r="F350" s="22"/>
      <c r="G350" s="22"/>
    </row>
    <row r="351" spans="4:7" s="52" customFormat="1" x14ac:dyDescent="0.25">
      <c r="D351" s="22"/>
      <c r="E351" s="69"/>
      <c r="F351" s="22"/>
      <c r="G351" s="22"/>
    </row>
    <row r="352" spans="4:7" s="52" customFormat="1" x14ac:dyDescent="0.25">
      <c r="D352" s="22"/>
      <c r="E352" s="69"/>
      <c r="F352" s="22"/>
      <c r="G352" s="22"/>
    </row>
    <row r="353" spans="4:7" s="52" customFormat="1" x14ac:dyDescent="0.25">
      <c r="D353" s="22"/>
      <c r="E353" s="69"/>
      <c r="F353" s="22"/>
      <c r="G353" s="22"/>
    </row>
    <row r="354" spans="4:7" s="52" customFormat="1" x14ac:dyDescent="0.25">
      <c r="D354" s="22"/>
      <c r="E354" s="69"/>
      <c r="F354" s="22"/>
      <c r="G354" s="22"/>
    </row>
    <row r="355" spans="4:7" s="52" customFormat="1" x14ac:dyDescent="0.25">
      <c r="D355" s="22"/>
      <c r="E355" s="69"/>
      <c r="F355" s="22"/>
      <c r="G355" s="22"/>
    </row>
    <row r="356" spans="4:7" s="52" customFormat="1" x14ac:dyDescent="0.25">
      <c r="D356" s="22"/>
      <c r="E356" s="69"/>
      <c r="F356" s="22"/>
      <c r="G356" s="22"/>
    </row>
    <row r="357" spans="4:7" s="52" customFormat="1" x14ac:dyDescent="0.25">
      <c r="D357" s="22"/>
      <c r="E357" s="69"/>
      <c r="F357" s="22"/>
      <c r="G357" s="22"/>
    </row>
    <row r="358" spans="4:7" s="52" customFormat="1" x14ac:dyDescent="0.25">
      <c r="D358" s="22"/>
      <c r="E358" s="69"/>
      <c r="F358" s="22"/>
      <c r="G358" s="22"/>
    </row>
    <row r="359" spans="4:7" s="52" customFormat="1" x14ac:dyDescent="0.25">
      <c r="D359" s="22"/>
      <c r="E359" s="69"/>
      <c r="F359" s="22"/>
      <c r="G359" s="22"/>
    </row>
    <row r="360" spans="4:7" s="52" customFormat="1" x14ac:dyDescent="0.25">
      <c r="D360" s="22"/>
      <c r="E360" s="69"/>
      <c r="F360" s="22"/>
      <c r="G360" s="22"/>
    </row>
    <row r="361" spans="4:7" s="52" customFormat="1" x14ac:dyDescent="0.25">
      <c r="D361" s="22"/>
      <c r="E361" s="69"/>
      <c r="F361" s="22"/>
      <c r="G361" s="22"/>
    </row>
    <row r="362" spans="4:7" s="52" customFormat="1" x14ac:dyDescent="0.25">
      <c r="D362" s="22"/>
      <c r="E362" s="69"/>
      <c r="F362" s="22"/>
      <c r="G362" s="22"/>
    </row>
    <row r="363" spans="4:7" s="52" customFormat="1" x14ac:dyDescent="0.25">
      <c r="D363" s="22"/>
      <c r="E363" s="69"/>
      <c r="F363" s="22"/>
      <c r="G363" s="22"/>
    </row>
    <row r="364" spans="4:7" s="52" customFormat="1" x14ac:dyDescent="0.25">
      <c r="D364" s="22"/>
      <c r="E364" s="69"/>
      <c r="F364" s="22"/>
      <c r="G364" s="22"/>
    </row>
    <row r="365" spans="4:7" s="52" customFormat="1" x14ac:dyDescent="0.25">
      <c r="D365" s="22"/>
      <c r="E365" s="69"/>
      <c r="F365" s="22"/>
      <c r="G365" s="22"/>
    </row>
    <row r="366" spans="4:7" s="52" customFormat="1" x14ac:dyDescent="0.25">
      <c r="D366" s="22"/>
      <c r="E366" s="69"/>
      <c r="F366" s="22"/>
      <c r="G366" s="22"/>
    </row>
    <row r="367" spans="4:7" s="52" customFormat="1" x14ac:dyDescent="0.25">
      <c r="D367" s="22"/>
      <c r="E367" s="69"/>
      <c r="F367" s="22"/>
      <c r="G367" s="22"/>
    </row>
    <row r="368" spans="4:7" s="52" customFormat="1" x14ac:dyDescent="0.25">
      <c r="D368" s="22"/>
      <c r="E368" s="69"/>
      <c r="F368" s="22"/>
      <c r="G368" s="22"/>
    </row>
    <row r="369" spans="4:7" s="52" customFormat="1" x14ac:dyDescent="0.25">
      <c r="D369" s="22"/>
      <c r="E369" s="69"/>
      <c r="F369" s="22"/>
      <c r="G369" s="22"/>
    </row>
    <row r="370" spans="4:7" s="52" customFormat="1" x14ac:dyDescent="0.25">
      <c r="D370" s="22"/>
      <c r="E370" s="69"/>
      <c r="F370" s="22"/>
      <c r="G370" s="22"/>
    </row>
    <row r="371" spans="4:7" s="52" customFormat="1" x14ac:dyDescent="0.25">
      <c r="D371" s="22"/>
      <c r="E371" s="69"/>
      <c r="F371" s="22"/>
      <c r="G371" s="22"/>
    </row>
    <row r="372" spans="4:7" s="52" customFormat="1" x14ac:dyDescent="0.25">
      <c r="D372" s="22"/>
      <c r="E372" s="69"/>
      <c r="F372" s="22"/>
      <c r="G372" s="22"/>
    </row>
    <row r="373" spans="4:7" s="52" customFormat="1" x14ac:dyDescent="0.25">
      <c r="D373" s="22"/>
      <c r="E373" s="69"/>
      <c r="F373" s="22"/>
      <c r="G373" s="22"/>
    </row>
    <row r="374" spans="4:7" s="52" customFormat="1" x14ac:dyDescent="0.25">
      <c r="D374" s="22"/>
      <c r="E374" s="69"/>
      <c r="F374" s="22"/>
      <c r="G374" s="22"/>
    </row>
    <row r="375" spans="4:7" s="52" customFormat="1" x14ac:dyDescent="0.25">
      <c r="D375" s="22"/>
      <c r="E375" s="69"/>
      <c r="F375" s="22"/>
      <c r="G375" s="22"/>
    </row>
    <row r="376" spans="4:7" s="52" customFormat="1" x14ac:dyDescent="0.25">
      <c r="D376" s="22"/>
      <c r="E376" s="69"/>
      <c r="F376" s="22"/>
      <c r="G376" s="22"/>
    </row>
    <row r="377" spans="4:7" s="52" customFormat="1" x14ac:dyDescent="0.25">
      <c r="D377" s="22"/>
      <c r="E377" s="69"/>
      <c r="F377" s="22"/>
      <c r="G377" s="22"/>
    </row>
    <row r="378" spans="4:7" s="52" customFormat="1" x14ac:dyDescent="0.25">
      <c r="D378" s="22"/>
      <c r="E378" s="69"/>
      <c r="F378" s="22"/>
      <c r="G378" s="22"/>
    </row>
    <row r="379" spans="4:7" s="52" customFormat="1" x14ac:dyDescent="0.25">
      <c r="D379" s="22"/>
      <c r="E379" s="69"/>
      <c r="F379" s="22"/>
      <c r="G379" s="22"/>
    </row>
    <row r="380" spans="4:7" s="52" customFormat="1" x14ac:dyDescent="0.25">
      <c r="D380" s="22"/>
      <c r="E380" s="69"/>
      <c r="F380" s="22"/>
      <c r="G380" s="22"/>
    </row>
    <row r="381" spans="4:7" s="52" customFormat="1" x14ac:dyDescent="0.25">
      <c r="D381" s="22"/>
      <c r="E381" s="69"/>
      <c r="F381" s="22"/>
      <c r="G381" s="22"/>
    </row>
    <row r="382" spans="4:7" s="52" customFormat="1" x14ac:dyDescent="0.25">
      <c r="D382" s="22"/>
      <c r="E382" s="69"/>
      <c r="F382" s="22"/>
      <c r="G382" s="22"/>
    </row>
    <row r="383" spans="4:7" s="52" customFormat="1" x14ac:dyDescent="0.25">
      <c r="D383" s="22"/>
      <c r="E383" s="69"/>
      <c r="F383" s="22"/>
      <c r="G383" s="22"/>
    </row>
    <row r="384" spans="4:7" s="52" customFormat="1" x14ac:dyDescent="0.25">
      <c r="D384" s="22"/>
      <c r="E384" s="69"/>
      <c r="F384" s="22"/>
      <c r="G384" s="22"/>
    </row>
    <row r="385" spans="4:7" s="52" customFormat="1" x14ac:dyDescent="0.25">
      <c r="D385" s="22"/>
      <c r="E385" s="69"/>
      <c r="F385" s="22"/>
      <c r="G385" s="22"/>
    </row>
    <row r="386" spans="4:7" s="52" customFormat="1" x14ac:dyDescent="0.25">
      <c r="D386" s="22"/>
      <c r="E386" s="69"/>
      <c r="F386" s="22"/>
      <c r="G386" s="22"/>
    </row>
    <row r="387" spans="4:7" s="52" customFormat="1" x14ac:dyDescent="0.25">
      <c r="D387" s="22"/>
      <c r="E387" s="69"/>
      <c r="F387" s="22"/>
      <c r="G387" s="22"/>
    </row>
    <row r="388" spans="4:7" s="52" customFormat="1" x14ac:dyDescent="0.25">
      <c r="D388" s="22"/>
      <c r="E388" s="69"/>
      <c r="F388" s="22"/>
      <c r="G388" s="22"/>
    </row>
    <row r="389" spans="4:7" s="52" customFormat="1" x14ac:dyDescent="0.25">
      <c r="D389" s="22"/>
      <c r="E389" s="69"/>
      <c r="F389" s="22"/>
      <c r="G389" s="22"/>
    </row>
    <row r="390" spans="4:7" s="52" customFormat="1" x14ac:dyDescent="0.25">
      <c r="D390" s="22"/>
      <c r="E390" s="69"/>
      <c r="F390" s="22"/>
      <c r="G390" s="22"/>
    </row>
    <row r="391" spans="4:7" s="52" customFormat="1" x14ac:dyDescent="0.25">
      <c r="D391" s="22"/>
      <c r="E391" s="69"/>
      <c r="F391" s="22"/>
      <c r="G391" s="22"/>
    </row>
    <row r="392" spans="4:7" s="52" customFormat="1" x14ac:dyDescent="0.25">
      <c r="D392" s="22"/>
      <c r="E392" s="69"/>
      <c r="F392" s="22"/>
      <c r="G392" s="22"/>
    </row>
    <row r="393" spans="4:7" s="52" customFormat="1" x14ac:dyDescent="0.25">
      <c r="D393" s="22"/>
      <c r="E393" s="69"/>
      <c r="F393" s="22"/>
      <c r="G393" s="22"/>
    </row>
    <row r="394" spans="4:7" s="52" customFormat="1" x14ac:dyDescent="0.25">
      <c r="D394" s="22"/>
      <c r="E394" s="69"/>
      <c r="F394" s="22"/>
      <c r="G394" s="22"/>
    </row>
    <row r="395" spans="4:7" s="52" customFormat="1" x14ac:dyDescent="0.25">
      <c r="D395" s="22"/>
      <c r="E395" s="69"/>
      <c r="F395" s="22"/>
      <c r="G395" s="22"/>
    </row>
    <row r="396" spans="4:7" s="52" customFormat="1" x14ac:dyDescent="0.25">
      <c r="D396" s="22"/>
      <c r="E396" s="69"/>
      <c r="F396" s="22"/>
      <c r="G396" s="22"/>
    </row>
    <row r="397" spans="4:7" s="52" customFormat="1" x14ac:dyDescent="0.25">
      <c r="D397" s="22"/>
      <c r="E397" s="69"/>
      <c r="F397" s="22"/>
      <c r="G397" s="22"/>
    </row>
    <row r="398" spans="4:7" s="52" customFormat="1" x14ac:dyDescent="0.25">
      <c r="D398" s="22"/>
      <c r="E398" s="69"/>
      <c r="F398" s="22"/>
      <c r="G398" s="22"/>
    </row>
    <row r="399" spans="4:7" s="52" customFormat="1" x14ac:dyDescent="0.25">
      <c r="D399" s="22"/>
      <c r="E399" s="69"/>
      <c r="F399" s="22"/>
      <c r="G399" s="22"/>
    </row>
    <row r="400" spans="4:7" s="52" customFormat="1" x14ac:dyDescent="0.25">
      <c r="D400" s="22"/>
      <c r="E400" s="69"/>
      <c r="F400" s="22"/>
      <c r="G400" s="22"/>
    </row>
    <row r="401" spans="4:7" s="52" customFormat="1" x14ac:dyDescent="0.25">
      <c r="D401" s="22"/>
      <c r="E401" s="69"/>
      <c r="F401" s="22"/>
      <c r="G401" s="22"/>
    </row>
    <row r="402" spans="4:7" s="52" customFormat="1" x14ac:dyDescent="0.25">
      <c r="D402" s="22"/>
      <c r="E402" s="69"/>
      <c r="F402" s="22"/>
      <c r="G402" s="22"/>
    </row>
    <row r="403" spans="4:7" s="52" customFormat="1" x14ac:dyDescent="0.25">
      <c r="D403" s="22"/>
      <c r="E403" s="69"/>
      <c r="F403" s="22"/>
      <c r="G403" s="22"/>
    </row>
    <row r="404" spans="4:7" s="52" customFormat="1" x14ac:dyDescent="0.25">
      <c r="D404" s="22"/>
      <c r="E404" s="69"/>
      <c r="F404" s="22"/>
      <c r="G404" s="22"/>
    </row>
    <row r="405" spans="4:7" s="52" customFormat="1" x14ac:dyDescent="0.25">
      <c r="D405" s="22"/>
      <c r="E405" s="69"/>
      <c r="F405" s="22"/>
      <c r="G405" s="22"/>
    </row>
    <row r="406" spans="4:7" s="52" customFormat="1" x14ac:dyDescent="0.25">
      <c r="D406" s="22"/>
      <c r="E406" s="69"/>
      <c r="F406" s="22"/>
      <c r="G406" s="22"/>
    </row>
    <row r="407" spans="4:7" s="52" customFormat="1" x14ac:dyDescent="0.25">
      <c r="D407" s="22"/>
      <c r="E407" s="69"/>
      <c r="F407" s="22"/>
      <c r="G407" s="22"/>
    </row>
    <row r="408" spans="4:7" s="52" customFormat="1" x14ac:dyDescent="0.25">
      <c r="D408" s="22"/>
      <c r="E408" s="69"/>
      <c r="F408" s="22"/>
      <c r="G408" s="22"/>
    </row>
    <row r="409" spans="4:7" s="52" customFormat="1" x14ac:dyDescent="0.25">
      <c r="D409" s="22"/>
      <c r="E409" s="69"/>
      <c r="F409" s="22"/>
      <c r="G409" s="22"/>
    </row>
    <row r="410" spans="4:7" s="52" customFormat="1" x14ac:dyDescent="0.25">
      <c r="D410" s="22"/>
      <c r="E410" s="69"/>
      <c r="F410" s="22"/>
      <c r="G410" s="22"/>
    </row>
    <row r="411" spans="4:7" s="52" customFormat="1" x14ac:dyDescent="0.25">
      <c r="D411" s="22"/>
      <c r="E411" s="69"/>
      <c r="F411" s="22"/>
      <c r="G411" s="22"/>
    </row>
    <row r="412" spans="4:7" s="52" customFormat="1" x14ac:dyDescent="0.25">
      <c r="D412" s="22"/>
      <c r="E412" s="69"/>
      <c r="F412" s="22"/>
      <c r="G412" s="22"/>
    </row>
    <row r="413" spans="4:7" s="52" customFormat="1" x14ac:dyDescent="0.25">
      <c r="D413" s="22"/>
      <c r="E413" s="69"/>
      <c r="F413" s="22"/>
      <c r="G413" s="22"/>
    </row>
    <row r="414" spans="4:7" s="52" customFormat="1" x14ac:dyDescent="0.25">
      <c r="D414" s="22"/>
      <c r="E414" s="69"/>
      <c r="F414" s="22"/>
      <c r="G414" s="22"/>
    </row>
    <row r="415" spans="4:7" s="52" customFormat="1" x14ac:dyDescent="0.25">
      <c r="D415" s="22"/>
      <c r="E415" s="69"/>
      <c r="F415" s="22"/>
      <c r="G415" s="22"/>
    </row>
    <row r="416" spans="4:7" s="52" customFormat="1" x14ac:dyDescent="0.25">
      <c r="D416" s="22"/>
      <c r="E416" s="69"/>
      <c r="F416" s="22"/>
      <c r="G416" s="22"/>
    </row>
    <row r="417" spans="4:7" s="52" customFormat="1" x14ac:dyDescent="0.25">
      <c r="D417" s="22"/>
      <c r="E417" s="69"/>
      <c r="F417" s="22"/>
      <c r="G417" s="22"/>
    </row>
    <row r="418" spans="4:7" s="52" customFormat="1" x14ac:dyDescent="0.25">
      <c r="D418" s="22"/>
      <c r="E418" s="69"/>
      <c r="F418" s="22"/>
      <c r="G418" s="22"/>
    </row>
    <row r="419" spans="4:7" s="52" customFormat="1" x14ac:dyDescent="0.25">
      <c r="D419" s="22"/>
      <c r="E419" s="69"/>
      <c r="F419" s="22"/>
      <c r="G419" s="22"/>
    </row>
    <row r="420" spans="4:7" s="52" customFormat="1" x14ac:dyDescent="0.25">
      <c r="D420" s="22"/>
      <c r="E420" s="69"/>
      <c r="F420" s="22"/>
      <c r="G420" s="22"/>
    </row>
    <row r="421" spans="4:7" s="52" customFormat="1" x14ac:dyDescent="0.25">
      <c r="D421" s="22"/>
      <c r="E421" s="69"/>
      <c r="F421" s="22"/>
      <c r="G421" s="22"/>
    </row>
    <row r="422" spans="4:7" s="52" customFormat="1" x14ac:dyDescent="0.25">
      <c r="D422" s="22"/>
      <c r="E422" s="69"/>
      <c r="F422" s="22"/>
      <c r="G422" s="22"/>
    </row>
    <row r="423" spans="4:7" s="52" customFormat="1" x14ac:dyDescent="0.25">
      <c r="D423" s="22"/>
      <c r="E423" s="69"/>
      <c r="F423" s="22"/>
      <c r="G423" s="22"/>
    </row>
    <row r="424" spans="4:7" s="52" customFormat="1" x14ac:dyDescent="0.25">
      <c r="D424" s="22"/>
      <c r="E424" s="69"/>
      <c r="F424" s="22"/>
      <c r="G424" s="22"/>
    </row>
    <row r="425" spans="4:7" s="52" customFormat="1" x14ac:dyDescent="0.25">
      <c r="D425" s="22"/>
      <c r="E425" s="69"/>
      <c r="F425" s="22"/>
      <c r="G425" s="22"/>
    </row>
    <row r="426" spans="4:7" s="52" customFormat="1" x14ac:dyDescent="0.25">
      <c r="D426" s="22"/>
      <c r="E426" s="69"/>
      <c r="F426" s="22"/>
      <c r="G426" s="22"/>
    </row>
    <row r="427" spans="4:7" s="52" customFormat="1" x14ac:dyDescent="0.25">
      <c r="D427" s="22"/>
      <c r="E427" s="69"/>
      <c r="F427" s="22"/>
      <c r="G427" s="22"/>
    </row>
    <row r="428" spans="4:7" s="52" customFormat="1" x14ac:dyDescent="0.25">
      <c r="D428" s="22"/>
      <c r="E428" s="69"/>
      <c r="F428" s="22"/>
      <c r="G428" s="22"/>
    </row>
    <row r="429" spans="4:7" s="52" customFormat="1" x14ac:dyDescent="0.25">
      <c r="D429" s="22"/>
      <c r="E429" s="69"/>
      <c r="F429" s="22"/>
      <c r="G429" s="22"/>
    </row>
    <row r="430" spans="4:7" s="52" customFormat="1" x14ac:dyDescent="0.25">
      <c r="D430" s="22"/>
      <c r="E430" s="69"/>
      <c r="F430" s="22"/>
      <c r="G430" s="22"/>
    </row>
    <row r="431" spans="4:7" s="52" customFormat="1" x14ac:dyDescent="0.25">
      <c r="D431" s="22"/>
      <c r="E431" s="69"/>
      <c r="F431" s="22"/>
      <c r="G431" s="22"/>
    </row>
    <row r="432" spans="4:7" s="52" customFormat="1" x14ac:dyDescent="0.25">
      <c r="D432" s="22"/>
      <c r="E432" s="69"/>
      <c r="F432" s="22"/>
      <c r="G432" s="22"/>
    </row>
    <row r="433" spans="4:7" s="52" customFormat="1" x14ac:dyDescent="0.25">
      <c r="D433" s="22"/>
      <c r="E433" s="69"/>
      <c r="F433" s="22"/>
      <c r="G433" s="22"/>
    </row>
    <row r="434" spans="4:7" s="52" customFormat="1" x14ac:dyDescent="0.25">
      <c r="D434" s="22"/>
      <c r="E434" s="69"/>
      <c r="F434" s="22"/>
      <c r="G434" s="22"/>
    </row>
    <row r="435" spans="4:7" s="52" customFormat="1" x14ac:dyDescent="0.25">
      <c r="D435" s="22"/>
      <c r="E435" s="69"/>
      <c r="F435" s="22"/>
      <c r="G435" s="22"/>
    </row>
    <row r="436" spans="4:7" s="52" customFormat="1" x14ac:dyDescent="0.25">
      <c r="D436" s="22"/>
      <c r="E436" s="69"/>
      <c r="F436" s="22"/>
      <c r="G436" s="22"/>
    </row>
    <row r="437" spans="4:7" s="52" customFormat="1" x14ac:dyDescent="0.25">
      <c r="D437" s="22"/>
      <c r="E437" s="69"/>
      <c r="F437" s="22"/>
      <c r="G437" s="22"/>
    </row>
    <row r="438" spans="4:7" s="52" customFormat="1" x14ac:dyDescent="0.25">
      <c r="D438" s="22"/>
      <c r="E438" s="69"/>
      <c r="F438" s="22"/>
      <c r="G438" s="22"/>
    </row>
    <row r="439" spans="4:7" s="52" customFormat="1" x14ac:dyDescent="0.25">
      <c r="D439" s="22"/>
      <c r="E439" s="69"/>
      <c r="F439" s="22"/>
      <c r="G439" s="22"/>
    </row>
    <row r="440" spans="4:7" s="52" customFormat="1" x14ac:dyDescent="0.25">
      <c r="D440" s="22"/>
      <c r="E440" s="69"/>
      <c r="F440" s="22"/>
      <c r="G440" s="22"/>
    </row>
    <row r="441" spans="4:7" s="52" customFormat="1" x14ac:dyDescent="0.25">
      <c r="D441" s="22"/>
      <c r="E441" s="69"/>
      <c r="F441" s="22"/>
      <c r="G441" s="22"/>
    </row>
    <row r="442" spans="4:7" s="52" customFormat="1" x14ac:dyDescent="0.25">
      <c r="D442" s="22"/>
      <c r="E442" s="69"/>
      <c r="F442" s="22"/>
      <c r="G442" s="22"/>
    </row>
    <row r="443" spans="4:7" s="52" customFormat="1" x14ac:dyDescent="0.25">
      <c r="D443" s="22"/>
      <c r="E443" s="69"/>
      <c r="F443" s="22"/>
      <c r="G443" s="22"/>
    </row>
    <row r="444" spans="4:7" s="52" customFormat="1" x14ac:dyDescent="0.25">
      <c r="D444" s="22"/>
      <c r="E444" s="69"/>
      <c r="F444" s="22"/>
      <c r="G444" s="22"/>
    </row>
    <row r="445" spans="4:7" s="52" customFormat="1" x14ac:dyDescent="0.25">
      <c r="D445" s="22"/>
      <c r="E445" s="69"/>
      <c r="F445" s="22"/>
      <c r="G445" s="22"/>
    </row>
    <row r="446" spans="4:7" s="52" customFormat="1" x14ac:dyDescent="0.25">
      <c r="D446" s="22"/>
      <c r="E446" s="69"/>
      <c r="F446" s="22"/>
      <c r="G446" s="22"/>
    </row>
    <row r="447" spans="4:7" s="52" customFormat="1" x14ac:dyDescent="0.25">
      <c r="D447" s="22"/>
      <c r="E447" s="69"/>
      <c r="F447" s="22"/>
      <c r="G447" s="22"/>
    </row>
    <row r="448" spans="4:7" s="52" customFormat="1" x14ac:dyDescent="0.25">
      <c r="D448" s="22"/>
      <c r="E448" s="69"/>
      <c r="F448" s="22"/>
      <c r="G448" s="22"/>
    </row>
    <row r="449" spans="4:7" s="52" customFormat="1" x14ac:dyDescent="0.25">
      <c r="D449" s="22"/>
      <c r="E449" s="69"/>
      <c r="F449" s="22"/>
      <c r="G449" s="22"/>
    </row>
    <row r="450" spans="4:7" s="52" customFormat="1" x14ac:dyDescent="0.25">
      <c r="D450" s="22"/>
      <c r="E450" s="69"/>
      <c r="F450" s="22"/>
      <c r="G450" s="22"/>
    </row>
    <row r="451" spans="4:7" s="52" customFormat="1" x14ac:dyDescent="0.25">
      <c r="D451" s="22"/>
      <c r="E451" s="69"/>
      <c r="F451" s="22"/>
      <c r="G451" s="22"/>
    </row>
    <row r="452" spans="4:7" s="52" customFormat="1" x14ac:dyDescent="0.25">
      <c r="D452" s="22"/>
      <c r="E452" s="69"/>
      <c r="F452" s="22"/>
      <c r="G452" s="22"/>
    </row>
    <row r="453" spans="4:7" s="52" customFormat="1" x14ac:dyDescent="0.25">
      <c r="D453" s="22"/>
      <c r="E453" s="69"/>
      <c r="F453" s="22"/>
      <c r="G453" s="22"/>
    </row>
    <row r="454" spans="4:7" s="52" customFormat="1" x14ac:dyDescent="0.25">
      <c r="D454" s="22"/>
      <c r="E454" s="69"/>
      <c r="F454" s="22"/>
      <c r="G454" s="22"/>
    </row>
    <row r="455" spans="4:7" s="52" customFormat="1" x14ac:dyDescent="0.25">
      <c r="D455" s="22"/>
      <c r="E455" s="69"/>
      <c r="F455" s="22"/>
      <c r="G455" s="22"/>
    </row>
    <row r="456" spans="4:7" s="52" customFormat="1" x14ac:dyDescent="0.25">
      <c r="D456" s="22"/>
      <c r="E456" s="69"/>
      <c r="F456" s="22"/>
      <c r="G456" s="22"/>
    </row>
    <row r="457" spans="4:7" s="52" customFormat="1" x14ac:dyDescent="0.25">
      <c r="D457" s="22"/>
      <c r="E457" s="69"/>
      <c r="F457" s="22"/>
      <c r="G457" s="22"/>
    </row>
    <row r="458" spans="4:7" s="52" customFormat="1" x14ac:dyDescent="0.25">
      <c r="D458" s="22"/>
      <c r="E458" s="69"/>
      <c r="F458" s="22"/>
      <c r="G458" s="22"/>
    </row>
    <row r="459" spans="4:7" s="52" customFormat="1" x14ac:dyDescent="0.25">
      <c r="D459" s="22"/>
      <c r="E459" s="69"/>
      <c r="F459" s="22"/>
      <c r="G459" s="22"/>
    </row>
    <row r="460" spans="4:7" s="52" customFormat="1" x14ac:dyDescent="0.25">
      <c r="D460" s="22"/>
      <c r="E460" s="69"/>
      <c r="F460" s="22"/>
      <c r="G460" s="22"/>
    </row>
    <row r="461" spans="4:7" s="52" customFormat="1" x14ac:dyDescent="0.25">
      <c r="D461" s="22"/>
      <c r="E461" s="69"/>
      <c r="F461" s="22"/>
      <c r="G461" s="22"/>
    </row>
    <row r="462" spans="4:7" s="52" customFormat="1" x14ac:dyDescent="0.25">
      <c r="D462" s="22"/>
      <c r="E462" s="69"/>
      <c r="F462" s="22"/>
      <c r="G462" s="22"/>
    </row>
    <row r="463" spans="4:7" s="52" customFormat="1" x14ac:dyDescent="0.25">
      <c r="D463" s="22"/>
      <c r="E463" s="69"/>
      <c r="F463" s="22"/>
      <c r="G463" s="22"/>
    </row>
    <row r="464" spans="4:7" s="52" customFormat="1" x14ac:dyDescent="0.25">
      <c r="D464" s="22"/>
      <c r="E464" s="69"/>
      <c r="F464" s="22"/>
      <c r="G464" s="22"/>
    </row>
    <row r="465" spans="4:7" s="52" customFormat="1" x14ac:dyDescent="0.25">
      <c r="D465" s="22"/>
      <c r="E465" s="69"/>
      <c r="F465" s="22"/>
      <c r="G465" s="22"/>
    </row>
    <row r="466" spans="4:7" s="52" customFormat="1" x14ac:dyDescent="0.25">
      <c r="D466" s="22"/>
      <c r="E466" s="69"/>
      <c r="F466" s="22"/>
      <c r="G466" s="22"/>
    </row>
    <row r="467" spans="4:7" s="52" customFormat="1" x14ac:dyDescent="0.25">
      <c r="D467" s="22"/>
      <c r="E467" s="69"/>
      <c r="F467" s="22"/>
      <c r="G467" s="22"/>
    </row>
    <row r="468" spans="4:7" s="52" customFormat="1" x14ac:dyDescent="0.25">
      <c r="D468" s="22"/>
      <c r="E468" s="69"/>
      <c r="F468" s="22"/>
      <c r="G468" s="22"/>
    </row>
    <row r="469" spans="4:7" s="52" customFormat="1" x14ac:dyDescent="0.25">
      <c r="D469" s="22"/>
      <c r="E469" s="69"/>
      <c r="F469" s="22"/>
      <c r="G469" s="22"/>
    </row>
    <row r="470" spans="4:7" s="52" customFormat="1" x14ac:dyDescent="0.25">
      <c r="D470" s="22"/>
      <c r="E470" s="69"/>
      <c r="F470" s="22"/>
      <c r="G470" s="22"/>
    </row>
    <row r="471" spans="4:7" s="52" customFormat="1" x14ac:dyDescent="0.25">
      <c r="D471" s="22"/>
      <c r="E471" s="69"/>
      <c r="F471" s="22"/>
      <c r="G471" s="22"/>
    </row>
    <row r="472" spans="4:7" s="52" customFormat="1" x14ac:dyDescent="0.25">
      <c r="D472" s="22"/>
      <c r="E472" s="69"/>
      <c r="F472" s="22"/>
      <c r="G472" s="22"/>
    </row>
    <row r="473" spans="4:7" s="52" customFormat="1" x14ac:dyDescent="0.25">
      <c r="D473" s="22"/>
      <c r="E473" s="69"/>
      <c r="F473" s="22"/>
      <c r="G473" s="22"/>
    </row>
    <row r="474" spans="4:7" s="52" customFormat="1" x14ac:dyDescent="0.25">
      <c r="D474" s="22"/>
      <c r="E474" s="69"/>
      <c r="F474" s="22"/>
      <c r="G474" s="22"/>
    </row>
    <row r="475" spans="4:7" s="52" customFormat="1" x14ac:dyDescent="0.25">
      <c r="D475" s="22"/>
      <c r="E475" s="69"/>
      <c r="F475" s="22"/>
      <c r="G475" s="22"/>
    </row>
    <row r="476" spans="4:7" s="52" customFormat="1" x14ac:dyDescent="0.25">
      <c r="D476" s="22"/>
      <c r="E476" s="69"/>
      <c r="F476" s="22"/>
      <c r="G476" s="22"/>
    </row>
    <row r="477" spans="4:7" s="52" customFormat="1" x14ac:dyDescent="0.25">
      <c r="D477" s="22"/>
      <c r="E477" s="69"/>
      <c r="F477" s="22"/>
      <c r="G477" s="22"/>
    </row>
    <row r="478" spans="4:7" s="52" customFormat="1" x14ac:dyDescent="0.25">
      <c r="D478" s="22"/>
      <c r="E478" s="69"/>
      <c r="F478" s="22"/>
      <c r="G478" s="22"/>
    </row>
    <row r="479" spans="4:7" s="52" customFormat="1" x14ac:dyDescent="0.25">
      <c r="D479" s="22"/>
      <c r="E479" s="69"/>
      <c r="F479" s="22"/>
      <c r="G479" s="22"/>
    </row>
    <row r="480" spans="4:7" s="52" customFormat="1" x14ac:dyDescent="0.25">
      <c r="D480" s="22"/>
      <c r="E480" s="69"/>
      <c r="F480" s="22"/>
      <c r="G480" s="22"/>
    </row>
    <row r="481" spans="4:7" s="52" customFormat="1" x14ac:dyDescent="0.25">
      <c r="D481" s="22"/>
      <c r="E481" s="69"/>
      <c r="F481" s="22"/>
      <c r="G481" s="22"/>
    </row>
    <row r="482" spans="4:7" s="52" customFormat="1" x14ac:dyDescent="0.25">
      <c r="D482" s="22"/>
      <c r="E482" s="69"/>
      <c r="F482" s="22"/>
      <c r="G482" s="22"/>
    </row>
    <row r="483" spans="4:7" s="52" customFormat="1" x14ac:dyDescent="0.25">
      <c r="D483" s="22"/>
      <c r="E483" s="69"/>
      <c r="F483" s="22"/>
      <c r="G483" s="22"/>
    </row>
    <row r="484" spans="4:7" s="52" customFormat="1" x14ac:dyDescent="0.25">
      <c r="D484" s="22"/>
      <c r="E484" s="69"/>
      <c r="F484" s="22"/>
      <c r="G484" s="22"/>
    </row>
    <row r="485" spans="4:7" s="52" customFormat="1" x14ac:dyDescent="0.25">
      <c r="D485" s="22"/>
      <c r="E485" s="69"/>
      <c r="F485" s="22"/>
      <c r="G485" s="22"/>
    </row>
    <row r="486" spans="4:7" s="52" customFormat="1" x14ac:dyDescent="0.25">
      <c r="D486" s="22"/>
      <c r="E486" s="69"/>
      <c r="F486" s="22"/>
      <c r="G486" s="22"/>
    </row>
    <row r="487" spans="4:7" s="52" customFormat="1" x14ac:dyDescent="0.25">
      <c r="D487" s="22"/>
      <c r="E487" s="69"/>
      <c r="F487" s="22"/>
      <c r="G487" s="22"/>
    </row>
    <row r="488" spans="4:7" s="52" customFormat="1" x14ac:dyDescent="0.25">
      <c r="D488" s="22"/>
      <c r="E488" s="69"/>
      <c r="F488" s="22"/>
      <c r="G488" s="22"/>
    </row>
    <row r="489" spans="4:7" s="52" customFormat="1" x14ac:dyDescent="0.25">
      <c r="D489" s="22"/>
      <c r="E489" s="69"/>
      <c r="F489" s="22"/>
      <c r="G489" s="22"/>
    </row>
    <row r="490" spans="4:7" s="52" customFormat="1" x14ac:dyDescent="0.25">
      <c r="D490" s="22"/>
      <c r="E490" s="69"/>
      <c r="F490" s="22"/>
      <c r="G490" s="22"/>
    </row>
    <row r="491" spans="4:7" s="52" customFormat="1" x14ac:dyDescent="0.25">
      <c r="D491" s="22"/>
      <c r="E491" s="69"/>
      <c r="F491" s="22"/>
      <c r="G491" s="22"/>
    </row>
    <row r="492" spans="4:7" s="52" customFormat="1" x14ac:dyDescent="0.25">
      <c r="D492" s="22"/>
      <c r="E492" s="69"/>
      <c r="F492" s="22"/>
      <c r="G492" s="22"/>
    </row>
    <row r="493" spans="4:7" s="52" customFormat="1" x14ac:dyDescent="0.25">
      <c r="D493" s="22"/>
      <c r="E493" s="69"/>
      <c r="F493" s="22"/>
      <c r="G493" s="22"/>
    </row>
    <row r="494" spans="4:7" s="52" customFormat="1" x14ac:dyDescent="0.25">
      <c r="D494" s="22"/>
      <c r="E494" s="69"/>
      <c r="F494" s="22"/>
      <c r="G494" s="22"/>
    </row>
    <row r="495" spans="4:7" s="52" customFormat="1" x14ac:dyDescent="0.25">
      <c r="D495" s="22"/>
      <c r="E495" s="69"/>
      <c r="F495" s="22"/>
      <c r="G495" s="22"/>
    </row>
    <row r="496" spans="4:7" s="52" customFormat="1" x14ac:dyDescent="0.25">
      <c r="D496" s="22"/>
      <c r="E496" s="69"/>
      <c r="F496" s="22"/>
      <c r="G496" s="22"/>
    </row>
    <row r="497" spans="4:7" s="52" customFormat="1" x14ac:dyDescent="0.25">
      <c r="D497" s="22"/>
      <c r="E497" s="69"/>
      <c r="F497" s="22"/>
      <c r="G497" s="22"/>
    </row>
    <row r="498" spans="4:7" s="52" customFormat="1" x14ac:dyDescent="0.25">
      <c r="D498" s="22"/>
      <c r="E498" s="69"/>
      <c r="F498" s="22"/>
      <c r="G498" s="22"/>
    </row>
    <row r="499" spans="4:7" s="52" customFormat="1" x14ac:dyDescent="0.25">
      <c r="D499" s="22"/>
      <c r="E499" s="69"/>
      <c r="F499" s="22"/>
      <c r="G499" s="22"/>
    </row>
    <row r="500" spans="4:7" s="52" customFormat="1" x14ac:dyDescent="0.25">
      <c r="D500" s="22"/>
      <c r="E500" s="69"/>
      <c r="F500" s="22"/>
      <c r="G500" s="22"/>
    </row>
    <row r="501" spans="4:7" s="52" customFormat="1" x14ac:dyDescent="0.25">
      <c r="D501" s="22"/>
      <c r="E501" s="69"/>
      <c r="F501" s="22"/>
      <c r="G501" s="22"/>
    </row>
    <row r="502" spans="4:7" s="52" customFormat="1" x14ac:dyDescent="0.25">
      <c r="D502" s="22"/>
      <c r="E502" s="69"/>
      <c r="F502" s="22"/>
      <c r="G502" s="22"/>
    </row>
    <row r="503" spans="4:7" s="52" customFormat="1" x14ac:dyDescent="0.25">
      <c r="D503" s="22"/>
      <c r="E503" s="69"/>
      <c r="F503" s="22"/>
      <c r="G503" s="22"/>
    </row>
    <row r="504" spans="4:7" s="52" customFormat="1" x14ac:dyDescent="0.25">
      <c r="D504" s="22"/>
      <c r="E504" s="69"/>
      <c r="F504" s="22"/>
      <c r="G504" s="22"/>
    </row>
    <row r="505" spans="4:7" s="52" customFormat="1" x14ac:dyDescent="0.25">
      <c r="D505" s="22"/>
      <c r="E505" s="69"/>
      <c r="F505" s="22"/>
      <c r="G505" s="22"/>
    </row>
    <row r="506" spans="4:7" s="52" customFormat="1" x14ac:dyDescent="0.25">
      <c r="D506" s="22"/>
      <c r="E506" s="69"/>
      <c r="F506" s="22"/>
      <c r="G506" s="22"/>
    </row>
    <row r="507" spans="4:7" s="52" customFormat="1" x14ac:dyDescent="0.25">
      <c r="D507" s="22"/>
      <c r="E507" s="69"/>
      <c r="F507" s="22"/>
      <c r="G507" s="22"/>
    </row>
    <row r="508" spans="4:7" s="52" customFormat="1" x14ac:dyDescent="0.25">
      <c r="D508" s="22"/>
      <c r="E508" s="69"/>
      <c r="F508" s="22"/>
      <c r="G508" s="22"/>
    </row>
    <row r="509" spans="4:7" s="52" customFormat="1" x14ac:dyDescent="0.25">
      <c r="D509" s="22"/>
      <c r="E509" s="69"/>
      <c r="F509" s="22"/>
      <c r="G509" s="22"/>
    </row>
    <row r="510" spans="4:7" s="52" customFormat="1" x14ac:dyDescent="0.25">
      <c r="D510" s="22"/>
      <c r="E510" s="69"/>
      <c r="F510" s="22"/>
      <c r="G510" s="22"/>
    </row>
    <row r="511" spans="4:7" s="52" customFormat="1" x14ac:dyDescent="0.25">
      <c r="D511" s="22"/>
      <c r="E511" s="69"/>
      <c r="F511" s="22"/>
      <c r="G511" s="22"/>
    </row>
    <row r="512" spans="4:7" s="52" customFormat="1" x14ac:dyDescent="0.25">
      <c r="D512" s="22"/>
      <c r="E512" s="69"/>
      <c r="F512" s="22"/>
      <c r="G512" s="22"/>
    </row>
    <row r="513" spans="4:7" s="52" customFormat="1" x14ac:dyDescent="0.25">
      <c r="D513" s="22"/>
      <c r="E513" s="69"/>
      <c r="F513" s="22"/>
      <c r="G513" s="22"/>
    </row>
    <row r="514" spans="4:7" s="52" customFormat="1" x14ac:dyDescent="0.25">
      <c r="D514" s="22"/>
      <c r="E514" s="69"/>
      <c r="F514" s="22"/>
      <c r="G514" s="22"/>
    </row>
    <row r="515" spans="4:7" s="52" customFormat="1" x14ac:dyDescent="0.25">
      <c r="D515" s="22"/>
      <c r="E515" s="69"/>
      <c r="F515" s="22"/>
      <c r="G515" s="22"/>
    </row>
    <row r="516" spans="4:7" s="52" customFormat="1" x14ac:dyDescent="0.25">
      <c r="D516" s="22"/>
      <c r="E516" s="69"/>
      <c r="F516" s="22"/>
      <c r="G516" s="22"/>
    </row>
    <row r="517" spans="4:7" s="52" customFormat="1" x14ac:dyDescent="0.25">
      <c r="D517" s="22"/>
      <c r="E517" s="69"/>
      <c r="F517" s="22"/>
      <c r="G517" s="22"/>
    </row>
    <row r="518" spans="4:7" s="52" customFormat="1" x14ac:dyDescent="0.25">
      <c r="D518" s="22"/>
      <c r="E518" s="69"/>
      <c r="F518" s="22"/>
      <c r="G518" s="22"/>
    </row>
    <row r="519" spans="4:7" s="52" customFormat="1" x14ac:dyDescent="0.25">
      <c r="D519" s="22"/>
      <c r="E519" s="69"/>
      <c r="F519" s="22"/>
      <c r="G519" s="22"/>
    </row>
    <row r="520" spans="4:7" s="52" customFormat="1" x14ac:dyDescent="0.25">
      <c r="D520" s="22"/>
      <c r="E520" s="69"/>
      <c r="F520" s="22"/>
      <c r="G520" s="22"/>
    </row>
    <row r="521" spans="4:7" s="52" customFormat="1" x14ac:dyDescent="0.25">
      <c r="D521" s="22"/>
      <c r="E521" s="69"/>
      <c r="F521" s="22"/>
      <c r="G521" s="22"/>
    </row>
    <row r="522" spans="4:7" s="52" customFormat="1" x14ac:dyDescent="0.25">
      <c r="D522" s="22"/>
      <c r="E522" s="69"/>
      <c r="F522" s="22"/>
      <c r="G522" s="22"/>
    </row>
    <row r="523" spans="4:7" s="52" customFormat="1" x14ac:dyDescent="0.25">
      <c r="D523" s="22"/>
      <c r="E523" s="69"/>
      <c r="F523" s="22"/>
      <c r="G523" s="22"/>
    </row>
    <row r="524" spans="4:7" s="52" customFormat="1" x14ac:dyDescent="0.25">
      <c r="D524" s="22"/>
      <c r="E524" s="69"/>
      <c r="F524" s="22"/>
      <c r="G524" s="22"/>
    </row>
    <row r="525" spans="4:7" s="52" customFormat="1" x14ac:dyDescent="0.25">
      <c r="D525" s="22"/>
      <c r="E525" s="69"/>
      <c r="F525" s="22"/>
      <c r="G525" s="22"/>
    </row>
    <row r="526" spans="4:7" s="52" customFormat="1" x14ac:dyDescent="0.25">
      <c r="D526" s="22"/>
      <c r="E526" s="69"/>
      <c r="F526" s="22"/>
      <c r="G526" s="22"/>
    </row>
    <row r="527" spans="4:7" s="52" customFormat="1" x14ac:dyDescent="0.25">
      <c r="D527" s="22"/>
      <c r="E527" s="69"/>
      <c r="F527" s="22"/>
      <c r="G527" s="22"/>
    </row>
    <row r="528" spans="4:7" s="52" customFormat="1" x14ac:dyDescent="0.25">
      <c r="D528" s="22"/>
      <c r="E528" s="69"/>
      <c r="F528" s="22"/>
      <c r="G528" s="22"/>
    </row>
    <row r="529" spans="4:7" s="52" customFormat="1" x14ac:dyDescent="0.25">
      <c r="D529" s="22"/>
      <c r="E529" s="69"/>
      <c r="F529" s="22"/>
      <c r="G529" s="22"/>
    </row>
    <row r="530" spans="4:7" s="52" customFormat="1" x14ac:dyDescent="0.25">
      <c r="D530" s="22"/>
      <c r="E530" s="69"/>
      <c r="F530" s="22"/>
      <c r="G530" s="22"/>
    </row>
    <row r="531" spans="4:7" s="52" customFormat="1" x14ac:dyDescent="0.25">
      <c r="D531" s="22"/>
      <c r="E531" s="69"/>
      <c r="F531" s="22"/>
      <c r="G531" s="22"/>
    </row>
    <row r="532" spans="4:7" s="52" customFormat="1" x14ac:dyDescent="0.25">
      <c r="D532" s="22"/>
      <c r="E532" s="69"/>
      <c r="F532" s="22"/>
      <c r="G532" s="22"/>
    </row>
    <row r="533" spans="4:7" s="52" customFormat="1" x14ac:dyDescent="0.25">
      <c r="D533" s="22"/>
      <c r="E533" s="69"/>
      <c r="F533" s="22"/>
      <c r="G533" s="22"/>
    </row>
    <row r="534" spans="4:7" s="52" customFormat="1" x14ac:dyDescent="0.25">
      <c r="D534" s="22"/>
      <c r="E534" s="69"/>
      <c r="F534" s="22"/>
      <c r="G534" s="22"/>
    </row>
    <row r="535" spans="4:7" s="52" customFormat="1" x14ac:dyDescent="0.25">
      <c r="D535" s="22"/>
      <c r="E535" s="69"/>
      <c r="F535" s="22"/>
      <c r="G535" s="22"/>
    </row>
    <row r="536" spans="4:7" s="52" customFormat="1" x14ac:dyDescent="0.25">
      <c r="D536" s="22"/>
      <c r="E536" s="69"/>
      <c r="F536" s="22"/>
      <c r="G536" s="22"/>
    </row>
    <row r="537" spans="4:7" s="52" customFormat="1" x14ac:dyDescent="0.25">
      <c r="D537" s="22"/>
      <c r="E537" s="69"/>
      <c r="F537" s="22"/>
      <c r="G537" s="22"/>
    </row>
    <row r="538" spans="4:7" s="52" customFormat="1" x14ac:dyDescent="0.25">
      <c r="D538" s="22"/>
      <c r="E538" s="69"/>
      <c r="F538" s="22"/>
      <c r="G538" s="22"/>
    </row>
    <row r="539" spans="4:7" s="52" customFormat="1" x14ac:dyDescent="0.25">
      <c r="D539" s="22"/>
      <c r="E539" s="69"/>
      <c r="F539" s="22"/>
      <c r="G539" s="22"/>
    </row>
    <row r="540" spans="4:7" s="52" customFormat="1" x14ac:dyDescent="0.25">
      <c r="D540" s="22"/>
      <c r="E540" s="69"/>
      <c r="F540" s="22"/>
      <c r="G540" s="22"/>
    </row>
    <row r="541" spans="4:7" s="52" customFormat="1" x14ac:dyDescent="0.25">
      <c r="D541" s="22"/>
      <c r="E541" s="69"/>
      <c r="F541" s="22"/>
      <c r="G541" s="22"/>
    </row>
    <row r="542" spans="4:7" s="52" customFormat="1" x14ac:dyDescent="0.25">
      <c r="D542" s="22"/>
      <c r="E542" s="69"/>
      <c r="F542" s="22"/>
      <c r="G542" s="22"/>
    </row>
    <row r="543" spans="4:7" s="52" customFormat="1" x14ac:dyDescent="0.25">
      <c r="D543" s="22"/>
      <c r="E543" s="69"/>
      <c r="F543" s="22"/>
      <c r="G543" s="22"/>
    </row>
    <row r="544" spans="4:7" s="52" customFormat="1" x14ac:dyDescent="0.25">
      <c r="D544" s="22"/>
      <c r="E544" s="69"/>
      <c r="F544" s="22"/>
      <c r="G544" s="22"/>
    </row>
    <row r="545" spans="4:7" s="52" customFormat="1" x14ac:dyDescent="0.25">
      <c r="D545" s="22"/>
      <c r="E545" s="69"/>
      <c r="F545" s="22"/>
      <c r="G545" s="22"/>
    </row>
    <row r="546" spans="4:7" s="52" customFormat="1" x14ac:dyDescent="0.25">
      <c r="D546" s="22"/>
      <c r="E546" s="69"/>
      <c r="F546" s="22"/>
      <c r="G546" s="22"/>
    </row>
    <row r="547" spans="4:7" s="52" customFormat="1" x14ac:dyDescent="0.25">
      <c r="D547" s="22"/>
      <c r="E547" s="69"/>
      <c r="F547" s="22"/>
      <c r="G547" s="22"/>
    </row>
    <row r="548" spans="4:7" s="52" customFormat="1" x14ac:dyDescent="0.25">
      <c r="D548" s="22"/>
      <c r="E548" s="69"/>
      <c r="F548" s="22"/>
      <c r="G548" s="22"/>
    </row>
    <row r="549" spans="4:7" s="52" customFormat="1" x14ac:dyDescent="0.25">
      <c r="D549" s="22"/>
      <c r="E549" s="69"/>
      <c r="F549" s="22"/>
      <c r="G549" s="22"/>
    </row>
    <row r="550" spans="4:7" s="52" customFormat="1" x14ac:dyDescent="0.25">
      <c r="D550" s="22"/>
      <c r="E550" s="69"/>
      <c r="F550" s="22"/>
      <c r="G550" s="22"/>
    </row>
    <row r="551" spans="4:7" s="52" customFormat="1" x14ac:dyDescent="0.25">
      <c r="D551" s="22"/>
      <c r="E551" s="69"/>
      <c r="F551" s="22"/>
      <c r="G551" s="22"/>
    </row>
    <row r="552" spans="4:7" s="52" customFormat="1" x14ac:dyDescent="0.25">
      <c r="D552" s="22"/>
      <c r="E552" s="69"/>
      <c r="F552" s="22"/>
      <c r="G552" s="22"/>
    </row>
    <row r="553" spans="4:7" s="52" customFormat="1" x14ac:dyDescent="0.25">
      <c r="D553" s="22"/>
      <c r="E553" s="69"/>
      <c r="F553" s="22"/>
      <c r="G553" s="22"/>
    </row>
    <row r="554" spans="4:7" s="52" customFormat="1" x14ac:dyDescent="0.25">
      <c r="D554" s="22"/>
      <c r="E554" s="69"/>
      <c r="F554" s="22"/>
      <c r="G554" s="22"/>
    </row>
    <row r="555" spans="4:7" s="52" customFormat="1" x14ac:dyDescent="0.25">
      <c r="D555" s="22"/>
      <c r="E555" s="69"/>
      <c r="F555" s="22"/>
      <c r="G555" s="22"/>
    </row>
    <row r="556" spans="4:7" s="52" customFormat="1" x14ac:dyDescent="0.25">
      <c r="D556" s="22"/>
      <c r="E556" s="69"/>
      <c r="F556" s="22"/>
      <c r="G556" s="22"/>
    </row>
    <row r="557" spans="4:7" s="52" customFormat="1" x14ac:dyDescent="0.25">
      <c r="D557" s="22"/>
      <c r="E557" s="69"/>
      <c r="F557" s="22"/>
      <c r="G557" s="22"/>
    </row>
    <row r="558" spans="4:7" s="52" customFormat="1" x14ac:dyDescent="0.25">
      <c r="D558" s="22"/>
      <c r="E558" s="69"/>
      <c r="F558" s="22"/>
      <c r="G558" s="22"/>
    </row>
    <row r="559" spans="4:7" s="52" customFormat="1" x14ac:dyDescent="0.25">
      <c r="D559" s="22"/>
      <c r="E559" s="69"/>
      <c r="F559" s="22"/>
      <c r="G559" s="22"/>
    </row>
    <row r="560" spans="4:7" s="52" customFormat="1" x14ac:dyDescent="0.25">
      <c r="D560" s="22"/>
      <c r="E560" s="69"/>
      <c r="F560" s="22"/>
      <c r="G560" s="22"/>
    </row>
    <row r="561" spans="4:7" s="52" customFormat="1" x14ac:dyDescent="0.25">
      <c r="D561" s="22"/>
      <c r="E561" s="69"/>
      <c r="F561" s="22"/>
      <c r="G561" s="22"/>
    </row>
    <row r="562" spans="4:7" s="52" customFormat="1" x14ac:dyDescent="0.25">
      <c r="D562" s="22"/>
      <c r="E562" s="69"/>
      <c r="F562" s="22"/>
      <c r="G562" s="22"/>
    </row>
    <row r="563" spans="4:7" s="52" customFormat="1" x14ac:dyDescent="0.25">
      <c r="D563" s="22"/>
      <c r="E563" s="69"/>
      <c r="F563" s="22"/>
      <c r="G563" s="22"/>
    </row>
    <row r="564" spans="4:7" s="52" customFormat="1" x14ac:dyDescent="0.25">
      <c r="D564" s="22"/>
      <c r="E564" s="69"/>
      <c r="F564" s="22"/>
      <c r="G564" s="22"/>
    </row>
    <row r="565" spans="4:7" s="52" customFormat="1" x14ac:dyDescent="0.25">
      <c r="D565" s="22"/>
      <c r="E565" s="69"/>
      <c r="F565" s="22"/>
      <c r="G565" s="22"/>
    </row>
    <row r="566" spans="4:7" s="52" customFormat="1" x14ac:dyDescent="0.25">
      <c r="D566" s="22"/>
      <c r="E566" s="69"/>
      <c r="F566" s="22"/>
      <c r="G566" s="22"/>
    </row>
    <row r="567" spans="4:7" s="52" customFormat="1" x14ac:dyDescent="0.25">
      <c r="D567" s="22"/>
      <c r="E567" s="69"/>
      <c r="F567" s="22"/>
      <c r="G567" s="22"/>
    </row>
    <row r="568" spans="4:7" s="52" customFormat="1" x14ac:dyDescent="0.25">
      <c r="D568" s="22"/>
      <c r="E568" s="69"/>
      <c r="F568" s="22"/>
      <c r="G568" s="22"/>
    </row>
    <row r="569" spans="4:7" s="52" customFormat="1" x14ac:dyDescent="0.25">
      <c r="D569" s="22"/>
      <c r="E569" s="69"/>
      <c r="F569" s="22"/>
      <c r="G569" s="22"/>
    </row>
    <row r="570" spans="4:7" s="52" customFormat="1" x14ac:dyDescent="0.25">
      <c r="D570" s="22"/>
      <c r="E570" s="69"/>
      <c r="F570" s="22"/>
      <c r="G570" s="22"/>
    </row>
    <row r="571" spans="4:7" s="52" customFormat="1" x14ac:dyDescent="0.25">
      <c r="D571" s="22"/>
      <c r="E571" s="69"/>
      <c r="F571" s="22"/>
      <c r="G571" s="22"/>
    </row>
    <row r="572" spans="4:7" s="52" customFormat="1" x14ac:dyDescent="0.25">
      <c r="D572" s="22"/>
      <c r="E572" s="69"/>
      <c r="F572" s="22"/>
      <c r="G572" s="22"/>
    </row>
    <row r="573" spans="4:7" s="52" customFormat="1" x14ac:dyDescent="0.25">
      <c r="D573" s="22"/>
      <c r="E573" s="69"/>
      <c r="F573" s="22"/>
      <c r="G573" s="22"/>
    </row>
    <row r="574" spans="4:7" s="52" customFormat="1" x14ac:dyDescent="0.25">
      <c r="D574" s="22"/>
      <c r="E574" s="69"/>
      <c r="F574" s="22"/>
      <c r="G574" s="22"/>
    </row>
    <row r="575" spans="4:7" s="52" customFormat="1" x14ac:dyDescent="0.25">
      <c r="D575" s="22"/>
      <c r="E575" s="69"/>
      <c r="F575" s="22"/>
      <c r="G575" s="22"/>
    </row>
    <row r="576" spans="4:7" s="52" customFormat="1" x14ac:dyDescent="0.25">
      <c r="D576" s="22"/>
      <c r="E576" s="69"/>
      <c r="F576" s="22"/>
      <c r="G576" s="22"/>
    </row>
    <row r="577" spans="4:7" s="52" customFormat="1" x14ac:dyDescent="0.25">
      <c r="D577" s="22"/>
      <c r="E577" s="69"/>
      <c r="F577" s="22"/>
      <c r="G577" s="22"/>
    </row>
    <row r="578" spans="4:7" s="52" customFormat="1" x14ac:dyDescent="0.25">
      <c r="D578" s="22"/>
      <c r="E578" s="69"/>
      <c r="F578" s="22"/>
      <c r="G578" s="22"/>
    </row>
    <row r="579" spans="4:7" s="52" customFormat="1" x14ac:dyDescent="0.25">
      <c r="D579" s="22"/>
      <c r="E579" s="69"/>
      <c r="F579" s="22"/>
      <c r="G579" s="22"/>
    </row>
    <row r="580" spans="4:7" s="52" customFormat="1" x14ac:dyDescent="0.25">
      <c r="D580" s="22"/>
      <c r="E580" s="69"/>
      <c r="F580" s="22"/>
      <c r="G580" s="22"/>
    </row>
    <row r="581" spans="4:7" s="52" customFormat="1" x14ac:dyDescent="0.25">
      <c r="D581" s="22"/>
      <c r="E581" s="69"/>
      <c r="F581" s="22"/>
      <c r="G581" s="22"/>
    </row>
    <row r="582" spans="4:7" s="52" customFormat="1" x14ac:dyDescent="0.25">
      <c r="D582" s="22"/>
      <c r="E582" s="69"/>
      <c r="F582" s="22"/>
      <c r="G582" s="22"/>
    </row>
    <row r="583" spans="4:7" s="52" customFormat="1" x14ac:dyDescent="0.25">
      <c r="D583" s="22"/>
      <c r="E583" s="69"/>
      <c r="F583" s="22"/>
      <c r="G583" s="22"/>
    </row>
    <row r="584" spans="4:7" s="52" customFormat="1" x14ac:dyDescent="0.25">
      <c r="D584" s="22"/>
      <c r="E584" s="69"/>
      <c r="F584" s="22"/>
      <c r="G584" s="22"/>
    </row>
    <row r="585" spans="4:7" s="52" customFormat="1" x14ac:dyDescent="0.25">
      <c r="D585" s="22"/>
      <c r="E585" s="69"/>
      <c r="F585" s="22"/>
      <c r="G585" s="22"/>
    </row>
    <row r="586" spans="4:7" s="52" customFormat="1" x14ac:dyDescent="0.25">
      <c r="D586" s="22"/>
      <c r="E586" s="69"/>
      <c r="F586" s="22"/>
      <c r="G586" s="22"/>
    </row>
    <row r="587" spans="4:7" s="52" customFormat="1" x14ac:dyDescent="0.25">
      <c r="D587" s="22"/>
      <c r="E587" s="69"/>
      <c r="F587" s="22"/>
      <c r="G587" s="22"/>
    </row>
    <row r="588" spans="4:7" s="52" customFormat="1" x14ac:dyDescent="0.25">
      <c r="D588" s="22"/>
      <c r="E588" s="69"/>
      <c r="F588" s="22"/>
      <c r="G588" s="22"/>
    </row>
    <row r="589" spans="4:7" s="52" customFormat="1" x14ac:dyDescent="0.25">
      <c r="D589" s="22"/>
      <c r="E589" s="69"/>
      <c r="F589" s="22"/>
      <c r="G589" s="22"/>
    </row>
    <row r="590" spans="4:7" s="52" customFormat="1" x14ac:dyDescent="0.25">
      <c r="D590" s="22"/>
      <c r="E590" s="69"/>
      <c r="F590" s="22"/>
      <c r="G590" s="22"/>
    </row>
    <row r="591" spans="4:7" s="52" customFormat="1" x14ac:dyDescent="0.25">
      <c r="D591" s="22"/>
      <c r="E591" s="69"/>
      <c r="F591" s="22"/>
      <c r="G591" s="22"/>
    </row>
    <row r="592" spans="4:7" s="52" customFormat="1" x14ac:dyDescent="0.25">
      <c r="D592" s="22"/>
      <c r="E592" s="69"/>
      <c r="F592" s="22"/>
      <c r="G592" s="22"/>
    </row>
    <row r="593" spans="4:7" s="52" customFormat="1" x14ac:dyDescent="0.25">
      <c r="D593" s="22"/>
      <c r="E593" s="69"/>
      <c r="F593" s="22"/>
      <c r="G593" s="22"/>
    </row>
    <row r="594" spans="4:7" s="52" customFormat="1" x14ac:dyDescent="0.25">
      <c r="D594" s="22"/>
      <c r="E594" s="69"/>
      <c r="F594" s="22"/>
      <c r="G594" s="22"/>
    </row>
    <row r="595" spans="4:7" s="52" customFormat="1" x14ac:dyDescent="0.25">
      <c r="D595" s="22"/>
      <c r="E595" s="69"/>
      <c r="F595" s="22"/>
      <c r="G595" s="22"/>
    </row>
    <row r="596" spans="4:7" s="52" customFormat="1" x14ac:dyDescent="0.25">
      <c r="D596" s="22"/>
      <c r="E596" s="69"/>
      <c r="F596" s="22"/>
      <c r="G596" s="22"/>
    </row>
    <row r="597" spans="4:7" s="52" customFormat="1" x14ac:dyDescent="0.25">
      <c r="D597" s="22"/>
      <c r="E597" s="69"/>
      <c r="F597" s="22"/>
      <c r="G597" s="22"/>
    </row>
    <row r="598" spans="4:7" s="52" customFormat="1" x14ac:dyDescent="0.25">
      <c r="D598" s="22"/>
      <c r="E598" s="69"/>
      <c r="F598" s="22"/>
      <c r="G598" s="22"/>
    </row>
    <row r="599" spans="4:7" s="52" customFormat="1" x14ac:dyDescent="0.25">
      <c r="D599" s="22"/>
      <c r="E599" s="69"/>
      <c r="F599" s="22"/>
      <c r="G599" s="22"/>
    </row>
    <row r="600" spans="4:7" s="52" customFormat="1" x14ac:dyDescent="0.25">
      <c r="D600" s="22"/>
      <c r="E600" s="69"/>
      <c r="F600" s="22"/>
      <c r="G600" s="22"/>
    </row>
    <row r="601" spans="4:7" s="52" customFormat="1" x14ac:dyDescent="0.25">
      <c r="D601" s="22"/>
      <c r="E601" s="69"/>
      <c r="F601" s="22"/>
      <c r="G601" s="22"/>
    </row>
    <row r="602" spans="4:7" s="52" customFormat="1" x14ac:dyDescent="0.25">
      <c r="D602" s="22"/>
      <c r="E602" s="69"/>
      <c r="F602" s="22"/>
      <c r="G602" s="22"/>
    </row>
    <row r="603" spans="4:7" s="52" customFormat="1" x14ac:dyDescent="0.25">
      <c r="D603" s="22"/>
      <c r="E603" s="69"/>
      <c r="F603" s="22"/>
      <c r="G603" s="22"/>
    </row>
    <row r="604" spans="4:7" s="52" customFormat="1" x14ac:dyDescent="0.25">
      <c r="D604" s="22"/>
      <c r="E604" s="69"/>
      <c r="F604" s="22"/>
      <c r="G604" s="22"/>
    </row>
    <row r="605" spans="4:7" s="52" customFormat="1" x14ac:dyDescent="0.25">
      <c r="D605" s="22"/>
      <c r="E605" s="69"/>
      <c r="F605" s="22"/>
      <c r="G605" s="22"/>
    </row>
    <row r="606" spans="4:7" s="52" customFormat="1" x14ac:dyDescent="0.25">
      <c r="D606" s="22"/>
      <c r="E606" s="69"/>
      <c r="F606" s="22"/>
      <c r="G606" s="22"/>
    </row>
    <row r="607" spans="4:7" s="52" customFormat="1" x14ac:dyDescent="0.25">
      <c r="D607" s="22"/>
      <c r="E607" s="69"/>
      <c r="F607" s="22"/>
      <c r="G607" s="22"/>
    </row>
    <row r="608" spans="4:7" s="52" customFormat="1" x14ac:dyDescent="0.25">
      <c r="D608" s="22"/>
      <c r="E608" s="69"/>
      <c r="F608" s="22"/>
      <c r="G608" s="22"/>
    </row>
    <row r="609" spans="4:7" s="52" customFormat="1" x14ac:dyDescent="0.25">
      <c r="D609" s="22"/>
      <c r="E609" s="69"/>
      <c r="F609" s="22"/>
      <c r="G609" s="22"/>
    </row>
    <row r="610" spans="4:7" s="52" customFormat="1" x14ac:dyDescent="0.25">
      <c r="D610" s="22"/>
      <c r="E610" s="69"/>
      <c r="F610" s="22"/>
      <c r="G610" s="22"/>
    </row>
    <row r="611" spans="4:7" s="52" customFormat="1" x14ac:dyDescent="0.25">
      <c r="D611" s="22"/>
      <c r="E611" s="69"/>
      <c r="F611" s="22"/>
      <c r="G611" s="22"/>
    </row>
    <row r="612" spans="4:7" s="52" customFormat="1" x14ac:dyDescent="0.25">
      <c r="D612" s="22"/>
      <c r="E612" s="69"/>
      <c r="F612" s="22"/>
      <c r="G612" s="22"/>
    </row>
    <row r="613" spans="4:7" s="52" customFormat="1" x14ac:dyDescent="0.25">
      <c r="D613" s="22"/>
      <c r="E613" s="69"/>
      <c r="F613" s="22"/>
      <c r="G613" s="22"/>
    </row>
    <row r="614" spans="4:7" s="52" customFormat="1" x14ac:dyDescent="0.25">
      <c r="D614" s="22"/>
      <c r="E614" s="69"/>
      <c r="F614" s="22"/>
      <c r="G614" s="22"/>
    </row>
    <row r="615" spans="4:7" s="52" customFormat="1" x14ac:dyDescent="0.25">
      <c r="D615" s="22"/>
      <c r="E615" s="69"/>
      <c r="F615" s="22"/>
      <c r="G615" s="22"/>
    </row>
    <row r="616" spans="4:7" s="52" customFormat="1" x14ac:dyDescent="0.25">
      <c r="D616" s="22"/>
      <c r="E616" s="69"/>
      <c r="F616" s="22"/>
      <c r="G616" s="22"/>
    </row>
    <row r="617" spans="4:7" s="52" customFormat="1" x14ac:dyDescent="0.25">
      <c r="D617" s="22"/>
      <c r="E617" s="69"/>
      <c r="F617" s="22"/>
      <c r="G617" s="22"/>
    </row>
    <row r="618" spans="4:7" s="52" customFormat="1" x14ac:dyDescent="0.25">
      <c r="D618" s="22"/>
      <c r="E618" s="69"/>
      <c r="F618" s="22"/>
      <c r="G618" s="22"/>
    </row>
    <row r="619" spans="4:7" s="52" customFormat="1" x14ac:dyDescent="0.25">
      <c r="D619" s="22"/>
      <c r="E619" s="69"/>
      <c r="F619" s="22"/>
      <c r="G619" s="22"/>
    </row>
    <row r="620" spans="4:7" s="52" customFormat="1" x14ac:dyDescent="0.25">
      <c r="D620" s="22"/>
      <c r="E620" s="69"/>
      <c r="F620" s="22"/>
      <c r="G620" s="22"/>
    </row>
    <row r="621" spans="4:7" s="52" customFormat="1" x14ac:dyDescent="0.25">
      <c r="D621" s="22"/>
      <c r="E621" s="69"/>
      <c r="F621" s="22"/>
      <c r="G621" s="22"/>
    </row>
    <row r="622" spans="4:7" s="52" customFormat="1" x14ac:dyDescent="0.25">
      <c r="D622" s="22"/>
      <c r="E622" s="69"/>
      <c r="F622" s="22"/>
      <c r="G622" s="22"/>
    </row>
    <row r="623" spans="4:7" s="52" customFormat="1" x14ac:dyDescent="0.25">
      <c r="D623" s="22"/>
      <c r="E623" s="69"/>
      <c r="F623" s="22"/>
      <c r="G623" s="22"/>
    </row>
    <row r="624" spans="4:7" s="52" customFormat="1" x14ac:dyDescent="0.25">
      <c r="D624" s="22"/>
      <c r="E624" s="69"/>
      <c r="F624" s="22"/>
      <c r="G624" s="22"/>
    </row>
    <row r="625" spans="4:7" s="52" customFormat="1" x14ac:dyDescent="0.25">
      <c r="D625" s="22"/>
      <c r="E625" s="69"/>
      <c r="F625" s="22"/>
      <c r="G625" s="22"/>
    </row>
    <row r="626" spans="4:7" s="52" customFormat="1" x14ac:dyDescent="0.25">
      <c r="D626" s="22"/>
      <c r="E626" s="69"/>
      <c r="F626" s="22"/>
      <c r="G626" s="22"/>
    </row>
    <row r="627" spans="4:7" s="52" customFormat="1" x14ac:dyDescent="0.25">
      <c r="D627" s="22"/>
      <c r="E627" s="69"/>
      <c r="F627" s="22"/>
      <c r="G627" s="22"/>
    </row>
    <row r="628" spans="4:7" s="52" customFormat="1" x14ac:dyDescent="0.25">
      <c r="D628" s="22"/>
      <c r="E628" s="69"/>
      <c r="F628" s="22"/>
      <c r="G628" s="22"/>
    </row>
    <row r="629" spans="4:7" s="52" customFormat="1" x14ac:dyDescent="0.25">
      <c r="D629" s="22"/>
      <c r="E629" s="69"/>
      <c r="F629" s="22"/>
      <c r="G629" s="22"/>
    </row>
    <row r="630" spans="4:7" s="52" customFormat="1" x14ac:dyDescent="0.25">
      <c r="D630" s="22"/>
      <c r="E630" s="69"/>
      <c r="F630" s="22"/>
      <c r="G630" s="22"/>
    </row>
    <row r="631" spans="4:7" s="52" customFormat="1" x14ac:dyDescent="0.25">
      <c r="D631" s="22"/>
      <c r="E631" s="69"/>
      <c r="F631" s="22"/>
      <c r="G631" s="22"/>
    </row>
    <row r="632" spans="4:7" s="52" customFormat="1" x14ac:dyDescent="0.25">
      <c r="D632" s="22"/>
      <c r="E632" s="69"/>
      <c r="F632" s="22"/>
      <c r="G632" s="22"/>
    </row>
    <row r="633" spans="4:7" s="52" customFormat="1" x14ac:dyDescent="0.25">
      <c r="D633" s="22"/>
      <c r="E633" s="69"/>
      <c r="F633" s="22"/>
      <c r="G633" s="22"/>
    </row>
    <row r="634" spans="4:7" s="52" customFormat="1" x14ac:dyDescent="0.25">
      <c r="D634" s="22"/>
      <c r="E634" s="69"/>
      <c r="F634" s="22"/>
      <c r="G634" s="22"/>
    </row>
    <row r="635" spans="4:7" s="52" customFormat="1" x14ac:dyDescent="0.25">
      <c r="D635" s="22"/>
      <c r="E635" s="69"/>
      <c r="F635" s="22"/>
      <c r="G635" s="22"/>
    </row>
    <row r="636" spans="4:7" s="52" customFormat="1" x14ac:dyDescent="0.25">
      <c r="D636" s="22"/>
      <c r="E636" s="69"/>
      <c r="F636" s="22"/>
      <c r="G636" s="22"/>
    </row>
    <row r="637" spans="4:7" s="52" customFormat="1" x14ac:dyDescent="0.25">
      <c r="D637" s="22"/>
      <c r="E637" s="69"/>
      <c r="F637" s="22"/>
      <c r="G637" s="22"/>
    </row>
    <row r="638" spans="4:7" s="52" customFormat="1" x14ac:dyDescent="0.25">
      <c r="D638" s="22"/>
      <c r="E638" s="69"/>
      <c r="F638" s="22"/>
      <c r="G638" s="22"/>
    </row>
    <row r="639" spans="4:7" s="52" customFormat="1" x14ac:dyDescent="0.25">
      <c r="D639" s="22"/>
      <c r="E639" s="69"/>
      <c r="F639" s="22"/>
      <c r="G639" s="22"/>
    </row>
    <row r="640" spans="4:7" s="52" customFormat="1" x14ac:dyDescent="0.25">
      <c r="D640" s="22"/>
      <c r="E640" s="69"/>
      <c r="F640" s="22"/>
      <c r="G640" s="22"/>
    </row>
    <row r="641" spans="4:7" s="52" customFormat="1" x14ac:dyDescent="0.25">
      <c r="D641" s="22"/>
      <c r="E641" s="69"/>
      <c r="F641" s="22"/>
      <c r="G641" s="22"/>
    </row>
    <row r="642" spans="4:7" s="52" customFormat="1" x14ac:dyDescent="0.25">
      <c r="D642" s="22"/>
      <c r="E642" s="69"/>
      <c r="F642" s="22"/>
      <c r="G642" s="22"/>
    </row>
    <row r="643" spans="4:7" s="52" customFormat="1" x14ac:dyDescent="0.25">
      <c r="D643" s="22"/>
      <c r="E643" s="69"/>
      <c r="F643" s="22"/>
      <c r="G643" s="22"/>
    </row>
    <row r="644" spans="4:7" s="52" customFormat="1" x14ac:dyDescent="0.25">
      <c r="D644" s="22"/>
      <c r="E644" s="69"/>
      <c r="F644" s="22"/>
      <c r="G644" s="22"/>
    </row>
    <row r="645" spans="4:7" s="52" customFormat="1" x14ac:dyDescent="0.25">
      <c r="D645" s="22"/>
      <c r="E645" s="69"/>
      <c r="F645" s="22"/>
      <c r="G645" s="22"/>
    </row>
    <row r="646" spans="4:7" s="52" customFormat="1" x14ac:dyDescent="0.25">
      <c r="D646" s="22"/>
      <c r="E646" s="69"/>
      <c r="F646" s="22"/>
      <c r="G646" s="22"/>
    </row>
    <row r="647" spans="4:7" s="52" customFormat="1" x14ac:dyDescent="0.25">
      <c r="D647" s="22"/>
      <c r="E647" s="69"/>
      <c r="F647" s="22"/>
      <c r="G647" s="22"/>
    </row>
    <row r="648" spans="4:7" s="52" customFormat="1" x14ac:dyDescent="0.25">
      <c r="D648" s="22"/>
      <c r="E648" s="69"/>
      <c r="F648" s="22"/>
      <c r="G648" s="22"/>
    </row>
    <row r="649" spans="4:7" s="52" customFormat="1" x14ac:dyDescent="0.25">
      <c r="D649" s="22"/>
      <c r="E649" s="69"/>
      <c r="F649" s="22"/>
      <c r="G649" s="22"/>
    </row>
    <row r="650" spans="4:7" s="52" customFormat="1" x14ac:dyDescent="0.25">
      <c r="D650" s="22"/>
      <c r="E650" s="69"/>
      <c r="F650" s="22"/>
      <c r="G650" s="22"/>
    </row>
    <row r="651" spans="4:7" s="52" customFormat="1" x14ac:dyDescent="0.25">
      <c r="D651" s="22"/>
      <c r="E651" s="69"/>
      <c r="F651" s="22"/>
      <c r="G651" s="22"/>
    </row>
    <row r="652" spans="4:7" s="52" customFormat="1" x14ac:dyDescent="0.25">
      <c r="D652" s="22"/>
      <c r="E652" s="69"/>
      <c r="F652" s="22"/>
      <c r="G652" s="22"/>
    </row>
    <row r="653" spans="4:7" s="52" customFormat="1" x14ac:dyDescent="0.25">
      <c r="D653" s="22"/>
      <c r="E653" s="69"/>
      <c r="F653" s="22"/>
      <c r="G653" s="22"/>
    </row>
    <row r="654" spans="4:7" s="52" customFormat="1" x14ac:dyDescent="0.25">
      <c r="D654" s="22"/>
      <c r="E654" s="69"/>
      <c r="F654" s="22"/>
      <c r="G654" s="22"/>
    </row>
    <row r="655" spans="4:7" s="52" customFormat="1" x14ac:dyDescent="0.25">
      <c r="D655" s="22"/>
      <c r="E655" s="69"/>
      <c r="F655" s="22"/>
      <c r="G655" s="22"/>
    </row>
    <row r="656" spans="4:7" s="52" customFormat="1" x14ac:dyDescent="0.25">
      <c r="D656" s="22"/>
      <c r="E656" s="69"/>
      <c r="F656" s="22"/>
      <c r="G656" s="22"/>
    </row>
    <row r="657" spans="4:7" s="52" customFormat="1" x14ac:dyDescent="0.25">
      <c r="D657" s="22"/>
      <c r="E657" s="69"/>
      <c r="F657" s="22"/>
      <c r="G657" s="22"/>
    </row>
    <row r="658" spans="4:7" s="52" customFormat="1" x14ac:dyDescent="0.25">
      <c r="D658" s="22"/>
      <c r="E658" s="69"/>
      <c r="F658" s="22"/>
      <c r="G658" s="22"/>
    </row>
    <row r="659" spans="4:7" s="52" customFormat="1" x14ac:dyDescent="0.25">
      <c r="D659" s="22"/>
      <c r="E659" s="69"/>
      <c r="F659" s="22"/>
      <c r="G659" s="22"/>
    </row>
    <row r="660" spans="4:7" s="52" customFormat="1" x14ac:dyDescent="0.25">
      <c r="D660" s="22"/>
      <c r="E660" s="69"/>
      <c r="F660" s="22"/>
      <c r="G660" s="22"/>
    </row>
    <row r="661" spans="4:7" s="52" customFormat="1" x14ac:dyDescent="0.25">
      <c r="D661" s="22"/>
      <c r="E661" s="69"/>
      <c r="F661" s="22"/>
      <c r="G661" s="22"/>
    </row>
    <row r="662" spans="4:7" s="52" customFormat="1" x14ac:dyDescent="0.25">
      <c r="D662" s="22"/>
      <c r="E662" s="69"/>
      <c r="F662" s="22"/>
      <c r="G662" s="22"/>
    </row>
    <row r="663" spans="4:7" s="52" customFormat="1" x14ac:dyDescent="0.25">
      <c r="D663" s="22"/>
      <c r="E663" s="69"/>
      <c r="F663" s="22"/>
      <c r="G663" s="22"/>
    </row>
    <row r="664" spans="4:7" s="52" customFormat="1" x14ac:dyDescent="0.25">
      <c r="D664" s="22"/>
      <c r="E664" s="69"/>
      <c r="F664" s="22"/>
      <c r="G664" s="22"/>
    </row>
    <row r="665" spans="4:7" s="52" customFormat="1" x14ac:dyDescent="0.25">
      <c r="D665" s="22"/>
      <c r="E665" s="69"/>
      <c r="F665" s="22"/>
      <c r="G665" s="22"/>
    </row>
    <row r="666" spans="4:7" s="52" customFormat="1" x14ac:dyDescent="0.25">
      <c r="D666" s="22"/>
      <c r="E666" s="69"/>
      <c r="F666" s="22"/>
      <c r="G666" s="22"/>
    </row>
    <row r="667" spans="4:7" s="52" customFormat="1" x14ac:dyDescent="0.25">
      <c r="D667" s="22"/>
      <c r="E667" s="69"/>
      <c r="F667" s="22"/>
      <c r="G667" s="22"/>
    </row>
    <row r="668" spans="4:7" s="52" customFormat="1" x14ac:dyDescent="0.25">
      <c r="D668" s="22"/>
      <c r="E668" s="69"/>
      <c r="F668" s="22"/>
      <c r="G668" s="22"/>
    </row>
    <row r="669" spans="4:7" s="52" customFormat="1" x14ac:dyDescent="0.25">
      <c r="D669" s="22"/>
      <c r="E669" s="69"/>
      <c r="F669" s="22"/>
      <c r="G669" s="22"/>
    </row>
    <row r="670" spans="4:7" s="52" customFormat="1" x14ac:dyDescent="0.25">
      <c r="D670" s="22"/>
      <c r="E670" s="69"/>
      <c r="F670" s="22"/>
      <c r="G670" s="22"/>
    </row>
    <row r="671" spans="4:7" s="52" customFormat="1" x14ac:dyDescent="0.25">
      <c r="D671" s="22"/>
      <c r="E671" s="69"/>
      <c r="F671" s="22"/>
      <c r="G671" s="22"/>
    </row>
    <row r="672" spans="4:7" s="52" customFormat="1" x14ac:dyDescent="0.25">
      <c r="D672" s="22"/>
      <c r="E672" s="69"/>
      <c r="F672" s="22"/>
      <c r="G672" s="22"/>
    </row>
    <row r="673" spans="4:7" s="52" customFormat="1" x14ac:dyDescent="0.25">
      <c r="D673" s="22"/>
      <c r="E673" s="69"/>
      <c r="F673" s="22"/>
      <c r="G673" s="22"/>
    </row>
    <row r="674" spans="4:7" s="52" customFormat="1" x14ac:dyDescent="0.25">
      <c r="D674" s="22"/>
      <c r="E674" s="69"/>
      <c r="F674" s="22"/>
      <c r="G674" s="22"/>
    </row>
    <row r="675" spans="4:7" s="52" customFormat="1" x14ac:dyDescent="0.25">
      <c r="D675" s="22"/>
      <c r="E675" s="69"/>
      <c r="F675" s="22"/>
      <c r="G675" s="22"/>
    </row>
    <row r="676" spans="4:7" s="52" customFormat="1" x14ac:dyDescent="0.25">
      <c r="D676" s="22"/>
      <c r="E676" s="69"/>
      <c r="F676" s="22"/>
      <c r="G676" s="22"/>
    </row>
    <row r="677" spans="4:7" s="52" customFormat="1" x14ac:dyDescent="0.25">
      <c r="D677" s="22"/>
      <c r="E677" s="69"/>
      <c r="F677" s="22"/>
      <c r="G677" s="22"/>
    </row>
    <row r="678" spans="4:7" s="52" customFormat="1" x14ac:dyDescent="0.25">
      <c r="D678" s="22"/>
      <c r="E678" s="69"/>
      <c r="F678" s="22"/>
      <c r="G678" s="22"/>
    </row>
    <row r="679" spans="4:7" s="52" customFormat="1" x14ac:dyDescent="0.25">
      <c r="D679" s="22"/>
      <c r="E679" s="69"/>
      <c r="F679" s="22"/>
      <c r="G679" s="22"/>
    </row>
    <row r="680" spans="4:7" s="52" customFormat="1" x14ac:dyDescent="0.25">
      <c r="D680" s="22"/>
      <c r="E680" s="69"/>
      <c r="F680" s="22"/>
      <c r="G680" s="22"/>
    </row>
    <row r="681" spans="4:7" s="52" customFormat="1" x14ac:dyDescent="0.25">
      <c r="D681" s="22"/>
      <c r="E681" s="69"/>
      <c r="F681" s="22"/>
      <c r="G681" s="22"/>
    </row>
    <row r="682" spans="4:7" s="52" customFormat="1" x14ac:dyDescent="0.25">
      <c r="D682" s="22"/>
      <c r="E682" s="69"/>
      <c r="F682" s="22"/>
      <c r="G682" s="22"/>
    </row>
    <row r="683" spans="4:7" s="52" customFormat="1" x14ac:dyDescent="0.25">
      <c r="D683" s="22"/>
      <c r="E683" s="69"/>
      <c r="F683" s="22"/>
      <c r="G683" s="22"/>
    </row>
    <row r="684" spans="4:7" s="52" customFormat="1" x14ac:dyDescent="0.25">
      <c r="D684" s="22"/>
      <c r="E684" s="69"/>
      <c r="F684" s="22"/>
      <c r="G684" s="22"/>
    </row>
    <row r="685" spans="4:7" s="52" customFormat="1" x14ac:dyDescent="0.25">
      <c r="D685" s="22"/>
      <c r="E685" s="69"/>
      <c r="F685" s="22"/>
      <c r="G685" s="22"/>
    </row>
    <row r="686" spans="4:7" s="52" customFormat="1" x14ac:dyDescent="0.25">
      <c r="D686" s="22"/>
      <c r="E686" s="69"/>
      <c r="F686" s="22"/>
      <c r="G686" s="22"/>
    </row>
    <row r="687" spans="4:7" s="52" customFormat="1" x14ac:dyDescent="0.25">
      <c r="D687" s="22"/>
      <c r="E687" s="69"/>
      <c r="F687" s="22"/>
      <c r="G687" s="22"/>
    </row>
    <row r="688" spans="4:7" s="52" customFormat="1" x14ac:dyDescent="0.25">
      <c r="D688" s="22"/>
      <c r="E688" s="69"/>
      <c r="F688" s="22"/>
      <c r="G688" s="22"/>
    </row>
    <row r="689" spans="4:7" s="52" customFormat="1" x14ac:dyDescent="0.25">
      <c r="D689" s="22"/>
      <c r="E689" s="69"/>
      <c r="F689" s="22"/>
      <c r="G689" s="22"/>
    </row>
    <row r="690" spans="4:7" s="52" customFormat="1" x14ac:dyDescent="0.25">
      <c r="D690" s="22"/>
      <c r="E690" s="69"/>
      <c r="F690" s="22"/>
      <c r="G690" s="22"/>
    </row>
    <row r="691" spans="4:7" s="52" customFormat="1" x14ac:dyDescent="0.25">
      <c r="D691" s="22"/>
      <c r="E691" s="69"/>
      <c r="F691" s="22"/>
      <c r="G691" s="22"/>
    </row>
    <row r="692" spans="4:7" s="52" customFormat="1" x14ac:dyDescent="0.25">
      <c r="D692" s="22"/>
      <c r="E692" s="69"/>
      <c r="F692" s="22"/>
      <c r="G692" s="22"/>
    </row>
    <row r="693" spans="4:7" s="52" customFormat="1" x14ac:dyDescent="0.25">
      <c r="D693" s="22"/>
      <c r="E693" s="69"/>
      <c r="F693" s="22"/>
      <c r="G693" s="22"/>
    </row>
    <row r="694" spans="4:7" s="52" customFormat="1" x14ac:dyDescent="0.25">
      <c r="D694" s="22"/>
      <c r="E694" s="69"/>
      <c r="F694" s="22"/>
      <c r="G694" s="22"/>
    </row>
    <row r="695" spans="4:7" s="52" customFormat="1" x14ac:dyDescent="0.25">
      <c r="D695" s="22"/>
      <c r="E695" s="69"/>
      <c r="F695" s="22"/>
      <c r="G695" s="22"/>
    </row>
    <row r="696" spans="4:7" s="52" customFormat="1" x14ac:dyDescent="0.25">
      <c r="D696" s="22"/>
      <c r="E696" s="69"/>
      <c r="F696" s="22"/>
      <c r="G696" s="22"/>
    </row>
    <row r="697" spans="4:7" s="52" customFormat="1" x14ac:dyDescent="0.25">
      <c r="D697" s="22"/>
      <c r="E697" s="69"/>
      <c r="F697" s="22"/>
      <c r="G697" s="22"/>
    </row>
    <row r="698" spans="4:7" s="52" customFormat="1" x14ac:dyDescent="0.25">
      <c r="D698" s="22"/>
      <c r="E698" s="69"/>
      <c r="F698" s="22"/>
      <c r="G698" s="22"/>
    </row>
    <row r="699" spans="4:7" s="52" customFormat="1" x14ac:dyDescent="0.25">
      <c r="D699" s="22"/>
      <c r="E699" s="69"/>
      <c r="F699" s="22"/>
      <c r="G699" s="22"/>
    </row>
    <row r="700" spans="4:7" s="52" customFormat="1" x14ac:dyDescent="0.25">
      <c r="D700" s="22"/>
      <c r="E700" s="69"/>
      <c r="F700" s="22"/>
      <c r="G700" s="22"/>
    </row>
    <row r="701" spans="4:7" s="52" customFormat="1" x14ac:dyDescent="0.25">
      <c r="D701" s="22"/>
      <c r="E701" s="69"/>
      <c r="F701" s="22"/>
      <c r="G701" s="22"/>
    </row>
    <row r="702" spans="4:7" s="52" customFormat="1" x14ac:dyDescent="0.25">
      <c r="D702" s="22"/>
      <c r="E702" s="69"/>
      <c r="F702" s="22"/>
      <c r="G702" s="22"/>
    </row>
    <row r="703" spans="4:7" s="52" customFormat="1" x14ac:dyDescent="0.25">
      <c r="D703" s="22"/>
      <c r="E703" s="69"/>
      <c r="F703" s="22"/>
      <c r="G703" s="22"/>
    </row>
    <row r="704" spans="4:7" s="52" customFormat="1" x14ac:dyDescent="0.25">
      <c r="D704" s="22"/>
      <c r="E704" s="69"/>
      <c r="F704" s="22"/>
      <c r="G704" s="22"/>
    </row>
    <row r="705" spans="4:7" s="52" customFormat="1" x14ac:dyDescent="0.25">
      <c r="D705" s="22"/>
      <c r="E705" s="69"/>
      <c r="F705" s="22"/>
      <c r="G705" s="22"/>
    </row>
    <row r="706" spans="4:7" s="52" customFormat="1" x14ac:dyDescent="0.25">
      <c r="D706" s="22"/>
      <c r="E706" s="69"/>
      <c r="F706" s="22"/>
      <c r="G706" s="22"/>
    </row>
    <row r="707" spans="4:7" s="52" customFormat="1" x14ac:dyDescent="0.25">
      <c r="D707" s="22"/>
      <c r="E707" s="69"/>
      <c r="F707" s="22"/>
      <c r="G707" s="22"/>
    </row>
    <row r="708" spans="4:7" s="52" customFormat="1" x14ac:dyDescent="0.25">
      <c r="D708" s="22"/>
      <c r="E708" s="69"/>
      <c r="F708" s="22"/>
      <c r="G708" s="22"/>
    </row>
    <row r="709" spans="4:7" s="52" customFormat="1" x14ac:dyDescent="0.25">
      <c r="D709" s="22"/>
      <c r="E709" s="69"/>
      <c r="F709" s="22"/>
      <c r="G709" s="22"/>
    </row>
    <row r="710" spans="4:7" s="52" customFormat="1" x14ac:dyDescent="0.25">
      <c r="D710" s="22"/>
      <c r="E710" s="69"/>
      <c r="F710" s="22"/>
      <c r="G710" s="22"/>
    </row>
    <row r="711" spans="4:7" s="52" customFormat="1" x14ac:dyDescent="0.25">
      <c r="D711" s="22"/>
      <c r="E711" s="69"/>
      <c r="F711" s="22"/>
      <c r="G711" s="22"/>
    </row>
    <row r="712" spans="4:7" s="52" customFormat="1" x14ac:dyDescent="0.25">
      <c r="D712" s="22"/>
      <c r="E712" s="69"/>
      <c r="F712" s="22"/>
      <c r="G712" s="22"/>
    </row>
    <row r="713" spans="4:7" s="52" customFormat="1" x14ac:dyDescent="0.25">
      <c r="D713" s="22"/>
      <c r="E713" s="69"/>
      <c r="F713" s="22"/>
      <c r="G713" s="22"/>
    </row>
    <row r="714" spans="4:7" s="52" customFormat="1" x14ac:dyDescent="0.25">
      <c r="D714" s="22"/>
      <c r="E714" s="69"/>
      <c r="F714" s="22"/>
      <c r="G714" s="22"/>
    </row>
    <row r="715" spans="4:7" s="52" customFormat="1" x14ac:dyDescent="0.25">
      <c r="D715" s="22"/>
      <c r="E715" s="69"/>
      <c r="F715" s="22"/>
      <c r="G715" s="22"/>
    </row>
    <row r="716" spans="4:7" s="52" customFormat="1" x14ac:dyDescent="0.25">
      <c r="D716" s="22"/>
      <c r="E716" s="69"/>
      <c r="F716" s="22"/>
      <c r="G716" s="22"/>
    </row>
    <row r="717" spans="4:7" s="52" customFormat="1" x14ac:dyDescent="0.25">
      <c r="D717" s="22"/>
      <c r="E717" s="69"/>
      <c r="F717" s="22"/>
      <c r="G717" s="22"/>
    </row>
    <row r="718" spans="4:7" s="52" customFormat="1" x14ac:dyDescent="0.25">
      <c r="D718" s="22"/>
      <c r="E718" s="69"/>
      <c r="F718" s="22"/>
      <c r="G718" s="22"/>
    </row>
    <row r="719" spans="4:7" s="52" customFormat="1" x14ac:dyDescent="0.25">
      <c r="D719" s="22"/>
      <c r="E719" s="69"/>
      <c r="F719" s="22"/>
      <c r="G719" s="22"/>
    </row>
    <row r="720" spans="4:7" s="52" customFormat="1" x14ac:dyDescent="0.25">
      <c r="D720" s="22"/>
      <c r="E720" s="69"/>
      <c r="F720" s="22"/>
      <c r="G720" s="22"/>
    </row>
    <row r="721" spans="4:7" s="52" customFormat="1" x14ac:dyDescent="0.25">
      <c r="D721" s="22"/>
      <c r="E721" s="69"/>
      <c r="F721" s="22"/>
      <c r="G721" s="22"/>
    </row>
    <row r="722" spans="4:7" s="52" customFormat="1" x14ac:dyDescent="0.25">
      <c r="D722" s="22"/>
      <c r="E722" s="69"/>
      <c r="F722" s="22"/>
      <c r="G722" s="22"/>
    </row>
    <row r="723" spans="4:7" s="52" customFormat="1" x14ac:dyDescent="0.25">
      <c r="D723" s="22"/>
      <c r="E723" s="69"/>
      <c r="F723" s="22"/>
      <c r="G723" s="22"/>
    </row>
    <row r="724" spans="4:7" s="52" customFormat="1" x14ac:dyDescent="0.25">
      <c r="D724" s="22"/>
      <c r="E724" s="69"/>
      <c r="F724" s="22"/>
      <c r="G724" s="22"/>
    </row>
    <row r="725" spans="4:7" s="52" customFormat="1" x14ac:dyDescent="0.25">
      <c r="D725" s="22"/>
      <c r="E725" s="69"/>
      <c r="F725" s="22"/>
      <c r="G725" s="22"/>
    </row>
    <row r="726" spans="4:7" s="52" customFormat="1" x14ac:dyDescent="0.25">
      <c r="D726" s="22"/>
      <c r="E726" s="69"/>
      <c r="F726" s="22"/>
      <c r="G726" s="22"/>
    </row>
    <row r="727" spans="4:7" s="52" customFormat="1" x14ac:dyDescent="0.25">
      <c r="D727" s="22"/>
      <c r="E727" s="69"/>
      <c r="F727" s="22"/>
      <c r="G727" s="22"/>
    </row>
    <row r="728" spans="4:7" s="52" customFormat="1" x14ac:dyDescent="0.25">
      <c r="D728" s="22"/>
      <c r="E728" s="69"/>
      <c r="F728" s="22"/>
      <c r="G728" s="22"/>
    </row>
    <row r="729" spans="4:7" s="52" customFormat="1" x14ac:dyDescent="0.25">
      <c r="D729" s="22"/>
      <c r="E729" s="69"/>
      <c r="F729" s="22"/>
      <c r="G729" s="22"/>
    </row>
    <row r="730" spans="4:7" s="52" customFormat="1" x14ac:dyDescent="0.25">
      <c r="D730" s="22"/>
      <c r="E730" s="69"/>
      <c r="F730" s="22"/>
      <c r="G730" s="22"/>
    </row>
    <row r="731" spans="4:7" s="52" customFormat="1" x14ac:dyDescent="0.25">
      <c r="D731" s="22"/>
      <c r="E731" s="69"/>
      <c r="F731" s="22"/>
      <c r="G731" s="22"/>
    </row>
    <row r="732" spans="4:7" s="52" customFormat="1" x14ac:dyDescent="0.25">
      <c r="D732" s="22"/>
      <c r="E732" s="69"/>
      <c r="F732" s="22"/>
      <c r="G732" s="22"/>
    </row>
    <row r="733" spans="4:7" s="52" customFormat="1" x14ac:dyDescent="0.25">
      <c r="D733" s="22"/>
      <c r="E733" s="69"/>
      <c r="F733" s="22"/>
      <c r="G733" s="22"/>
    </row>
    <row r="734" spans="4:7" s="52" customFormat="1" x14ac:dyDescent="0.25">
      <c r="D734" s="22"/>
      <c r="E734" s="69"/>
      <c r="F734" s="22"/>
      <c r="G734" s="22"/>
    </row>
    <row r="735" spans="4:7" s="52" customFormat="1" x14ac:dyDescent="0.25">
      <c r="D735" s="22"/>
      <c r="E735" s="69"/>
      <c r="F735" s="22"/>
      <c r="G735" s="22"/>
    </row>
    <row r="736" spans="4:7" s="52" customFormat="1" x14ac:dyDescent="0.25">
      <c r="D736" s="22"/>
      <c r="E736" s="69"/>
      <c r="F736" s="22"/>
      <c r="G736" s="22"/>
    </row>
    <row r="737" spans="4:7" s="52" customFormat="1" x14ac:dyDescent="0.25">
      <c r="D737" s="22"/>
      <c r="E737" s="69"/>
      <c r="F737" s="22"/>
      <c r="G737" s="22"/>
    </row>
    <row r="738" spans="4:7" s="52" customFormat="1" x14ac:dyDescent="0.25">
      <c r="D738" s="22"/>
      <c r="E738" s="69"/>
      <c r="F738" s="22"/>
      <c r="G738" s="22"/>
    </row>
    <row r="739" spans="4:7" s="52" customFormat="1" x14ac:dyDescent="0.25">
      <c r="D739" s="22"/>
      <c r="E739" s="69"/>
      <c r="F739" s="22"/>
      <c r="G739" s="22"/>
    </row>
    <row r="740" spans="4:7" s="52" customFormat="1" x14ac:dyDescent="0.25">
      <c r="D740" s="22"/>
      <c r="E740" s="69"/>
      <c r="F740" s="22"/>
      <c r="G740" s="22"/>
    </row>
    <row r="741" spans="4:7" s="52" customFormat="1" x14ac:dyDescent="0.25">
      <c r="D741" s="22"/>
      <c r="E741" s="69"/>
      <c r="F741" s="22"/>
      <c r="G741" s="22"/>
    </row>
    <row r="742" spans="4:7" s="52" customFormat="1" x14ac:dyDescent="0.25">
      <c r="D742" s="22"/>
      <c r="E742" s="69"/>
      <c r="F742" s="22"/>
      <c r="G742" s="22"/>
    </row>
    <row r="743" spans="4:7" s="52" customFormat="1" x14ac:dyDescent="0.25">
      <c r="D743" s="22"/>
      <c r="E743" s="69"/>
      <c r="F743" s="22"/>
      <c r="G743" s="22"/>
    </row>
    <row r="744" spans="4:7" s="52" customFormat="1" x14ac:dyDescent="0.25">
      <c r="D744" s="22"/>
      <c r="E744" s="69"/>
      <c r="F744" s="22"/>
      <c r="G744" s="22"/>
    </row>
    <row r="745" spans="4:7" s="52" customFormat="1" x14ac:dyDescent="0.25">
      <c r="D745" s="22"/>
      <c r="E745" s="69"/>
      <c r="F745" s="22"/>
      <c r="G745" s="22"/>
    </row>
    <row r="746" spans="4:7" s="52" customFormat="1" x14ac:dyDescent="0.25">
      <c r="D746" s="22"/>
      <c r="E746" s="69"/>
      <c r="F746" s="22"/>
      <c r="G746" s="22"/>
    </row>
    <row r="747" spans="4:7" s="52" customFormat="1" x14ac:dyDescent="0.25">
      <c r="D747" s="22"/>
      <c r="E747" s="69"/>
      <c r="F747" s="22"/>
      <c r="G747" s="22"/>
    </row>
    <row r="748" spans="4:7" s="52" customFormat="1" x14ac:dyDescent="0.25">
      <c r="D748" s="22"/>
      <c r="E748" s="69"/>
      <c r="F748" s="22"/>
      <c r="G748" s="22"/>
    </row>
    <row r="749" spans="4:7" s="52" customFormat="1" x14ac:dyDescent="0.25">
      <c r="D749" s="22"/>
      <c r="E749" s="69"/>
      <c r="F749" s="22"/>
      <c r="G749" s="22"/>
    </row>
    <row r="750" spans="4:7" s="52" customFormat="1" x14ac:dyDescent="0.25">
      <c r="D750" s="22"/>
      <c r="E750" s="69"/>
      <c r="F750" s="22"/>
      <c r="G750" s="22"/>
    </row>
    <row r="751" spans="4:7" s="52" customFormat="1" x14ac:dyDescent="0.25">
      <c r="D751" s="22"/>
      <c r="E751" s="69"/>
      <c r="F751" s="22"/>
      <c r="G751" s="22"/>
    </row>
    <row r="752" spans="4:7" s="52" customFormat="1" x14ac:dyDescent="0.25">
      <c r="D752" s="22"/>
      <c r="E752" s="69"/>
      <c r="F752" s="22"/>
      <c r="G752" s="22"/>
    </row>
    <row r="753" spans="4:7" s="52" customFormat="1" x14ac:dyDescent="0.25">
      <c r="D753" s="22"/>
      <c r="E753" s="69"/>
      <c r="F753" s="22"/>
      <c r="G753" s="22"/>
    </row>
    <row r="754" spans="4:7" s="52" customFormat="1" x14ac:dyDescent="0.25">
      <c r="D754" s="22"/>
      <c r="E754" s="69"/>
      <c r="F754" s="22"/>
      <c r="G754" s="22"/>
    </row>
    <row r="755" spans="4:7" s="52" customFormat="1" x14ac:dyDescent="0.25">
      <c r="D755" s="22"/>
      <c r="E755" s="69"/>
      <c r="F755" s="22"/>
      <c r="G755" s="22"/>
    </row>
    <row r="756" spans="4:7" s="52" customFormat="1" x14ac:dyDescent="0.25">
      <c r="D756" s="22"/>
      <c r="E756" s="69"/>
      <c r="F756" s="22"/>
      <c r="G756" s="22"/>
    </row>
    <row r="757" spans="4:7" s="52" customFormat="1" x14ac:dyDescent="0.25">
      <c r="D757" s="22"/>
      <c r="E757" s="69"/>
      <c r="F757" s="22"/>
      <c r="G757" s="22"/>
    </row>
    <row r="758" spans="4:7" s="52" customFormat="1" x14ac:dyDescent="0.25">
      <c r="D758" s="22"/>
      <c r="E758" s="69"/>
      <c r="F758" s="22"/>
      <c r="G758" s="22"/>
    </row>
    <row r="759" spans="4:7" s="52" customFormat="1" x14ac:dyDescent="0.25">
      <c r="D759" s="22"/>
      <c r="E759" s="69"/>
      <c r="F759" s="22"/>
      <c r="G759" s="22"/>
    </row>
    <row r="760" spans="4:7" s="52" customFormat="1" x14ac:dyDescent="0.25">
      <c r="D760" s="22"/>
      <c r="E760" s="69"/>
      <c r="F760" s="22"/>
      <c r="G760" s="22"/>
    </row>
    <row r="761" spans="4:7" s="52" customFormat="1" x14ac:dyDescent="0.25">
      <c r="D761" s="22"/>
      <c r="E761" s="69"/>
      <c r="F761" s="22"/>
      <c r="G761" s="22"/>
    </row>
    <row r="762" spans="4:7" s="52" customFormat="1" x14ac:dyDescent="0.25">
      <c r="D762" s="22"/>
      <c r="E762" s="69"/>
      <c r="F762" s="22"/>
      <c r="G762" s="22"/>
    </row>
    <row r="763" spans="4:7" s="52" customFormat="1" x14ac:dyDescent="0.25">
      <c r="D763" s="22"/>
      <c r="E763" s="69"/>
      <c r="F763" s="22"/>
      <c r="G763" s="22"/>
    </row>
    <row r="764" spans="4:7" s="52" customFormat="1" x14ac:dyDescent="0.25">
      <c r="D764" s="22"/>
      <c r="E764" s="69"/>
      <c r="F764" s="22"/>
      <c r="G764" s="22"/>
    </row>
    <row r="765" spans="4:7" s="52" customFormat="1" x14ac:dyDescent="0.25">
      <c r="D765" s="22"/>
      <c r="E765" s="69"/>
      <c r="F765" s="22"/>
      <c r="G765" s="22"/>
    </row>
    <row r="766" spans="4:7" s="52" customFormat="1" x14ac:dyDescent="0.25">
      <c r="D766" s="22"/>
      <c r="E766" s="69"/>
      <c r="F766" s="22"/>
      <c r="G766" s="22"/>
    </row>
    <row r="767" spans="4:7" s="52" customFormat="1" x14ac:dyDescent="0.25">
      <c r="D767" s="22"/>
      <c r="E767" s="69"/>
      <c r="F767" s="22"/>
      <c r="G767" s="22"/>
    </row>
    <row r="768" spans="4:7" s="52" customFormat="1" x14ac:dyDescent="0.25">
      <c r="D768" s="22"/>
      <c r="E768" s="69"/>
      <c r="F768" s="22"/>
      <c r="G768" s="22"/>
    </row>
    <row r="769" spans="4:7" s="52" customFormat="1" x14ac:dyDescent="0.25">
      <c r="D769" s="22"/>
      <c r="E769" s="69"/>
      <c r="F769" s="22"/>
      <c r="G769" s="22"/>
    </row>
    <row r="770" spans="4:7" s="52" customFormat="1" x14ac:dyDescent="0.25">
      <c r="D770" s="22"/>
      <c r="E770" s="69"/>
      <c r="F770" s="22"/>
      <c r="G770" s="22"/>
    </row>
    <row r="771" spans="4:7" s="52" customFormat="1" x14ac:dyDescent="0.25">
      <c r="D771" s="22"/>
      <c r="E771" s="69"/>
      <c r="F771" s="22"/>
      <c r="G771" s="22"/>
    </row>
    <row r="772" spans="4:7" s="52" customFormat="1" x14ac:dyDescent="0.25">
      <c r="D772" s="22"/>
      <c r="E772" s="69"/>
      <c r="F772" s="22"/>
      <c r="G772" s="22"/>
    </row>
    <row r="773" spans="4:7" s="52" customFormat="1" x14ac:dyDescent="0.25">
      <c r="D773" s="22"/>
      <c r="E773" s="69"/>
      <c r="F773" s="22"/>
      <c r="G773" s="22"/>
    </row>
    <row r="774" spans="4:7" s="52" customFormat="1" x14ac:dyDescent="0.25">
      <c r="D774" s="22"/>
      <c r="E774" s="69"/>
      <c r="F774" s="22"/>
      <c r="G774" s="22"/>
    </row>
    <row r="775" spans="4:7" s="52" customFormat="1" x14ac:dyDescent="0.25">
      <c r="D775" s="22"/>
      <c r="E775" s="69"/>
      <c r="F775" s="22"/>
      <c r="G775" s="22"/>
    </row>
    <row r="776" spans="4:7" s="52" customFormat="1" x14ac:dyDescent="0.25">
      <c r="D776" s="22"/>
      <c r="E776" s="69"/>
      <c r="F776" s="22"/>
      <c r="G776" s="22"/>
    </row>
    <row r="777" spans="4:7" s="52" customFormat="1" x14ac:dyDescent="0.25">
      <c r="D777" s="22"/>
      <c r="E777" s="69"/>
      <c r="F777" s="22"/>
      <c r="G777" s="22"/>
    </row>
    <row r="778" spans="4:7" s="52" customFormat="1" x14ac:dyDescent="0.25">
      <c r="D778" s="22"/>
      <c r="E778" s="69"/>
      <c r="F778" s="22"/>
      <c r="G778" s="22"/>
    </row>
    <row r="779" spans="4:7" s="52" customFormat="1" x14ac:dyDescent="0.25">
      <c r="D779" s="22"/>
      <c r="E779" s="69"/>
      <c r="F779" s="22"/>
      <c r="G779" s="22"/>
    </row>
    <row r="780" spans="4:7" s="52" customFormat="1" x14ac:dyDescent="0.25">
      <c r="D780" s="22"/>
      <c r="E780" s="69"/>
      <c r="F780" s="22"/>
      <c r="G780" s="22"/>
    </row>
    <row r="781" spans="4:7" s="52" customFormat="1" x14ac:dyDescent="0.25">
      <c r="D781" s="22"/>
      <c r="E781" s="69"/>
      <c r="F781" s="22"/>
      <c r="G781" s="22"/>
    </row>
    <row r="782" spans="4:7" s="52" customFormat="1" x14ac:dyDescent="0.25">
      <c r="D782" s="22"/>
      <c r="E782" s="69"/>
      <c r="F782" s="22"/>
      <c r="G782" s="22"/>
    </row>
    <row r="783" spans="4:7" s="52" customFormat="1" x14ac:dyDescent="0.25">
      <c r="D783" s="22"/>
      <c r="E783" s="69"/>
      <c r="F783" s="22"/>
      <c r="G783" s="22"/>
    </row>
    <row r="784" spans="4:7" s="52" customFormat="1" x14ac:dyDescent="0.25">
      <c r="D784" s="22"/>
      <c r="E784" s="69"/>
      <c r="F784" s="22"/>
      <c r="G784" s="22"/>
    </row>
    <row r="785" spans="4:7" s="52" customFormat="1" x14ac:dyDescent="0.25">
      <c r="D785" s="22"/>
      <c r="E785" s="69"/>
      <c r="F785" s="22"/>
      <c r="G785" s="22"/>
    </row>
    <row r="786" spans="4:7" s="52" customFormat="1" x14ac:dyDescent="0.25">
      <c r="D786" s="22"/>
      <c r="E786" s="69"/>
      <c r="F786" s="22"/>
      <c r="G786" s="22"/>
    </row>
    <row r="787" spans="4:7" s="52" customFormat="1" x14ac:dyDescent="0.25">
      <c r="D787" s="22"/>
      <c r="E787" s="69"/>
      <c r="F787" s="22"/>
      <c r="G787" s="22"/>
    </row>
    <row r="788" spans="4:7" s="52" customFormat="1" x14ac:dyDescent="0.25">
      <c r="D788" s="22"/>
      <c r="E788" s="69"/>
      <c r="F788" s="22"/>
      <c r="G788" s="22"/>
    </row>
    <row r="789" spans="4:7" s="52" customFormat="1" x14ac:dyDescent="0.25">
      <c r="D789" s="22"/>
      <c r="E789" s="69"/>
      <c r="F789" s="22"/>
      <c r="G789" s="22"/>
    </row>
    <row r="790" spans="4:7" s="52" customFormat="1" x14ac:dyDescent="0.25">
      <c r="D790" s="22"/>
      <c r="E790" s="69"/>
      <c r="F790" s="22"/>
      <c r="G790" s="22"/>
    </row>
    <row r="791" spans="4:7" s="52" customFormat="1" x14ac:dyDescent="0.25">
      <c r="D791" s="22"/>
      <c r="E791" s="69"/>
      <c r="F791" s="22"/>
      <c r="G791" s="22"/>
    </row>
    <row r="792" spans="4:7" s="52" customFormat="1" x14ac:dyDescent="0.25">
      <c r="D792" s="22"/>
      <c r="E792" s="69"/>
      <c r="F792" s="22"/>
      <c r="G792" s="22"/>
    </row>
    <row r="793" spans="4:7" s="52" customFormat="1" x14ac:dyDescent="0.25">
      <c r="D793" s="22"/>
      <c r="E793" s="69"/>
      <c r="F793" s="22"/>
      <c r="G793" s="22"/>
    </row>
    <row r="794" spans="4:7" s="52" customFormat="1" x14ac:dyDescent="0.25">
      <c r="D794" s="22"/>
      <c r="E794" s="69"/>
      <c r="F794" s="22"/>
      <c r="G794" s="22"/>
    </row>
    <row r="795" spans="4:7" s="52" customFormat="1" x14ac:dyDescent="0.25">
      <c r="D795" s="22"/>
      <c r="E795" s="69"/>
      <c r="F795" s="22"/>
      <c r="G795" s="22"/>
    </row>
    <row r="796" spans="4:7" s="52" customFormat="1" x14ac:dyDescent="0.25">
      <c r="D796" s="22"/>
      <c r="E796" s="69"/>
      <c r="F796" s="22"/>
      <c r="G796" s="22"/>
    </row>
    <row r="797" spans="4:7" s="52" customFormat="1" x14ac:dyDescent="0.25">
      <c r="D797" s="22"/>
      <c r="E797" s="69"/>
      <c r="F797" s="22"/>
      <c r="G797" s="22"/>
    </row>
    <row r="798" spans="4:7" s="52" customFormat="1" x14ac:dyDescent="0.25">
      <c r="D798" s="22"/>
      <c r="E798" s="69"/>
      <c r="F798" s="22"/>
      <c r="G798" s="22"/>
    </row>
    <row r="799" spans="4:7" s="52" customFormat="1" x14ac:dyDescent="0.25">
      <c r="D799" s="22"/>
      <c r="E799" s="69"/>
      <c r="F799" s="22"/>
      <c r="G799" s="22"/>
    </row>
    <row r="800" spans="4:7" s="52" customFormat="1" x14ac:dyDescent="0.25">
      <c r="D800" s="22"/>
      <c r="E800" s="69"/>
      <c r="F800" s="22"/>
      <c r="G800" s="22"/>
    </row>
    <row r="801" spans="4:7" s="52" customFormat="1" x14ac:dyDescent="0.25">
      <c r="D801" s="22"/>
      <c r="E801" s="69"/>
      <c r="F801" s="22"/>
      <c r="G801" s="22"/>
    </row>
    <row r="802" spans="4:7" s="52" customFormat="1" x14ac:dyDescent="0.25">
      <c r="D802" s="22"/>
      <c r="E802" s="69"/>
      <c r="F802" s="22"/>
      <c r="G802" s="22"/>
    </row>
    <row r="803" spans="4:7" s="52" customFormat="1" x14ac:dyDescent="0.25">
      <c r="D803" s="22"/>
      <c r="E803" s="69"/>
      <c r="F803" s="22"/>
      <c r="G803" s="22"/>
    </row>
    <row r="804" spans="4:7" s="52" customFormat="1" x14ac:dyDescent="0.25">
      <c r="D804" s="22"/>
      <c r="E804" s="69"/>
      <c r="F804" s="22"/>
      <c r="G804" s="22"/>
    </row>
    <row r="805" spans="4:7" s="52" customFormat="1" x14ac:dyDescent="0.25">
      <c r="D805" s="22"/>
      <c r="E805" s="69"/>
      <c r="F805" s="22"/>
      <c r="G805" s="22"/>
    </row>
    <row r="806" spans="4:7" s="52" customFormat="1" x14ac:dyDescent="0.25">
      <c r="D806" s="22"/>
      <c r="E806" s="69"/>
      <c r="F806" s="22"/>
      <c r="G806" s="22"/>
    </row>
    <row r="807" spans="4:7" s="52" customFormat="1" x14ac:dyDescent="0.25">
      <c r="D807" s="22"/>
      <c r="E807" s="69"/>
      <c r="F807" s="22"/>
      <c r="G807" s="22"/>
    </row>
    <row r="808" spans="4:7" s="52" customFormat="1" x14ac:dyDescent="0.25">
      <c r="D808" s="22"/>
      <c r="E808" s="69"/>
      <c r="F808" s="22"/>
      <c r="G808" s="22"/>
    </row>
    <row r="809" spans="4:7" s="52" customFormat="1" x14ac:dyDescent="0.25">
      <c r="D809" s="22"/>
      <c r="E809" s="69"/>
      <c r="F809" s="22"/>
      <c r="G809" s="22"/>
    </row>
    <row r="810" spans="4:7" s="52" customFormat="1" x14ac:dyDescent="0.25">
      <c r="D810" s="22"/>
      <c r="E810" s="69"/>
      <c r="F810" s="22"/>
      <c r="G810" s="22"/>
    </row>
    <row r="811" spans="4:7" s="52" customFormat="1" x14ac:dyDescent="0.25">
      <c r="D811" s="22"/>
      <c r="E811" s="69"/>
      <c r="F811" s="22"/>
      <c r="G811" s="22"/>
    </row>
    <row r="812" spans="4:7" s="52" customFormat="1" x14ac:dyDescent="0.25">
      <c r="D812" s="22"/>
      <c r="E812" s="69"/>
      <c r="F812" s="22"/>
      <c r="G812" s="22"/>
    </row>
    <row r="813" spans="4:7" s="52" customFormat="1" x14ac:dyDescent="0.25">
      <c r="D813" s="22"/>
      <c r="E813" s="69"/>
      <c r="F813" s="22"/>
      <c r="G813" s="22"/>
    </row>
    <row r="814" spans="4:7" s="52" customFormat="1" x14ac:dyDescent="0.25">
      <c r="D814" s="22"/>
      <c r="E814" s="69"/>
      <c r="F814" s="22"/>
      <c r="G814" s="22"/>
    </row>
    <row r="815" spans="4:7" s="52" customFormat="1" x14ac:dyDescent="0.25">
      <c r="D815" s="22"/>
      <c r="E815" s="69"/>
      <c r="F815" s="22"/>
      <c r="G815" s="22"/>
    </row>
    <row r="816" spans="4:7" s="52" customFormat="1" x14ac:dyDescent="0.25">
      <c r="D816" s="22"/>
      <c r="E816" s="69"/>
      <c r="F816" s="22"/>
      <c r="G816" s="22"/>
    </row>
    <row r="817" spans="4:7" s="52" customFormat="1" x14ac:dyDescent="0.25">
      <c r="D817" s="22"/>
      <c r="E817" s="69"/>
      <c r="F817" s="22"/>
      <c r="G817" s="22"/>
    </row>
    <row r="818" spans="4:7" s="52" customFormat="1" x14ac:dyDescent="0.25">
      <c r="D818" s="22"/>
      <c r="E818" s="69"/>
      <c r="F818" s="22"/>
      <c r="G818" s="22"/>
    </row>
    <row r="819" spans="4:7" s="52" customFormat="1" x14ac:dyDescent="0.25">
      <c r="D819" s="22"/>
      <c r="E819" s="69"/>
      <c r="F819" s="22"/>
      <c r="G819" s="22"/>
    </row>
    <row r="820" spans="4:7" s="52" customFormat="1" x14ac:dyDescent="0.25">
      <c r="D820" s="22"/>
      <c r="E820" s="69"/>
      <c r="F820" s="22"/>
      <c r="G820" s="22"/>
    </row>
    <row r="821" spans="4:7" s="52" customFormat="1" x14ac:dyDescent="0.25">
      <c r="D821" s="22"/>
      <c r="E821" s="69"/>
      <c r="F821" s="22"/>
      <c r="G821" s="22"/>
    </row>
    <row r="822" spans="4:7" s="52" customFormat="1" x14ac:dyDescent="0.25">
      <c r="D822" s="22"/>
      <c r="E822" s="69"/>
      <c r="F822" s="22"/>
      <c r="G822" s="22"/>
    </row>
    <row r="823" spans="4:7" s="52" customFormat="1" x14ac:dyDescent="0.25">
      <c r="D823" s="22"/>
      <c r="E823" s="69"/>
      <c r="F823" s="22"/>
      <c r="G823" s="22"/>
    </row>
    <row r="824" spans="4:7" s="52" customFormat="1" x14ac:dyDescent="0.25">
      <c r="D824" s="22"/>
      <c r="E824" s="69"/>
      <c r="F824" s="22"/>
      <c r="G824" s="22"/>
    </row>
    <row r="825" spans="4:7" s="52" customFormat="1" x14ac:dyDescent="0.25">
      <c r="D825" s="22"/>
      <c r="E825" s="69"/>
      <c r="F825" s="22"/>
      <c r="G825" s="22"/>
    </row>
    <row r="826" spans="4:7" s="52" customFormat="1" x14ac:dyDescent="0.25">
      <c r="D826" s="22"/>
      <c r="E826" s="69"/>
      <c r="F826" s="22"/>
      <c r="G826" s="22"/>
    </row>
    <row r="827" spans="4:7" s="52" customFormat="1" x14ac:dyDescent="0.25">
      <c r="D827" s="22"/>
      <c r="E827" s="69"/>
      <c r="F827" s="22"/>
      <c r="G827" s="22"/>
    </row>
    <row r="828" spans="4:7" s="52" customFormat="1" x14ac:dyDescent="0.25">
      <c r="D828" s="22"/>
      <c r="E828" s="69"/>
      <c r="F828" s="22"/>
      <c r="G828" s="22"/>
    </row>
    <row r="829" spans="4:7" s="52" customFormat="1" x14ac:dyDescent="0.25">
      <c r="D829" s="22"/>
      <c r="E829" s="69"/>
      <c r="F829" s="22"/>
      <c r="G829" s="22"/>
    </row>
    <row r="830" spans="4:7" s="52" customFormat="1" x14ac:dyDescent="0.25">
      <c r="D830" s="22"/>
      <c r="E830" s="69"/>
      <c r="F830" s="22"/>
      <c r="G830" s="22"/>
    </row>
    <row r="831" spans="4:7" s="52" customFormat="1" x14ac:dyDescent="0.25">
      <c r="D831" s="22"/>
      <c r="E831" s="69"/>
      <c r="F831" s="22"/>
      <c r="G831" s="22"/>
    </row>
    <row r="832" spans="4:7" s="52" customFormat="1" x14ac:dyDescent="0.25">
      <c r="D832" s="22"/>
      <c r="E832" s="69"/>
      <c r="F832" s="22"/>
      <c r="G832" s="22"/>
    </row>
    <row r="833" spans="4:7" s="52" customFormat="1" x14ac:dyDescent="0.25">
      <c r="D833" s="22"/>
      <c r="E833" s="69"/>
      <c r="F833" s="22"/>
      <c r="G833" s="22"/>
    </row>
    <row r="834" spans="4:7" s="52" customFormat="1" x14ac:dyDescent="0.25">
      <c r="D834" s="22"/>
      <c r="E834" s="69"/>
      <c r="F834" s="22"/>
      <c r="G834" s="22"/>
    </row>
    <row r="835" spans="4:7" s="52" customFormat="1" x14ac:dyDescent="0.25">
      <c r="D835" s="22"/>
      <c r="E835" s="69"/>
      <c r="F835" s="22"/>
      <c r="G835" s="22"/>
    </row>
    <row r="836" spans="4:7" s="52" customFormat="1" x14ac:dyDescent="0.25">
      <c r="D836" s="22"/>
      <c r="E836" s="69"/>
      <c r="F836" s="22"/>
      <c r="G836" s="22"/>
    </row>
    <row r="837" spans="4:7" s="52" customFormat="1" x14ac:dyDescent="0.25">
      <c r="D837" s="22"/>
      <c r="E837" s="69"/>
      <c r="F837" s="22"/>
      <c r="G837" s="22"/>
    </row>
    <row r="838" spans="4:7" s="52" customFormat="1" x14ac:dyDescent="0.25">
      <c r="D838" s="22"/>
      <c r="E838" s="69"/>
      <c r="F838" s="22"/>
      <c r="G838" s="22"/>
    </row>
    <row r="839" spans="4:7" s="52" customFormat="1" x14ac:dyDescent="0.25">
      <c r="D839" s="22"/>
      <c r="E839" s="69"/>
      <c r="F839" s="22"/>
      <c r="G839" s="22"/>
    </row>
    <row r="840" spans="4:7" s="52" customFormat="1" x14ac:dyDescent="0.25">
      <c r="D840" s="22"/>
      <c r="E840" s="69"/>
      <c r="F840" s="22"/>
      <c r="G840" s="22"/>
    </row>
    <row r="841" spans="4:7" s="52" customFormat="1" x14ac:dyDescent="0.25">
      <c r="D841" s="22"/>
      <c r="E841" s="69"/>
      <c r="F841" s="22"/>
      <c r="G841" s="22"/>
    </row>
    <row r="842" spans="4:7" s="52" customFormat="1" x14ac:dyDescent="0.25">
      <c r="D842" s="22"/>
      <c r="E842" s="69"/>
      <c r="F842" s="22"/>
      <c r="G842" s="22"/>
    </row>
    <row r="843" spans="4:7" s="52" customFormat="1" x14ac:dyDescent="0.25">
      <c r="D843" s="22"/>
      <c r="E843" s="69"/>
      <c r="F843" s="22"/>
      <c r="G843" s="22"/>
    </row>
    <row r="844" spans="4:7" s="52" customFormat="1" x14ac:dyDescent="0.25">
      <c r="D844" s="22"/>
      <c r="E844" s="69"/>
      <c r="F844" s="22"/>
      <c r="G844" s="22"/>
    </row>
    <row r="845" spans="4:7" s="52" customFormat="1" x14ac:dyDescent="0.25">
      <c r="D845" s="22"/>
      <c r="E845" s="69"/>
      <c r="F845" s="22"/>
      <c r="G845" s="22"/>
    </row>
    <row r="846" spans="4:7" s="52" customFormat="1" x14ac:dyDescent="0.25">
      <c r="D846" s="22"/>
      <c r="E846" s="69"/>
      <c r="F846" s="22"/>
      <c r="G846" s="22"/>
    </row>
    <row r="847" spans="4:7" s="52" customFormat="1" x14ac:dyDescent="0.25">
      <c r="D847" s="22"/>
      <c r="E847" s="69"/>
      <c r="F847" s="22"/>
      <c r="G847" s="22"/>
    </row>
    <row r="848" spans="4:7" s="52" customFormat="1" x14ac:dyDescent="0.25">
      <c r="D848" s="22"/>
      <c r="E848" s="69"/>
      <c r="F848" s="22"/>
      <c r="G848" s="22"/>
    </row>
    <row r="849" spans="4:7" s="52" customFormat="1" x14ac:dyDescent="0.25">
      <c r="D849" s="22"/>
      <c r="E849" s="69"/>
      <c r="F849" s="22"/>
      <c r="G849" s="22"/>
    </row>
    <row r="850" spans="4:7" s="52" customFormat="1" x14ac:dyDescent="0.25">
      <c r="D850" s="22"/>
      <c r="E850" s="69"/>
      <c r="F850" s="22"/>
      <c r="G850" s="22"/>
    </row>
    <row r="851" spans="4:7" s="52" customFormat="1" x14ac:dyDescent="0.25">
      <c r="D851" s="22"/>
      <c r="E851" s="69"/>
      <c r="F851" s="22"/>
      <c r="G851" s="22"/>
    </row>
    <row r="852" spans="4:7" s="52" customFormat="1" x14ac:dyDescent="0.25">
      <c r="D852" s="22"/>
      <c r="E852" s="69"/>
      <c r="F852" s="22"/>
      <c r="G852" s="22"/>
    </row>
    <row r="853" spans="4:7" s="52" customFormat="1" x14ac:dyDescent="0.25">
      <c r="D853" s="22"/>
      <c r="E853" s="69"/>
      <c r="F853" s="22"/>
      <c r="G853" s="22"/>
    </row>
    <row r="854" spans="4:7" s="52" customFormat="1" x14ac:dyDescent="0.25">
      <c r="D854" s="22"/>
      <c r="E854" s="69"/>
      <c r="F854" s="22"/>
      <c r="G854" s="22"/>
    </row>
    <row r="855" spans="4:7" s="52" customFormat="1" x14ac:dyDescent="0.25">
      <c r="D855" s="22"/>
      <c r="E855" s="69"/>
      <c r="F855" s="22"/>
      <c r="G855" s="22"/>
    </row>
    <row r="856" spans="4:7" s="52" customFormat="1" x14ac:dyDescent="0.25">
      <c r="D856" s="22"/>
      <c r="E856" s="69"/>
      <c r="F856" s="22"/>
      <c r="G856" s="22"/>
    </row>
    <row r="857" spans="4:7" s="52" customFormat="1" x14ac:dyDescent="0.25">
      <c r="D857" s="22"/>
      <c r="E857" s="69"/>
      <c r="F857" s="22"/>
      <c r="G857" s="22"/>
    </row>
    <row r="858" spans="4:7" s="52" customFormat="1" x14ac:dyDescent="0.25">
      <c r="D858" s="22"/>
      <c r="E858" s="69"/>
      <c r="F858" s="22"/>
      <c r="G858" s="22"/>
    </row>
    <row r="859" spans="4:7" s="52" customFormat="1" x14ac:dyDescent="0.25">
      <c r="D859" s="22"/>
      <c r="E859" s="69"/>
      <c r="F859" s="22"/>
      <c r="G859" s="22"/>
    </row>
    <row r="860" spans="4:7" s="52" customFormat="1" x14ac:dyDescent="0.25">
      <c r="D860" s="22"/>
      <c r="E860" s="69"/>
      <c r="F860" s="22"/>
      <c r="G860" s="22"/>
    </row>
    <row r="861" spans="4:7" s="52" customFormat="1" x14ac:dyDescent="0.25">
      <c r="D861" s="22"/>
      <c r="E861" s="69"/>
      <c r="F861" s="22"/>
      <c r="G861" s="22"/>
    </row>
    <row r="862" spans="4:7" s="52" customFormat="1" x14ac:dyDescent="0.25">
      <c r="D862" s="22"/>
      <c r="E862" s="69"/>
      <c r="F862" s="22"/>
      <c r="G862" s="22"/>
    </row>
    <row r="863" spans="4:7" s="52" customFormat="1" x14ac:dyDescent="0.25">
      <c r="D863" s="22"/>
      <c r="E863" s="69"/>
      <c r="F863" s="22"/>
      <c r="G863" s="22"/>
    </row>
    <row r="864" spans="4:7" s="52" customFormat="1" x14ac:dyDescent="0.25">
      <c r="D864" s="22"/>
      <c r="E864" s="69"/>
      <c r="F864" s="22"/>
      <c r="G864" s="22"/>
    </row>
    <row r="865" spans="4:7" s="52" customFormat="1" x14ac:dyDescent="0.25">
      <c r="D865" s="22"/>
      <c r="E865" s="69"/>
      <c r="F865" s="22"/>
      <c r="G865" s="22"/>
    </row>
    <row r="866" spans="4:7" s="52" customFormat="1" x14ac:dyDescent="0.25">
      <c r="D866" s="22"/>
      <c r="E866" s="69"/>
      <c r="F866" s="22"/>
      <c r="G866" s="22"/>
    </row>
    <row r="867" spans="4:7" s="52" customFormat="1" x14ac:dyDescent="0.25">
      <c r="D867" s="22"/>
      <c r="E867" s="69"/>
      <c r="F867" s="22"/>
      <c r="G867" s="22"/>
    </row>
    <row r="868" spans="4:7" s="52" customFormat="1" x14ac:dyDescent="0.25">
      <c r="D868" s="22"/>
      <c r="E868" s="69"/>
      <c r="F868" s="22"/>
      <c r="G868" s="22"/>
    </row>
    <row r="869" spans="4:7" s="52" customFormat="1" x14ac:dyDescent="0.25">
      <c r="D869" s="22"/>
      <c r="E869" s="69"/>
      <c r="F869" s="22"/>
      <c r="G869" s="22"/>
    </row>
    <row r="870" spans="4:7" s="52" customFormat="1" x14ac:dyDescent="0.25">
      <c r="D870" s="22"/>
      <c r="E870" s="69"/>
      <c r="F870" s="22"/>
      <c r="G870" s="22"/>
    </row>
    <row r="871" spans="4:7" s="52" customFormat="1" x14ac:dyDescent="0.25">
      <c r="D871" s="22"/>
      <c r="E871" s="69"/>
      <c r="F871" s="22"/>
      <c r="G871" s="22"/>
    </row>
    <row r="872" spans="4:7" s="52" customFormat="1" x14ac:dyDescent="0.25">
      <c r="D872" s="22"/>
      <c r="E872" s="69"/>
      <c r="F872" s="22"/>
      <c r="G872" s="22"/>
    </row>
    <row r="873" spans="4:7" s="52" customFormat="1" x14ac:dyDescent="0.25">
      <c r="D873" s="22"/>
      <c r="E873" s="69"/>
      <c r="F873" s="22"/>
      <c r="G873" s="22"/>
    </row>
    <row r="874" spans="4:7" s="52" customFormat="1" x14ac:dyDescent="0.25">
      <c r="D874" s="22"/>
      <c r="E874" s="69"/>
      <c r="F874" s="22"/>
      <c r="G874" s="22"/>
    </row>
    <row r="875" spans="4:7" s="52" customFormat="1" x14ac:dyDescent="0.25">
      <c r="D875" s="22"/>
      <c r="E875" s="69"/>
      <c r="F875" s="22"/>
      <c r="G875" s="22"/>
    </row>
    <row r="876" spans="4:7" s="52" customFormat="1" x14ac:dyDescent="0.25">
      <c r="D876" s="22"/>
      <c r="E876" s="69"/>
      <c r="F876" s="22"/>
      <c r="G876" s="22"/>
    </row>
    <row r="877" spans="4:7" s="52" customFormat="1" x14ac:dyDescent="0.25">
      <c r="D877" s="22"/>
      <c r="E877" s="69"/>
      <c r="F877" s="22"/>
      <c r="G877" s="22"/>
    </row>
    <row r="878" spans="4:7" s="52" customFormat="1" x14ac:dyDescent="0.25">
      <c r="D878" s="22"/>
      <c r="E878" s="69"/>
      <c r="F878" s="22"/>
      <c r="G878" s="22"/>
    </row>
    <row r="879" spans="4:7" s="52" customFormat="1" x14ac:dyDescent="0.25">
      <c r="D879" s="22"/>
      <c r="E879" s="69"/>
      <c r="F879" s="22"/>
      <c r="G879" s="22"/>
    </row>
    <row r="880" spans="4:7" s="52" customFormat="1" x14ac:dyDescent="0.25">
      <c r="D880" s="22"/>
      <c r="E880" s="69"/>
      <c r="F880" s="22"/>
      <c r="G880" s="22"/>
    </row>
    <row r="881" spans="4:7" s="52" customFormat="1" x14ac:dyDescent="0.25">
      <c r="D881" s="22"/>
      <c r="E881" s="69"/>
      <c r="F881" s="22"/>
      <c r="G881" s="22"/>
    </row>
    <row r="882" spans="4:7" s="52" customFormat="1" x14ac:dyDescent="0.25">
      <c r="D882" s="22"/>
      <c r="E882" s="69"/>
      <c r="F882" s="22"/>
      <c r="G882" s="22"/>
    </row>
    <row r="883" spans="4:7" s="52" customFormat="1" x14ac:dyDescent="0.25">
      <c r="D883" s="22"/>
      <c r="E883" s="69"/>
      <c r="F883" s="22"/>
      <c r="G883" s="22"/>
    </row>
    <row r="884" spans="4:7" s="52" customFormat="1" x14ac:dyDescent="0.25">
      <c r="D884" s="22"/>
      <c r="E884" s="69"/>
      <c r="F884" s="22"/>
      <c r="G884" s="22"/>
    </row>
    <row r="885" spans="4:7" s="52" customFormat="1" x14ac:dyDescent="0.25">
      <c r="D885" s="22"/>
      <c r="E885" s="69"/>
      <c r="F885" s="22"/>
      <c r="G885" s="22"/>
    </row>
    <row r="886" spans="4:7" s="52" customFormat="1" x14ac:dyDescent="0.25">
      <c r="D886" s="22"/>
      <c r="E886" s="69"/>
      <c r="F886" s="22"/>
      <c r="G886" s="22"/>
    </row>
    <row r="887" spans="4:7" s="52" customFormat="1" x14ac:dyDescent="0.25">
      <c r="D887" s="22"/>
      <c r="E887" s="69"/>
      <c r="F887" s="22"/>
      <c r="G887" s="22"/>
    </row>
    <row r="888" spans="4:7" s="52" customFormat="1" x14ac:dyDescent="0.25">
      <c r="D888" s="22"/>
      <c r="E888" s="69"/>
      <c r="F888" s="22"/>
      <c r="G888" s="22"/>
    </row>
    <row r="889" spans="4:7" s="52" customFormat="1" x14ac:dyDescent="0.25">
      <c r="D889" s="22"/>
      <c r="E889" s="69"/>
      <c r="F889" s="22"/>
      <c r="G889" s="22"/>
    </row>
    <row r="890" spans="4:7" s="52" customFormat="1" x14ac:dyDescent="0.25">
      <c r="D890" s="22"/>
      <c r="E890" s="69"/>
      <c r="F890" s="22"/>
      <c r="G890" s="22"/>
    </row>
    <row r="891" spans="4:7" s="52" customFormat="1" x14ac:dyDescent="0.25">
      <c r="D891" s="22"/>
      <c r="E891" s="69"/>
      <c r="F891" s="22"/>
      <c r="G891" s="22"/>
    </row>
    <row r="892" spans="4:7" s="52" customFormat="1" x14ac:dyDescent="0.25">
      <c r="D892" s="22"/>
      <c r="E892" s="69"/>
      <c r="F892" s="22"/>
      <c r="G892" s="22"/>
    </row>
    <row r="893" spans="4:7" s="52" customFormat="1" x14ac:dyDescent="0.25">
      <c r="D893" s="22"/>
      <c r="E893" s="69"/>
      <c r="F893" s="22"/>
      <c r="G893" s="22"/>
    </row>
    <row r="894" spans="4:7" s="52" customFormat="1" x14ac:dyDescent="0.25">
      <c r="D894" s="22"/>
      <c r="E894" s="69"/>
      <c r="F894" s="22"/>
      <c r="G894" s="22"/>
    </row>
    <row r="895" spans="4:7" s="52" customFormat="1" x14ac:dyDescent="0.25">
      <c r="D895" s="22"/>
      <c r="E895" s="69"/>
      <c r="F895" s="22"/>
      <c r="G895" s="22"/>
    </row>
    <row r="896" spans="4:7" s="52" customFormat="1" x14ac:dyDescent="0.25">
      <c r="D896" s="22"/>
      <c r="E896" s="69"/>
      <c r="F896" s="22"/>
      <c r="G896" s="22"/>
    </row>
    <row r="897" spans="4:7" s="52" customFormat="1" x14ac:dyDescent="0.25">
      <c r="D897" s="22"/>
      <c r="E897" s="69"/>
      <c r="F897" s="22"/>
      <c r="G897" s="22"/>
    </row>
    <row r="898" spans="4:7" s="52" customFormat="1" x14ac:dyDescent="0.25">
      <c r="D898" s="22"/>
      <c r="E898" s="69"/>
      <c r="F898" s="22"/>
      <c r="G898" s="22"/>
    </row>
    <row r="899" spans="4:7" s="52" customFormat="1" x14ac:dyDescent="0.25">
      <c r="D899" s="22"/>
      <c r="E899" s="69"/>
      <c r="F899" s="22"/>
      <c r="G899" s="22"/>
    </row>
    <row r="900" spans="4:7" s="52" customFormat="1" x14ac:dyDescent="0.25">
      <c r="D900" s="22"/>
      <c r="E900" s="69"/>
      <c r="F900" s="22"/>
      <c r="G900" s="22"/>
    </row>
    <row r="901" spans="4:7" s="52" customFormat="1" x14ac:dyDescent="0.25">
      <c r="D901" s="22"/>
      <c r="E901" s="69"/>
      <c r="F901" s="22"/>
      <c r="G901" s="22"/>
    </row>
    <row r="902" spans="4:7" s="52" customFormat="1" x14ac:dyDescent="0.25">
      <c r="D902" s="22"/>
      <c r="E902" s="69"/>
      <c r="F902" s="22"/>
      <c r="G902" s="22"/>
    </row>
    <row r="903" spans="4:7" s="52" customFormat="1" x14ac:dyDescent="0.25">
      <c r="D903" s="22"/>
      <c r="E903" s="69"/>
      <c r="F903" s="22"/>
      <c r="G903" s="22"/>
    </row>
    <row r="904" spans="4:7" s="52" customFormat="1" x14ac:dyDescent="0.25">
      <c r="D904" s="22"/>
      <c r="E904" s="69"/>
      <c r="F904" s="22"/>
      <c r="G904" s="22"/>
    </row>
    <row r="905" spans="4:7" s="52" customFormat="1" x14ac:dyDescent="0.25">
      <c r="D905" s="22"/>
      <c r="E905" s="69"/>
      <c r="F905" s="22"/>
      <c r="G905" s="22"/>
    </row>
    <row r="906" spans="4:7" s="52" customFormat="1" x14ac:dyDescent="0.25">
      <c r="D906" s="22"/>
      <c r="E906" s="69"/>
      <c r="F906" s="22"/>
      <c r="G906" s="22"/>
    </row>
    <row r="907" spans="4:7" s="52" customFormat="1" x14ac:dyDescent="0.25">
      <c r="D907" s="22"/>
      <c r="E907" s="69"/>
      <c r="F907" s="22"/>
      <c r="G907" s="22"/>
    </row>
    <row r="908" spans="4:7" s="52" customFormat="1" x14ac:dyDescent="0.25">
      <c r="D908" s="22"/>
      <c r="E908" s="69"/>
      <c r="F908" s="22"/>
      <c r="G908" s="22"/>
    </row>
    <row r="909" spans="4:7" s="52" customFormat="1" x14ac:dyDescent="0.25">
      <c r="D909" s="22"/>
      <c r="E909" s="69"/>
      <c r="F909" s="22"/>
      <c r="G909" s="22"/>
    </row>
    <row r="910" spans="4:7" s="52" customFormat="1" x14ac:dyDescent="0.25">
      <c r="D910" s="22"/>
      <c r="E910" s="69"/>
      <c r="F910" s="22"/>
      <c r="G910" s="22"/>
    </row>
    <row r="911" spans="4:7" s="52" customFormat="1" x14ac:dyDescent="0.25">
      <c r="D911" s="22"/>
      <c r="E911" s="69"/>
      <c r="F911" s="22"/>
      <c r="G911" s="22"/>
    </row>
    <row r="912" spans="4:7" s="52" customFormat="1" x14ac:dyDescent="0.25">
      <c r="D912" s="22"/>
      <c r="E912" s="69"/>
      <c r="F912" s="22"/>
      <c r="G912" s="22"/>
    </row>
    <row r="913" spans="4:7" s="52" customFormat="1" x14ac:dyDescent="0.25">
      <c r="D913" s="22"/>
      <c r="E913" s="69"/>
      <c r="F913" s="22"/>
      <c r="G913" s="22"/>
    </row>
    <row r="914" spans="4:7" s="52" customFormat="1" x14ac:dyDescent="0.25">
      <c r="D914" s="22"/>
      <c r="E914" s="69"/>
      <c r="F914" s="22"/>
      <c r="G914" s="22"/>
    </row>
    <row r="915" spans="4:7" s="52" customFormat="1" x14ac:dyDescent="0.25">
      <c r="D915" s="22"/>
      <c r="E915" s="69"/>
      <c r="F915" s="22"/>
      <c r="G915" s="22"/>
    </row>
    <row r="916" spans="4:7" s="52" customFormat="1" x14ac:dyDescent="0.25">
      <c r="D916" s="22"/>
      <c r="E916" s="69"/>
      <c r="F916" s="22"/>
      <c r="G916" s="22"/>
    </row>
    <row r="917" spans="4:7" s="52" customFormat="1" x14ac:dyDescent="0.25">
      <c r="D917" s="22"/>
      <c r="E917" s="69"/>
      <c r="F917" s="22"/>
      <c r="G917" s="22"/>
    </row>
    <row r="918" spans="4:7" s="52" customFormat="1" x14ac:dyDescent="0.25">
      <c r="D918" s="22"/>
      <c r="E918" s="69"/>
      <c r="F918" s="22"/>
      <c r="G918" s="22"/>
    </row>
    <row r="919" spans="4:7" s="52" customFormat="1" x14ac:dyDescent="0.25">
      <c r="D919" s="22"/>
      <c r="E919" s="69"/>
      <c r="F919" s="22"/>
      <c r="G919" s="22"/>
    </row>
    <row r="920" spans="4:7" s="52" customFormat="1" x14ac:dyDescent="0.25">
      <c r="D920" s="22"/>
      <c r="E920" s="69"/>
      <c r="F920" s="22"/>
      <c r="G920" s="22"/>
    </row>
    <row r="921" spans="4:7" s="52" customFormat="1" x14ac:dyDescent="0.25">
      <c r="D921" s="22"/>
      <c r="E921" s="69"/>
      <c r="F921" s="22"/>
      <c r="G921" s="22"/>
    </row>
    <row r="922" spans="4:7" s="52" customFormat="1" x14ac:dyDescent="0.25">
      <c r="D922" s="22"/>
      <c r="E922" s="69"/>
      <c r="F922" s="22"/>
      <c r="G922" s="22"/>
    </row>
    <row r="923" spans="4:7" s="52" customFormat="1" x14ac:dyDescent="0.25">
      <c r="D923" s="22"/>
      <c r="E923" s="69"/>
      <c r="F923" s="22"/>
      <c r="G923" s="22"/>
    </row>
    <row r="924" spans="4:7" s="52" customFormat="1" x14ac:dyDescent="0.25">
      <c r="D924" s="22"/>
      <c r="E924" s="69"/>
      <c r="F924" s="22"/>
      <c r="G924" s="22"/>
    </row>
    <row r="925" spans="4:7" s="52" customFormat="1" x14ac:dyDescent="0.25">
      <c r="D925" s="22"/>
      <c r="E925" s="69"/>
      <c r="F925" s="22"/>
      <c r="G925" s="22"/>
    </row>
    <row r="926" spans="4:7" s="52" customFormat="1" x14ac:dyDescent="0.25">
      <c r="D926" s="22"/>
      <c r="E926" s="69"/>
      <c r="F926" s="22"/>
      <c r="G926" s="22"/>
    </row>
    <row r="927" spans="4:7" s="52" customFormat="1" x14ac:dyDescent="0.25">
      <c r="D927" s="22"/>
      <c r="E927" s="69"/>
      <c r="F927" s="22"/>
      <c r="G927" s="22"/>
    </row>
    <row r="928" spans="4:7" s="52" customFormat="1" x14ac:dyDescent="0.25">
      <c r="D928" s="22"/>
      <c r="E928" s="69"/>
      <c r="F928" s="22"/>
      <c r="G928" s="22"/>
    </row>
    <row r="929" spans="4:7" s="52" customFormat="1" x14ac:dyDescent="0.25">
      <c r="D929" s="22"/>
      <c r="E929" s="69"/>
      <c r="F929" s="22"/>
      <c r="G929" s="22"/>
    </row>
    <row r="930" spans="4:7" s="52" customFormat="1" x14ac:dyDescent="0.25">
      <c r="D930" s="22"/>
      <c r="E930" s="69"/>
      <c r="F930" s="22"/>
      <c r="G930" s="22"/>
    </row>
    <row r="931" spans="4:7" s="52" customFormat="1" x14ac:dyDescent="0.25">
      <c r="D931" s="22"/>
      <c r="E931" s="69"/>
      <c r="F931" s="22"/>
      <c r="G931" s="22"/>
    </row>
    <row r="932" spans="4:7" s="52" customFormat="1" x14ac:dyDescent="0.25">
      <c r="D932" s="22"/>
      <c r="E932" s="69"/>
      <c r="F932" s="22"/>
      <c r="G932" s="22"/>
    </row>
    <row r="933" spans="4:7" s="52" customFormat="1" x14ac:dyDescent="0.25">
      <c r="D933" s="22"/>
      <c r="E933" s="69"/>
      <c r="F933" s="22"/>
      <c r="G933" s="22"/>
    </row>
    <row r="934" spans="4:7" s="52" customFormat="1" x14ac:dyDescent="0.25">
      <c r="D934" s="22"/>
      <c r="E934" s="69"/>
      <c r="F934" s="22"/>
      <c r="G934" s="22"/>
    </row>
    <row r="935" spans="4:7" s="52" customFormat="1" x14ac:dyDescent="0.25">
      <c r="D935" s="22"/>
      <c r="E935" s="69"/>
      <c r="F935" s="22"/>
      <c r="G935" s="22"/>
    </row>
    <row r="936" spans="4:7" s="52" customFormat="1" x14ac:dyDescent="0.25">
      <c r="D936" s="22"/>
      <c r="E936" s="69"/>
      <c r="F936" s="22"/>
      <c r="G936" s="22"/>
    </row>
    <row r="937" spans="4:7" s="52" customFormat="1" x14ac:dyDescent="0.25">
      <c r="D937" s="22"/>
      <c r="E937" s="69"/>
      <c r="F937" s="22"/>
      <c r="G937" s="22"/>
    </row>
    <row r="938" spans="4:7" s="52" customFormat="1" x14ac:dyDescent="0.25">
      <c r="D938" s="22"/>
      <c r="E938" s="69"/>
      <c r="F938" s="22"/>
      <c r="G938" s="22"/>
    </row>
    <row r="939" spans="4:7" s="52" customFormat="1" x14ac:dyDescent="0.25">
      <c r="D939" s="22"/>
      <c r="E939" s="69"/>
      <c r="F939" s="22"/>
      <c r="G939" s="22"/>
    </row>
    <row r="940" spans="4:7" s="52" customFormat="1" x14ac:dyDescent="0.25">
      <c r="D940" s="22"/>
      <c r="E940" s="69"/>
      <c r="F940" s="22"/>
      <c r="G940" s="22"/>
    </row>
    <row r="941" spans="4:7" s="52" customFormat="1" x14ac:dyDescent="0.25">
      <c r="D941" s="22"/>
      <c r="E941" s="69"/>
      <c r="F941" s="22"/>
      <c r="G941" s="22"/>
    </row>
    <row r="942" spans="4:7" s="52" customFormat="1" x14ac:dyDescent="0.25">
      <c r="D942" s="22"/>
      <c r="E942" s="69"/>
      <c r="F942" s="22"/>
      <c r="G942" s="22"/>
    </row>
    <row r="943" spans="4:7" s="52" customFormat="1" x14ac:dyDescent="0.25">
      <c r="D943" s="22"/>
      <c r="E943" s="69"/>
      <c r="F943" s="22"/>
      <c r="G943" s="22"/>
    </row>
    <row r="944" spans="4:7" s="52" customFormat="1" x14ac:dyDescent="0.25">
      <c r="D944" s="22"/>
      <c r="E944" s="69"/>
      <c r="F944" s="22"/>
      <c r="G944" s="22"/>
    </row>
    <row r="945" spans="4:7" s="52" customFormat="1" x14ac:dyDescent="0.25">
      <c r="D945" s="22"/>
      <c r="E945" s="69"/>
      <c r="F945" s="22"/>
      <c r="G945" s="22"/>
    </row>
    <row r="946" spans="4:7" s="52" customFormat="1" x14ac:dyDescent="0.25">
      <c r="D946" s="22"/>
      <c r="E946" s="69"/>
      <c r="F946" s="22"/>
      <c r="G946" s="22"/>
    </row>
    <row r="947" spans="4:7" s="52" customFormat="1" x14ac:dyDescent="0.25">
      <c r="D947" s="22"/>
      <c r="E947" s="69"/>
      <c r="F947" s="22"/>
      <c r="G947" s="22"/>
    </row>
    <row r="948" spans="4:7" s="52" customFormat="1" x14ac:dyDescent="0.25">
      <c r="D948" s="22"/>
      <c r="E948" s="69"/>
      <c r="F948" s="22"/>
      <c r="G948" s="22"/>
    </row>
    <row r="949" spans="4:7" s="52" customFormat="1" x14ac:dyDescent="0.25">
      <c r="D949" s="22"/>
      <c r="E949" s="69"/>
      <c r="F949" s="22"/>
      <c r="G949" s="22"/>
    </row>
    <row r="950" spans="4:7" s="52" customFormat="1" x14ac:dyDescent="0.25">
      <c r="D950" s="22"/>
      <c r="E950" s="69"/>
      <c r="F950" s="22"/>
      <c r="G950" s="22"/>
    </row>
    <row r="951" spans="4:7" s="52" customFormat="1" x14ac:dyDescent="0.25">
      <c r="D951" s="22"/>
      <c r="E951" s="69"/>
      <c r="F951" s="22"/>
      <c r="G951" s="22"/>
    </row>
    <row r="952" spans="4:7" s="52" customFormat="1" x14ac:dyDescent="0.25">
      <c r="D952" s="22"/>
      <c r="E952" s="69"/>
      <c r="F952" s="22"/>
      <c r="G952" s="22"/>
    </row>
    <row r="953" spans="4:7" s="52" customFormat="1" x14ac:dyDescent="0.25">
      <c r="D953" s="22"/>
      <c r="E953" s="69"/>
      <c r="F953" s="22"/>
      <c r="G953" s="22"/>
    </row>
    <row r="954" spans="4:7" s="52" customFormat="1" x14ac:dyDescent="0.25">
      <c r="D954" s="22"/>
      <c r="E954" s="69"/>
      <c r="F954" s="22"/>
      <c r="G954" s="22"/>
    </row>
    <row r="955" spans="4:7" s="52" customFormat="1" x14ac:dyDescent="0.25">
      <c r="D955" s="22"/>
      <c r="E955" s="69"/>
      <c r="F955" s="22"/>
      <c r="G955" s="22"/>
    </row>
    <row r="956" spans="4:7" s="52" customFormat="1" x14ac:dyDescent="0.25">
      <c r="D956" s="22"/>
      <c r="E956" s="69"/>
      <c r="F956" s="22"/>
      <c r="G956" s="22"/>
    </row>
    <row r="957" spans="4:7" s="52" customFormat="1" x14ac:dyDescent="0.25">
      <c r="D957" s="22"/>
      <c r="E957" s="69"/>
      <c r="F957" s="22"/>
      <c r="G957" s="22"/>
    </row>
    <row r="958" spans="4:7" s="52" customFormat="1" x14ac:dyDescent="0.25">
      <c r="D958" s="22"/>
      <c r="E958" s="69"/>
      <c r="F958" s="22"/>
      <c r="G958" s="22"/>
    </row>
    <row r="959" spans="4:7" s="52" customFormat="1" x14ac:dyDescent="0.25">
      <c r="D959" s="22"/>
      <c r="E959" s="69"/>
      <c r="F959" s="22"/>
      <c r="G959" s="22"/>
    </row>
    <row r="960" spans="4:7" s="52" customFormat="1" x14ac:dyDescent="0.25">
      <c r="D960" s="22"/>
      <c r="E960" s="69"/>
      <c r="F960" s="22"/>
      <c r="G960" s="22"/>
    </row>
    <row r="961" spans="4:7" s="52" customFormat="1" x14ac:dyDescent="0.25">
      <c r="D961" s="22"/>
      <c r="E961" s="69"/>
      <c r="F961" s="22"/>
      <c r="G961" s="22"/>
    </row>
    <row r="962" spans="4:7" s="52" customFormat="1" x14ac:dyDescent="0.25">
      <c r="D962" s="22"/>
      <c r="E962" s="69"/>
      <c r="F962" s="22"/>
      <c r="G962" s="22"/>
    </row>
    <row r="963" spans="4:7" s="52" customFormat="1" x14ac:dyDescent="0.25">
      <c r="D963" s="22"/>
      <c r="E963" s="69"/>
      <c r="F963" s="22"/>
      <c r="G963" s="22"/>
    </row>
    <row r="964" spans="4:7" s="52" customFormat="1" x14ac:dyDescent="0.25">
      <c r="D964" s="22"/>
      <c r="E964" s="69"/>
      <c r="F964" s="22"/>
      <c r="G964" s="22"/>
    </row>
    <row r="965" spans="4:7" s="52" customFormat="1" x14ac:dyDescent="0.25">
      <c r="D965" s="22"/>
      <c r="E965" s="69"/>
      <c r="F965" s="22"/>
      <c r="G965" s="22"/>
    </row>
    <row r="966" spans="4:7" s="52" customFormat="1" x14ac:dyDescent="0.25">
      <c r="D966" s="22"/>
      <c r="E966" s="69"/>
      <c r="F966" s="22"/>
      <c r="G966" s="22"/>
    </row>
    <row r="967" spans="4:7" s="52" customFormat="1" x14ac:dyDescent="0.25">
      <c r="D967" s="22"/>
      <c r="E967" s="69"/>
      <c r="F967" s="22"/>
      <c r="G967" s="22"/>
    </row>
    <row r="968" spans="4:7" s="52" customFormat="1" x14ac:dyDescent="0.25">
      <c r="D968" s="22"/>
      <c r="E968" s="69"/>
      <c r="F968" s="22"/>
      <c r="G968" s="22"/>
    </row>
    <row r="969" spans="4:7" s="52" customFormat="1" x14ac:dyDescent="0.25">
      <c r="D969" s="22"/>
      <c r="E969" s="69"/>
      <c r="F969" s="22"/>
      <c r="G969" s="22"/>
    </row>
    <row r="970" spans="4:7" s="52" customFormat="1" x14ac:dyDescent="0.25">
      <c r="D970" s="22"/>
      <c r="E970" s="69"/>
      <c r="F970" s="22"/>
      <c r="G970" s="22"/>
    </row>
    <row r="971" spans="4:7" s="52" customFormat="1" x14ac:dyDescent="0.25">
      <c r="D971" s="22"/>
      <c r="E971" s="69"/>
      <c r="F971" s="22"/>
      <c r="G971" s="22"/>
    </row>
    <row r="972" spans="4:7" s="52" customFormat="1" x14ac:dyDescent="0.25">
      <c r="D972" s="22"/>
      <c r="E972" s="69"/>
      <c r="F972" s="22"/>
      <c r="G972" s="22"/>
    </row>
    <row r="973" spans="4:7" s="52" customFormat="1" x14ac:dyDescent="0.25">
      <c r="D973" s="22"/>
      <c r="E973" s="69"/>
      <c r="F973" s="22"/>
      <c r="G973" s="22"/>
    </row>
    <row r="974" spans="4:7" s="52" customFormat="1" x14ac:dyDescent="0.25">
      <c r="D974" s="22"/>
      <c r="E974" s="69"/>
      <c r="F974" s="22"/>
      <c r="G974" s="22"/>
    </row>
    <row r="975" spans="4:7" s="52" customFormat="1" x14ac:dyDescent="0.25">
      <c r="D975" s="22"/>
      <c r="E975" s="69"/>
      <c r="F975" s="22"/>
      <c r="G975" s="22"/>
    </row>
    <row r="976" spans="4:7" s="52" customFormat="1" x14ac:dyDescent="0.25">
      <c r="D976" s="22"/>
      <c r="E976" s="69"/>
      <c r="F976" s="22"/>
      <c r="G976" s="22"/>
    </row>
    <row r="977" spans="4:7" s="52" customFormat="1" x14ac:dyDescent="0.25">
      <c r="D977" s="22"/>
      <c r="E977" s="69"/>
      <c r="F977" s="22"/>
      <c r="G977" s="22"/>
    </row>
    <row r="978" spans="4:7" s="52" customFormat="1" x14ac:dyDescent="0.25">
      <c r="D978" s="22"/>
      <c r="E978" s="69"/>
      <c r="F978" s="22"/>
      <c r="G978" s="22"/>
    </row>
    <row r="979" spans="4:7" s="52" customFormat="1" x14ac:dyDescent="0.25">
      <c r="D979" s="22"/>
      <c r="E979" s="69"/>
      <c r="F979" s="22"/>
      <c r="G979" s="22"/>
    </row>
    <row r="980" spans="4:7" s="52" customFormat="1" x14ac:dyDescent="0.25">
      <c r="D980" s="22"/>
      <c r="E980" s="69"/>
      <c r="F980" s="22"/>
      <c r="G980" s="22"/>
    </row>
    <row r="981" spans="4:7" s="52" customFormat="1" x14ac:dyDescent="0.25">
      <c r="D981" s="22"/>
      <c r="E981" s="69"/>
      <c r="F981" s="22"/>
      <c r="G981" s="22"/>
    </row>
    <row r="982" spans="4:7" s="52" customFormat="1" x14ac:dyDescent="0.25">
      <c r="D982" s="22"/>
      <c r="E982" s="69"/>
      <c r="F982" s="22"/>
      <c r="G982" s="22"/>
    </row>
    <row r="983" spans="4:7" s="52" customFormat="1" x14ac:dyDescent="0.25">
      <c r="D983" s="22"/>
      <c r="E983" s="69"/>
      <c r="F983" s="22"/>
      <c r="G983" s="22"/>
    </row>
    <row r="984" spans="4:7" s="52" customFormat="1" x14ac:dyDescent="0.25">
      <c r="D984" s="22"/>
      <c r="E984" s="69"/>
      <c r="F984" s="22"/>
      <c r="G984" s="22"/>
    </row>
    <row r="985" spans="4:7" s="52" customFormat="1" x14ac:dyDescent="0.25">
      <c r="D985" s="22"/>
      <c r="E985" s="69"/>
      <c r="F985" s="22"/>
      <c r="G985" s="22"/>
    </row>
    <row r="986" spans="4:7" s="52" customFormat="1" x14ac:dyDescent="0.25">
      <c r="D986" s="22"/>
      <c r="E986" s="69"/>
      <c r="F986" s="22"/>
      <c r="G986" s="22"/>
    </row>
    <row r="987" spans="4:7" s="52" customFormat="1" x14ac:dyDescent="0.25">
      <c r="D987" s="22"/>
      <c r="E987" s="69"/>
      <c r="F987" s="22"/>
      <c r="G987" s="22"/>
    </row>
    <row r="988" spans="4:7" s="52" customFormat="1" x14ac:dyDescent="0.25">
      <c r="D988" s="22"/>
      <c r="E988" s="69"/>
      <c r="F988" s="22"/>
      <c r="G988" s="22"/>
    </row>
    <row r="989" spans="4:7" s="52" customFormat="1" x14ac:dyDescent="0.25">
      <c r="D989" s="22"/>
      <c r="E989" s="69"/>
      <c r="F989" s="22"/>
      <c r="G989" s="22"/>
    </row>
    <row r="990" spans="4:7" s="52" customFormat="1" x14ac:dyDescent="0.25">
      <c r="D990" s="22"/>
      <c r="E990" s="69"/>
      <c r="F990" s="22"/>
      <c r="G990" s="22"/>
    </row>
    <row r="991" spans="4:7" s="52" customFormat="1" x14ac:dyDescent="0.25">
      <c r="D991" s="22"/>
      <c r="E991" s="69"/>
      <c r="F991" s="22"/>
      <c r="G991" s="22"/>
    </row>
    <row r="992" spans="4:7" s="52" customFormat="1" x14ac:dyDescent="0.25">
      <c r="D992" s="22"/>
      <c r="E992" s="69"/>
      <c r="F992" s="22"/>
      <c r="G992" s="22"/>
    </row>
    <row r="993" spans="4:7" s="52" customFormat="1" x14ac:dyDescent="0.25">
      <c r="D993" s="22"/>
      <c r="E993" s="69"/>
      <c r="F993" s="22"/>
      <c r="G993" s="22"/>
    </row>
    <row r="994" spans="4:7" s="52" customFormat="1" x14ac:dyDescent="0.25">
      <c r="D994" s="22"/>
      <c r="E994" s="69"/>
      <c r="F994" s="22"/>
      <c r="G994" s="22"/>
    </row>
    <row r="995" spans="4:7" s="52" customFormat="1" x14ac:dyDescent="0.25">
      <c r="D995" s="22"/>
      <c r="E995" s="69"/>
      <c r="F995" s="22"/>
      <c r="G995" s="22"/>
    </row>
    <row r="996" spans="4:7" s="52" customFormat="1" x14ac:dyDescent="0.25">
      <c r="D996" s="22"/>
      <c r="E996" s="69"/>
      <c r="F996" s="22"/>
      <c r="G996" s="22"/>
    </row>
    <row r="997" spans="4:7" s="52" customFormat="1" x14ac:dyDescent="0.25">
      <c r="D997" s="22"/>
      <c r="E997" s="69"/>
      <c r="F997" s="22"/>
      <c r="G997" s="22"/>
    </row>
    <row r="998" spans="4:7" s="52" customFormat="1" x14ac:dyDescent="0.25">
      <c r="D998" s="22"/>
      <c r="E998" s="69"/>
      <c r="F998" s="22"/>
      <c r="G998" s="22"/>
    </row>
    <row r="999" spans="4:7" s="52" customFormat="1" x14ac:dyDescent="0.25">
      <c r="D999" s="22"/>
      <c r="E999" s="69"/>
      <c r="F999" s="22"/>
      <c r="G999" s="22"/>
    </row>
    <row r="1000" spans="4:7" s="52" customFormat="1" x14ac:dyDescent="0.25">
      <c r="D1000" s="22"/>
      <c r="E1000" s="69"/>
      <c r="F1000" s="22"/>
      <c r="G1000" s="22"/>
    </row>
    <row r="1001" spans="4:7" s="52" customFormat="1" x14ac:dyDescent="0.25">
      <c r="D1001" s="22"/>
      <c r="E1001" s="69"/>
      <c r="F1001" s="22"/>
      <c r="G1001" s="22"/>
    </row>
    <row r="1002" spans="4:7" s="52" customFormat="1" x14ac:dyDescent="0.25">
      <c r="D1002" s="22"/>
      <c r="E1002" s="69"/>
      <c r="F1002" s="22"/>
      <c r="G1002" s="22"/>
    </row>
    <row r="1003" spans="4:7" s="52" customFormat="1" x14ac:dyDescent="0.25">
      <c r="D1003" s="22"/>
      <c r="E1003" s="69"/>
      <c r="F1003" s="22"/>
      <c r="G1003" s="22"/>
    </row>
    <row r="1004" spans="4:7" s="52" customFormat="1" x14ac:dyDescent="0.25">
      <c r="D1004" s="22"/>
      <c r="E1004" s="69"/>
      <c r="F1004" s="22"/>
      <c r="G1004" s="22"/>
    </row>
    <row r="1005" spans="4:7" s="52" customFormat="1" x14ac:dyDescent="0.25">
      <c r="D1005" s="22"/>
      <c r="E1005" s="69"/>
      <c r="F1005" s="22"/>
      <c r="G1005" s="22"/>
    </row>
    <row r="1006" spans="4:7" s="52" customFormat="1" x14ac:dyDescent="0.25">
      <c r="D1006" s="22"/>
      <c r="E1006" s="69"/>
      <c r="F1006" s="22"/>
      <c r="G1006" s="22"/>
    </row>
    <row r="1007" spans="4:7" s="52" customFormat="1" x14ac:dyDescent="0.25">
      <c r="D1007" s="22"/>
      <c r="E1007" s="69"/>
      <c r="F1007" s="22"/>
      <c r="G1007" s="22"/>
    </row>
    <row r="1008" spans="4:7" s="52" customFormat="1" x14ac:dyDescent="0.25">
      <c r="D1008" s="22"/>
      <c r="E1008" s="69"/>
      <c r="F1008" s="22"/>
      <c r="G1008" s="22"/>
    </row>
    <row r="1009" spans="4:7" s="52" customFormat="1" x14ac:dyDescent="0.25">
      <c r="D1009" s="22"/>
      <c r="E1009" s="69"/>
      <c r="F1009" s="22"/>
      <c r="G1009" s="22"/>
    </row>
    <row r="1010" spans="4:7" s="52" customFormat="1" x14ac:dyDescent="0.25">
      <c r="D1010" s="22"/>
      <c r="E1010" s="69"/>
      <c r="F1010" s="22"/>
      <c r="G1010" s="22"/>
    </row>
    <row r="1011" spans="4:7" s="52" customFormat="1" x14ac:dyDescent="0.25">
      <c r="D1011" s="22"/>
      <c r="E1011" s="69"/>
      <c r="F1011" s="22"/>
      <c r="G1011" s="22"/>
    </row>
    <row r="1012" spans="4:7" s="52" customFormat="1" x14ac:dyDescent="0.25">
      <c r="D1012" s="22"/>
      <c r="E1012" s="69"/>
      <c r="F1012" s="22"/>
      <c r="G1012" s="22"/>
    </row>
    <row r="1013" spans="4:7" s="52" customFormat="1" x14ac:dyDescent="0.25">
      <c r="D1013" s="22"/>
      <c r="E1013" s="69"/>
      <c r="F1013" s="22"/>
      <c r="G1013" s="22"/>
    </row>
    <row r="1014" spans="4:7" s="52" customFormat="1" x14ac:dyDescent="0.25">
      <c r="D1014" s="22"/>
      <c r="E1014" s="69"/>
      <c r="F1014" s="22"/>
      <c r="G1014" s="22"/>
    </row>
    <row r="1015" spans="4:7" s="52" customFormat="1" x14ac:dyDescent="0.25">
      <c r="D1015" s="22"/>
      <c r="E1015" s="69"/>
      <c r="F1015" s="22"/>
      <c r="G1015" s="22"/>
    </row>
    <row r="1016" spans="4:7" s="52" customFormat="1" x14ac:dyDescent="0.25">
      <c r="D1016" s="22"/>
      <c r="E1016" s="69"/>
      <c r="F1016" s="22"/>
      <c r="G1016" s="22"/>
    </row>
    <row r="1017" spans="4:7" s="52" customFormat="1" x14ac:dyDescent="0.25">
      <c r="D1017" s="22"/>
      <c r="E1017" s="69"/>
      <c r="F1017" s="22"/>
      <c r="G1017" s="22"/>
    </row>
    <row r="1018" spans="4:7" s="52" customFormat="1" x14ac:dyDescent="0.25">
      <c r="D1018" s="22"/>
      <c r="E1018" s="69"/>
      <c r="F1018" s="22"/>
      <c r="G1018" s="22"/>
    </row>
    <row r="1019" spans="4:7" s="52" customFormat="1" x14ac:dyDescent="0.25">
      <c r="D1019" s="22"/>
      <c r="E1019" s="69"/>
      <c r="F1019" s="22"/>
      <c r="G1019" s="22"/>
    </row>
    <row r="1020" spans="4:7" s="52" customFormat="1" x14ac:dyDescent="0.25">
      <c r="D1020" s="22"/>
      <c r="E1020" s="69"/>
      <c r="F1020" s="22"/>
      <c r="G1020" s="22"/>
    </row>
    <row r="1021" spans="4:7" s="52" customFormat="1" x14ac:dyDescent="0.25">
      <c r="D1021" s="22"/>
      <c r="E1021" s="69"/>
      <c r="F1021" s="22"/>
      <c r="G1021" s="22"/>
    </row>
    <row r="1022" spans="4:7" s="52" customFormat="1" x14ac:dyDescent="0.25">
      <c r="D1022" s="22"/>
      <c r="E1022" s="69"/>
      <c r="F1022" s="22"/>
      <c r="G1022" s="22"/>
    </row>
    <row r="1023" spans="4:7" s="52" customFormat="1" x14ac:dyDescent="0.25">
      <c r="D1023" s="22"/>
      <c r="E1023" s="69"/>
      <c r="F1023" s="22"/>
      <c r="G1023" s="22"/>
    </row>
    <row r="1024" spans="4:7" s="52" customFormat="1" x14ac:dyDescent="0.25">
      <c r="D1024" s="22"/>
      <c r="E1024" s="69"/>
      <c r="F1024" s="22"/>
      <c r="G1024" s="22"/>
    </row>
    <row r="1025" spans="4:7" s="52" customFormat="1" x14ac:dyDescent="0.25">
      <c r="D1025" s="22"/>
      <c r="E1025" s="69"/>
      <c r="F1025" s="22"/>
      <c r="G1025" s="22"/>
    </row>
    <row r="1026" spans="4:7" s="52" customFormat="1" x14ac:dyDescent="0.25">
      <c r="D1026" s="22"/>
      <c r="E1026" s="69"/>
      <c r="F1026" s="22"/>
      <c r="G1026" s="22"/>
    </row>
    <row r="1027" spans="4:7" s="52" customFormat="1" x14ac:dyDescent="0.25">
      <c r="D1027" s="22"/>
      <c r="E1027" s="69"/>
      <c r="F1027" s="22"/>
      <c r="G1027" s="22"/>
    </row>
    <row r="1028" spans="4:7" s="52" customFormat="1" x14ac:dyDescent="0.25">
      <c r="D1028" s="22"/>
      <c r="E1028" s="69"/>
      <c r="F1028" s="22"/>
      <c r="G1028" s="22"/>
    </row>
    <row r="1029" spans="4:7" s="52" customFormat="1" x14ac:dyDescent="0.25">
      <c r="D1029" s="22"/>
      <c r="E1029" s="69"/>
      <c r="F1029" s="22"/>
      <c r="G1029" s="22"/>
    </row>
    <row r="1030" spans="4:7" s="52" customFormat="1" x14ac:dyDescent="0.25">
      <c r="D1030" s="22"/>
      <c r="E1030" s="69"/>
      <c r="F1030" s="22"/>
      <c r="G1030" s="22"/>
    </row>
    <row r="1031" spans="4:7" s="52" customFormat="1" x14ac:dyDescent="0.25">
      <c r="D1031" s="22"/>
      <c r="E1031" s="69"/>
      <c r="F1031" s="22"/>
      <c r="G1031" s="22"/>
    </row>
    <row r="1032" spans="4:7" s="52" customFormat="1" x14ac:dyDescent="0.25">
      <c r="D1032" s="22"/>
      <c r="E1032" s="69"/>
      <c r="F1032" s="22"/>
      <c r="G1032" s="22"/>
    </row>
    <row r="1033" spans="4:7" s="52" customFormat="1" x14ac:dyDescent="0.25">
      <c r="D1033" s="22"/>
      <c r="E1033" s="69"/>
      <c r="F1033" s="22"/>
      <c r="G1033" s="22"/>
    </row>
    <row r="1034" spans="4:7" s="52" customFormat="1" x14ac:dyDescent="0.25">
      <c r="D1034" s="22"/>
      <c r="E1034" s="69"/>
      <c r="F1034" s="22"/>
      <c r="G1034" s="22"/>
    </row>
    <row r="1035" spans="4:7" s="52" customFormat="1" x14ac:dyDescent="0.25">
      <c r="D1035" s="22"/>
      <c r="E1035" s="69"/>
      <c r="F1035" s="22"/>
      <c r="G1035" s="22"/>
    </row>
    <row r="1036" spans="4:7" s="52" customFormat="1" x14ac:dyDescent="0.25">
      <c r="D1036" s="22"/>
      <c r="E1036" s="69"/>
      <c r="F1036" s="22"/>
      <c r="G1036" s="22"/>
    </row>
    <row r="1037" spans="4:7" s="52" customFormat="1" x14ac:dyDescent="0.25">
      <c r="D1037" s="22"/>
      <c r="E1037" s="69"/>
      <c r="F1037" s="22"/>
      <c r="G1037" s="22"/>
    </row>
    <row r="1038" spans="4:7" s="52" customFormat="1" x14ac:dyDescent="0.25">
      <c r="D1038" s="22"/>
      <c r="E1038" s="69"/>
      <c r="F1038" s="22"/>
      <c r="G1038" s="22"/>
    </row>
    <row r="1039" spans="4:7" s="52" customFormat="1" x14ac:dyDescent="0.25">
      <c r="D1039" s="22"/>
      <c r="E1039" s="69"/>
      <c r="F1039" s="22"/>
      <c r="G1039" s="22"/>
    </row>
    <row r="1040" spans="4:7" s="52" customFormat="1" x14ac:dyDescent="0.25">
      <c r="D1040" s="22"/>
      <c r="E1040" s="69"/>
      <c r="F1040" s="22"/>
      <c r="G1040" s="22"/>
    </row>
    <row r="1041" spans="4:7" s="52" customFormat="1" x14ac:dyDescent="0.25">
      <c r="D1041" s="22"/>
      <c r="E1041" s="69"/>
      <c r="F1041" s="22"/>
      <c r="G1041" s="22"/>
    </row>
    <row r="1042" spans="4:7" s="52" customFormat="1" x14ac:dyDescent="0.25">
      <c r="D1042" s="22"/>
      <c r="E1042" s="69"/>
      <c r="F1042" s="22"/>
      <c r="G1042" s="22"/>
    </row>
    <row r="1043" spans="4:7" s="52" customFormat="1" x14ac:dyDescent="0.25">
      <c r="D1043" s="22"/>
      <c r="E1043" s="69"/>
      <c r="F1043" s="22"/>
      <c r="G1043" s="22"/>
    </row>
    <row r="1044" spans="4:7" s="52" customFormat="1" x14ac:dyDescent="0.25">
      <c r="D1044" s="22"/>
      <c r="E1044" s="69"/>
      <c r="F1044" s="22"/>
      <c r="G1044" s="22"/>
    </row>
    <row r="1045" spans="4:7" s="52" customFormat="1" x14ac:dyDescent="0.25">
      <c r="D1045" s="22"/>
      <c r="E1045" s="69"/>
      <c r="F1045" s="22"/>
      <c r="G1045" s="22"/>
    </row>
    <row r="1046" spans="4:7" s="52" customFormat="1" x14ac:dyDescent="0.25">
      <c r="D1046" s="22"/>
      <c r="E1046" s="69"/>
      <c r="F1046" s="22"/>
      <c r="G1046" s="22"/>
    </row>
    <row r="1047" spans="4:7" s="52" customFormat="1" x14ac:dyDescent="0.25">
      <c r="D1047" s="22"/>
      <c r="E1047" s="69"/>
      <c r="F1047" s="22"/>
      <c r="G1047" s="22"/>
    </row>
    <row r="1048" spans="4:7" s="52" customFormat="1" x14ac:dyDescent="0.25">
      <c r="D1048" s="22"/>
      <c r="E1048" s="69"/>
      <c r="F1048" s="22"/>
      <c r="G1048" s="22"/>
    </row>
    <row r="1049" spans="4:7" s="52" customFormat="1" x14ac:dyDescent="0.25">
      <c r="D1049" s="22"/>
      <c r="E1049" s="69"/>
      <c r="F1049" s="22"/>
      <c r="G1049" s="22"/>
    </row>
    <row r="1050" spans="4:7" s="52" customFormat="1" x14ac:dyDescent="0.25">
      <c r="D1050" s="22"/>
      <c r="E1050" s="69"/>
      <c r="F1050" s="22"/>
      <c r="G1050" s="22"/>
    </row>
    <row r="1051" spans="4:7" s="52" customFormat="1" x14ac:dyDescent="0.25">
      <c r="D1051" s="22"/>
      <c r="E1051" s="69"/>
      <c r="F1051" s="22"/>
      <c r="G1051" s="22"/>
    </row>
    <row r="1052" spans="4:7" s="52" customFormat="1" x14ac:dyDescent="0.25">
      <c r="D1052" s="22"/>
      <c r="E1052" s="69"/>
      <c r="F1052" s="22"/>
      <c r="G1052" s="22"/>
    </row>
    <row r="1053" spans="4:7" s="52" customFormat="1" x14ac:dyDescent="0.25">
      <c r="D1053" s="22"/>
      <c r="E1053" s="69"/>
      <c r="F1053" s="22"/>
      <c r="G1053" s="22"/>
    </row>
    <row r="1054" spans="4:7" s="52" customFormat="1" x14ac:dyDescent="0.25">
      <c r="D1054" s="22"/>
      <c r="E1054" s="69"/>
      <c r="F1054" s="22"/>
      <c r="G1054" s="22"/>
    </row>
    <row r="1055" spans="4:7" s="52" customFormat="1" x14ac:dyDescent="0.25">
      <c r="D1055" s="22"/>
      <c r="E1055" s="69"/>
      <c r="F1055" s="22"/>
      <c r="G1055" s="22"/>
    </row>
    <row r="1056" spans="4:7" s="52" customFormat="1" x14ac:dyDescent="0.25">
      <c r="D1056" s="22"/>
      <c r="E1056" s="69"/>
      <c r="F1056" s="22"/>
      <c r="G1056" s="22"/>
    </row>
    <row r="1057" spans="4:7" s="52" customFormat="1" x14ac:dyDescent="0.25">
      <c r="D1057" s="22"/>
      <c r="E1057" s="69"/>
      <c r="F1057" s="22"/>
      <c r="G1057" s="22"/>
    </row>
    <row r="1058" spans="4:7" s="52" customFormat="1" x14ac:dyDescent="0.25">
      <c r="D1058" s="22"/>
      <c r="E1058" s="69"/>
      <c r="F1058" s="22"/>
      <c r="G1058" s="22"/>
    </row>
    <row r="1059" spans="4:7" s="52" customFormat="1" x14ac:dyDescent="0.25">
      <c r="D1059" s="22"/>
      <c r="E1059" s="69"/>
      <c r="F1059" s="22"/>
      <c r="G1059" s="22"/>
    </row>
    <row r="1060" spans="4:7" s="52" customFormat="1" x14ac:dyDescent="0.25">
      <c r="D1060" s="22"/>
      <c r="E1060" s="69"/>
      <c r="F1060" s="22"/>
      <c r="G1060" s="22"/>
    </row>
    <row r="1061" spans="4:7" s="52" customFormat="1" x14ac:dyDescent="0.25">
      <c r="D1061" s="22"/>
      <c r="E1061" s="69"/>
      <c r="F1061" s="22"/>
      <c r="G1061" s="22"/>
    </row>
    <row r="1062" spans="4:7" s="52" customFormat="1" x14ac:dyDescent="0.25">
      <c r="D1062" s="22"/>
      <c r="E1062" s="69"/>
      <c r="F1062" s="22"/>
      <c r="G1062" s="22"/>
    </row>
    <row r="1063" spans="4:7" s="52" customFormat="1" x14ac:dyDescent="0.25">
      <c r="D1063" s="22"/>
      <c r="E1063" s="69"/>
      <c r="F1063" s="22"/>
      <c r="G1063" s="22"/>
    </row>
    <row r="1064" spans="4:7" s="52" customFormat="1" x14ac:dyDescent="0.25">
      <c r="D1064" s="22"/>
      <c r="E1064" s="69"/>
      <c r="F1064" s="22"/>
      <c r="G1064" s="22"/>
    </row>
    <row r="1065" spans="4:7" s="52" customFormat="1" x14ac:dyDescent="0.25">
      <c r="D1065" s="22"/>
      <c r="E1065" s="69"/>
      <c r="F1065" s="22"/>
      <c r="G1065" s="22"/>
    </row>
    <row r="1066" spans="4:7" s="52" customFormat="1" x14ac:dyDescent="0.25">
      <c r="D1066" s="22"/>
      <c r="E1066" s="69"/>
      <c r="F1066" s="22"/>
      <c r="G1066" s="22"/>
    </row>
    <row r="1067" spans="4:7" s="52" customFormat="1" x14ac:dyDescent="0.25">
      <c r="D1067" s="22"/>
      <c r="E1067" s="69"/>
      <c r="F1067" s="22"/>
      <c r="G1067" s="22"/>
    </row>
    <row r="1068" spans="4:7" s="52" customFormat="1" x14ac:dyDescent="0.25">
      <c r="D1068" s="22"/>
      <c r="E1068" s="69"/>
      <c r="F1068" s="22"/>
      <c r="G1068" s="22"/>
    </row>
    <row r="1069" spans="4:7" s="52" customFormat="1" x14ac:dyDescent="0.25">
      <c r="D1069" s="22"/>
      <c r="E1069" s="69"/>
      <c r="F1069" s="22"/>
      <c r="G1069" s="22"/>
    </row>
    <row r="1070" spans="4:7" s="52" customFormat="1" x14ac:dyDescent="0.25">
      <c r="D1070" s="22"/>
      <c r="E1070" s="69"/>
      <c r="F1070" s="22"/>
      <c r="G1070" s="22"/>
    </row>
    <row r="1071" spans="4:7" s="52" customFormat="1" x14ac:dyDescent="0.25">
      <c r="D1071" s="22"/>
      <c r="E1071" s="69"/>
      <c r="F1071" s="22"/>
      <c r="G1071" s="22"/>
    </row>
    <row r="1072" spans="4:7" s="52" customFormat="1" x14ac:dyDescent="0.25">
      <c r="D1072" s="22"/>
      <c r="E1072" s="69"/>
      <c r="F1072" s="22"/>
      <c r="G1072" s="22"/>
    </row>
    <row r="1073" spans="4:7" s="52" customFormat="1" x14ac:dyDescent="0.25">
      <c r="D1073" s="22"/>
      <c r="E1073" s="69"/>
      <c r="F1073" s="22"/>
      <c r="G1073" s="22"/>
    </row>
    <row r="1074" spans="4:7" s="52" customFormat="1" x14ac:dyDescent="0.25">
      <c r="D1074" s="22"/>
      <c r="E1074" s="69"/>
      <c r="F1074" s="22"/>
      <c r="G1074" s="22"/>
    </row>
    <row r="1075" spans="4:7" s="52" customFormat="1" x14ac:dyDescent="0.25">
      <c r="D1075" s="22"/>
      <c r="E1075" s="69"/>
      <c r="F1075" s="22"/>
      <c r="G1075" s="22"/>
    </row>
    <row r="1076" spans="4:7" s="52" customFormat="1" x14ac:dyDescent="0.25">
      <c r="D1076" s="22"/>
      <c r="E1076" s="69"/>
      <c r="F1076" s="22"/>
      <c r="G1076" s="22"/>
    </row>
    <row r="1077" spans="4:7" s="52" customFormat="1" x14ac:dyDescent="0.25">
      <c r="D1077" s="22"/>
      <c r="E1077" s="69"/>
      <c r="F1077" s="22"/>
      <c r="G1077" s="22"/>
    </row>
    <row r="1078" spans="4:7" s="52" customFormat="1" x14ac:dyDescent="0.25">
      <c r="D1078" s="22"/>
      <c r="E1078" s="69"/>
      <c r="F1078" s="22"/>
      <c r="G1078" s="22"/>
    </row>
    <row r="1079" spans="4:7" s="52" customFormat="1" x14ac:dyDescent="0.25">
      <c r="D1079" s="22"/>
      <c r="E1079" s="69"/>
      <c r="F1079" s="22"/>
      <c r="G1079" s="22"/>
    </row>
    <row r="1080" spans="4:7" s="52" customFormat="1" x14ac:dyDescent="0.25">
      <c r="D1080" s="22"/>
      <c r="E1080" s="69"/>
      <c r="F1080" s="22"/>
      <c r="G1080" s="22"/>
    </row>
    <row r="1081" spans="4:7" s="52" customFormat="1" x14ac:dyDescent="0.25">
      <c r="D1081" s="22"/>
      <c r="E1081" s="69"/>
      <c r="F1081" s="22"/>
      <c r="G1081" s="22"/>
    </row>
    <row r="1082" spans="4:7" s="52" customFormat="1" x14ac:dyDescent="0.25">
      <c r="D1082" s="22"/>
      <c r="E1082" s="69"/>
      <c r="F1082" s="22"/>
      <c r="G1082" s="22"/>
    </row>
    <row r="1083" spans="4:7" s="52" customFormat="1" x14ac:dyDescent="0.25">
      <c r="D1083" s="22"/>
      <c r="E1083" s="69"/>
      <c r="F1083" s="22"/>
      <c r="G1083" s="22"/>
    </row>
    <row r="1084" spans="4:7" s="52" customFormat="1" x14ac:dyDescent="0.25">
      <c r="D1084" s="22"/>
      <c r="E1084" s="69"/>
      <c r="F1084" s="22"/>
      <c r="G1084" s="22"/>
    </row>
    <row r="1085" spans="4:7" s="52" customFormat="1" x14ac:dyDescent="0.25">
      <c r="D1085" s="22"/>
      <c r="E1085" s="69"/>
      <c r="F1085" s="22"/>
      <c r="G1085" s="22"/>
    </row>
    <row r="1086" spans="4:7" s="52" customFormat="1" x14ac:dyDescent="0.25">
      <c r="D1086" s="22"/>
      <c r="E1086" s="69"/>
      <c r="F1086" s="22"/>
      <c r="G1086" s="22"/>
    </row>
    <row r="1087" spans="4:7" s="52" customFormat="1" x14ac:dyDescent="0.25">
      <c r="D1087" s="22"/>
      <c r="E1087" s="69"/>
      <c r="F1087" s="22"/>
      <c r="G1087" s="22"/>
    </row>
    <row r="1088" spans="4:7" s="52" customFormat="1" x14ac:dyDescent="0.25">
      <c r="D1088" s="22"/>
      <c r="E1088" s="69"/>
      <c r="F1088" s="22"/>
      <c r="G1088" s="22"/>
    </row>
    <row r="1089" spans="4:7" s="52" customFormat="1" x14ac:dyDescent="0.25">
      <c r="D1089" s="22"/>
      <c r="E1089" s="69"/>
      <c r="F1089" s="22"/>
      <c r="G1089" s="22"/>
    </row>
    <row r="1090" spans="4:7" s="52" customFormat="1" x14ac:dyDescent="0.25">
      <c r="D1090" s="22"/>
      <c r="E1090" s="69"/>
      <c r="F1090" s="22"/>
      <c r="G1090" s="22"/>
    </row>
    <row r="1091" spans="4:7" s="52" customFormat="1" x14ac:dyDescent="0.25">
      <c r="D1091" s="22"/>
      <c r="E1091" s="69"/>
      <c r="F1091" s="22"/>
      <c r="G1091" s="22"/>
    </row>
    <row r="1092" spans="4:7" s="52" customFormat="1" x14ac:dyDescent="0.25">
      <c r="D1092" s="22"/>
      <c r="E1092" s="69"/>
      <c r="F1092" s="22"/>
      <c r="G1092" s="22"/>
    </row>
    <row r="1093" spans="4:7" s="52" customFormat="1" x14ac:dyDescent="0.25">
      <c r="D1093" s="22"/>
      <c r="E1093" s="69"/>
      <c r="F1093" s="22"/>
      <c r="G1093" s="22"/>
    </row>
    <row r="1094" spans="4:7" s="52" customFormat="1" x14ac:dyDescent="0.25">
      <c r="D1094" s="22"/>
      <c r="E1094" s="69"/>
      <c r="F1094" s="22"/>
      <c r="G1094" s="22"/>
    </row>
    <row r="1095" spans="4:7" s="52" customFormat="1" x14ac:dyDescent="0.25">
      <c r="D1095" s="22"/>
      <c r="E1095" s="69"/>
      <c r="F1095" s="22"/>
      <c r="G1095" s="22"/>
    </row>
    <row r="1096" spans="4:7" s="52" customFormat="1" x14ac:dyDescent="0.25">
      <c r="D1096" s="22"/>
      <c r="E1096" s="69"/>
      <c r="F1096" s="22"/>
      <c r="G1096" s="22"/>
    </row>
    <row r="1097" spans="4:7" s="52" customFormat="1" x14ac:dyDescent="0.25">
      <c r="D1097" s="22"/>
      <c r="E1097" s="69"/>
      <c r="F1097" s="22"/>
      <c r="G1097" s="22"/>
    </row>
    <row r="1098" spans="4:7" s="52" customFormat="1" x14ac:dyDescent="0.25">
      <c r="D1098" s="22"/>
      <c r="E1098" s="69"/>
      <c r="F1098" s="22"/>
      <c r="G1098" s="22"/>
    </row>
    <row r="1099" spans="4:7" s="52" customFormat="1" x14ac:dyDescent="0.25">
      <c r="D1099" s="22"/>
      <c r="E1099" s="69"/>
      <c r="F1099" s="22"/>
      <c r="G1099" s="22"/>
    </row>
    <row r="1100" spans="4:7" s="52" customFormat="1" x14ac:dyDescent="0.25">
      <c r="D1100" s="22"/>
      <c r="E1100" s="69"/>
      <c r="F1100" s="22"/>
      <c r="G1100" s="22"/>
    </row>
    <row r="1101" spans="4:7" s="52" customFormat="1" x14ac:dyDescent="0.25">
      <c r="D1101" s="22"/>
      <c r="E1101" s="69"/>
      <c r="F1101" s="22"/>
      <c r="G1101" s="22"/>
    </row>
    <row r="1102" spans="4:7" s="52" customFormat="1" x14ac:dyDescent="0.25">
      <c r="D1102" s="22"/>
      <c r="E1102" s="69"/>
      <c r="F1102" s="22"/>
      <c r="G1102" s="22"/>
    </row>
    <row r="1103" spans="4:7" s="52" customFormat="1" x14ac:dyDescent="0.25">
      <c r="D1103" s="22"/>
      <c r="E1103" s="69"/>
      <c r="F1103" s="22"/>
      <c r="G1103" s="22"/>
    </row>
    <row r="1104" spans="4:7" s="52" customFormat="1" x14ac:dyDescent="0.25">
      <c r="D1104" s="22"/>
      <c r="E1104" s="69"/>
      <c r="F1104" s="22"/>
      <c r="G1104" s="22"/>
    </row>
    <row r="1105" spans="4:7" s="52" customFormat="1" x14ac:dyDescent="0.25">
      <c r="D1105" s="22"/>
      <c r="E1105" s="69"/>
      <c r="F1105" s="22"/>
      <c r="G1105" s="22"/>
    </row>
    <row r="1106" spans="4:7" s="52" customFormat="1" x14ac:dyDescent="0.25">
      <c r="D1106" s="22"/>
      <c r="E1106" s="69"/>
      <c r="F1106" s="22"/>
      <c r="G1106" s="22"/>
    </row>
    <row r="1107" spans="4:7" s="52" customFormat="1" x14ac:dyDescent="0.25">
      <c r="D1107" s="22"/>
      <c r="E1107" s="69"/>
      <c r="F1107" s="22"/>
      <c r="G1107" s="22"/>
    </row>
    <row r="1108" spans="4:7" s="52" customFormat="1" x14ac:dyDescent="0.25">
      <c r="D1108" s="22"/>
      <c r="E1108" s="69"/>
      <c r="F1108" s="22"/>
      <c r="G1108" s="22"/>
    </row>
    <row r="1109" spans="4:7" s="52" customFormat="1" x14ac:dyDescent="0.25">
      <c r="D1109" s="22"/>
      <c r="E1109" s="69"/>
      <c r="F1109" s="22"/>
      <c r="G1109" s="22"/>
    </row>
    <row r="1110" spans="4:7" s="52" customFormat="1" x14ac:dyDescent="0.25">
      <c r="D1110" s="22"/>
      <c r="E1110" s="69"/>
      <c r="F1110" s="22"/>
      <c r="G1110" s="22"/>
    </row>
    <row r="1111" spans="4:7" s="52" customFormat="1" x14ac:dyDescent="0.25">
      <c r="D1111" s="22"/>
      <c r="E1111" s="69"/>
      <c r="F1111" s="22"/>
      <c r="G1111" s="22"/>
    </row>
    <row r="1112" spans="4:7" s="52" customFormat="1" x14ac:dyDescent="0.25">
      <c r="D1112" s="22"/>
      <c r="E1112" s="69"/>
      <c r="F1112" s="22"/>
      <c r="G1112" s="22"/>
    </row>
    <row r="1113" spans="4:7" s="52" customFormat="1" x14ac:dyDescent="0.25">
      <c r="D1113" s="22"/>
      <c r="E1113" s="69"/>
      <c r="F1113" s="22"/>
      <c r="G1113" s="22"/>
    </row>
    <row r="1114" spans="4:7" s="52" customFormat="1" x14ac:dyDescent="0.25">
      <c r="D1114" s="22"/>
      <c r="E1114" s="69"/>
      <c r="F1114" s="22"/>
      <c r="G1114" s="22"/>
    </row>
    <row r="1115" spans="4:7" s="52" customFormat="1" x14ac:dyDescent="0.25">
      <c r="D1115" s="22"/>
      <c r="E1115" s="69"/>
      <c r="F1115" s="22"/>
      <c r="G1115" s="22"/>
    </row>
    <row r="1116" spans="4:7" s="52" customFormat="1" x14ac:dyDescent="0.25">
      <c r="D1116" s="22"/>
      <c r="E1116" s="69"/>
      <c r="F1116" s="22"/>
      <c r="G1116" s="22"/>
    </row>
    <row r="1117" spans="4:7" s="52" customFormat="1" x14ac:dyDescent="0.25">
      <c r="D1117" s="22"/>
      <c r="E1117" s="69"/>
      <c r="F1117" s="22"/>
      <c r="G1117" s="22"/>
    </row>
    <row r="1118" spans="4:7" s="52" customFormat="1" x14ac:dyDescent="0.25">
      <c r="D1118" s="22"/>
      <c r="E1118" s="69"/>
      <c r="F1118" s="22"/>
      <c r="G1118" s="22"/>
    </row>
    <row r="1119" spans="4:7" s="52" customFormat="1" x14ac:dyDescent="0.25">
      <c r="D1119" s="22"/>
      <c r="E1119" s="69"/>
      <c r="F1119" s="22"/>
      <c r="G1119" s="22"/>
    </row>
    <row r="1120" spans="4:7" s="52" customFormat="1" x14ac:dyDescent="0.25">
      <c r="D1120" s="22"/>
      <c r="E1120" s="69"/>
      <c r="F1120" s="22"/>
      <c r="G1120" s="22"/>
    </row>
    <row r="1121" spans="4:7" s="52" customFormat="1" x14ac:dyDescent="0.25">
      <c r="D1121" s="22"/>
      <c r="E1121" s="69"/>
      <c r="F1121" s="22"/>
      <c r="G1121" s="22"/>
    </row>
    <row r="1122" spans="4:7" s="52" customFormat="1" x14ac:dyDescent="0.25">
      <c r="D1122" s="22"/>
      <c r="E1122" s="69"/>
      <c r="F1122" s="22"/>
      <c r="G1122" s="22"/>
    </row>
    <row r="1123" spans="4:7" s="52" customFormat="1" x14ac:dyDescent="0.25">
      <c r="D1123" s="22"/>
      <c r="E1123" s="69"/>
      <c r="F1123" s="22"/>
      <c r="G1123" s="22"/>
    </row>
    <row r="1124" spans="4:7" s="52" customFormat="1" x14ac:dyDescent="0.25">
      <c r="D1124" s="22"/>
      <c r="E1124" s="69"/>
      <c r="F1124" s="22"/>
      <c r="G1124" s="22"/>
    </row>
    <row r="1125" spans="4:7" s="52" customFormat="1" x14ac:dyDescent="0.25">
      <c r="D1125" s="22"/>
      <c r="E1125" s="69"/>
      <c r="F1125" s="22"/>
      <c r="G1125" s="22"/>
    </row>
    <row r="1126" spans="4:7" s="52" customFormat="1" x14ac:dyDescent="0.25">
      <c r="D1126" s="22"/>
      <c r="E1126" s="69"/>
      <c r="F1126" s="22"/>
      <c r="G1126" s="22"/>
    </row>
    <row r="1127" spans="4:7" s="52" customFormat="1" x14ac:dyDescent="0.25">
      <c r="D1127" s="22"/>
      <c r="E1127" s="69"/>
      <c r="F1127" s="22"/>
      <c r="G1127" s="22"/>
    </row>
    <row r="1128" spans="4:7" s="52" customFormat="1" x14ac:dyDescent="0.25">
      <c r="D1128" s="22"/>
      <c r="E1128" s="69"/>
      <c r="F1128" s="22"/>
      <c r="G1128" s="22"/>
    </row>
    <row r="1129" spans="4:7" s="52" customFormat="1" x14ac:dyDescent="0.25">
      <c r="D1129" s="22"/>
      <c r="E1129" s="69"/>
      <c r="F1129" s="22"/>
      <c r="G1129" s="22"/>
    </row>
    <row r="1130" spans="4:7" s="52" customFormat="1" x14ac:dyDescent="0.25">
      <c r="D1130" s="22"/>
      <c r="E1130" s="69"/>
      <c r="F1130" s="22"/>
      <c r="G1130" s="22"/>
    </row>
    <row r="1131" spans="4:7" s="52" customFormat="1" x14ac:dyDescent="0.25">
      <c r="D1131" s="22"/>
      <c r="E1131" s="69"/>
      <c r="F1131" s="22"/>
      <c r="G1131" s="22"/>
    </row>
    <row r="1132" spans="4:7" s="52" customFormat="1" x14ac:dyDescent="0.25">
      <c r="D1132" s="22"/>
      <c r="E1132" s="69"/>
      <c r="F1132" s="22"/>
      <c r="G1132" s="22"/>
    </row>
    <row r="1133" spans="4:7" s="52" customFormat="1" x14ac:dyDescent="0.25">
      <c r="D1133" s="22"/>
      <c r="E1133" s="69"/>
      <c r="F1133" s="22"/>
      <c r="G1133" s="22"/>
    </row>
    <row r="1134" spans="4:7" s="52" customFormat="1" x14ac:dyDescent="0.25">
      <c r="D1134" s="22"/>
      <c r="E1134" s="69"/>
      <c r="F1134" s="22"/>
      <c r="G1134" s="22"/>
    </row>
    <row r="1135" spans="4:7" s="52" customFormat="1" x14ac:dyDescent="0.25">
      <c r="D1135" s="22"/>
      <c r="E1135" s="69"/>
      <c r="F1135" s="22"/>
      <c r="G1135" s="22"/>
    </row>
    <row r="1136" spans="4:7" s="52" customFormat="1" x14ac:dyDescent="0.25">
      <c r="D1136" s="22"/>
      <c r="E1136" s="69"/>
      <c r="F1136" s="22"/>
      <c r="G1136" s="22"/>
    </row>
    <row r="1137" spans="4:7" s="52" customFormat="1" x14ac:dyDescent="0.25">
      <c r="D1137" s="22"/>
      <c r="E1137" s="69"/>
      <c r="F1137" s="22"/>
      <c r="G1137" s="22"/>
    </row>
    <row r="1138" spans="4:7" s="52" customFormat="1" x14ac:dyDescent="0.25">
      <c r="D1138" s="22"/>
      <c r="E1138" s="69"/>
      <c r="F1138" s="22"/>
      <c r="G1138" s="22"/>
    </row>
    <row r="1139" spans="4:7" s="52" customFormat="1" x14ac:dyDescent="0.25">
      <c r="D1139" s="22"/>
      <c r="E1139" s="69"/>
      <c r="F1139" s="22"/>
      <c r="G1139" s="22"/>
    </row>
    <row r="1140" spans="4:7" s="52" customFormat="1" x14ac:dyDescent="0.25">
      <c r="D1140" s="22"/>
      <c r="E1140" s="69"/>
      <c r="F1140" s="22"/>
      <c r="G1140" s="22"/>
    </row>
    <row r="1141" spans="4:7" s="52" customFormat="1" x14ac:dyDescent="0.25">
      <c r="D1141" s="22"/>
      <c r="E1141" s="69"/>
      <c r="F1141" s="22"/>
      <c r="G1141" s="22"/>
    </row>
    <row r="1142" spans="4:7" s="52" customFormat="1" x14ac:dyDescent="0.25">
      <c r="D1142" s="22"/>
      <c r="E1142" s="69"/>
      <c r="F1142" s="22"/>
      <c r="G1142" s="22"/>
    </row>
    <row r="1143" spans="4:7" s="52" customFormat="1" x14ac:dyDescent="0.25">
      <c r="D1143" s="22"/>
      <c r="E1143" s="69"/>
      <c r="F1143" s="22"/>
      <c r="G1143" s="22"/>
    </row>
    <row r="1144" spans="4:7" s="52" customFormat="1" x14ac:dyDescent="0.25">
      <c r="D1144" s="22"/>
      <c r="E1144" s="69"/>
      <c r="F1144" s="22"/>
      <c r="G1144" s="22"/>
    </row>
    <row r="1145" spans="4:7" s="52" customFormat="1" x14ac:dyDescent="0.25">
      <c r="D1145" s="22"/>
      <c r="E1145" s="69"/>
      <c r="F1145" s="22"/>
      <c r="G1145" s="22"/>
    </row>
    <row r="1146" spans="4:7" s="52" customFormat="1" x14ac:dyDescent="0.25">
      <c r="D1146" s="22"/>
      <c r="E1146" s="69"/>
      <c r="F1146" s="22"/>
      <c r="G1146" s="22"/>
    </row>
    <row r="1147" spans="4:7" s="52" customFormat="1" x14ac:dyDescent="0.25">
      <c r="D1147" s="22"/>
      <c r="E1147" s="69"/>
      <c r="F1147" s="22"/>
      <c r="G1147" s="22"/>
    </row>
    <row r="1148" spans="4:7" s="52" customFormat="1" x14ac:dyDescent="0.25">
      <c r="D1148" s="22"/>
      <c r="E1148" s="69"/>
      <c r="F1148" s="22"/>
      <c r="G1148" s="22"/>
    </row>
    <row r="1149" spans="4:7" s="52" customFormat="1" x14ac:dyDescent="0.25">
      <c r="D1149" s="22"/>
      <c r="E1149" s="69"/>
      <c r="F1149" s="22"/>
      <c r="G1149" s="22"/>
    </row>
    <row r="1150" spans="4:7" s="52" customFormat="1" x14ac:dyDescent="0.25">
      <c r="D1150" s="22"/>
      <c r="E1150" s="69"/>
      <c r="F1150" s="22"/>
      <c r="G1150" s="22"/>
    </row>
    <row r="1151" spans="4:7" s="52" customFormat="1" x14ac:dyDescent="0.25">
      <c r="D1151" s="22"/>
      <c r="E1151" s="69"/>
      <c r="F1151" s="22"/>
      <c r="G1151" s="22"/>
    </row>
    <row r="1152" spans="4:7" s="52" customFormat="1" x14ac:dyDescent="0.25">
      <c r="D1152" s="22"/>
      <c r="E1152" s="69"/>
      <c r="F1152" s="22"/>
      <c r="G1152" s="22"/>
    </row>
    <row r="1153" spans="4:7" s="52" customFormat="1" x14ac:dyDescent="0.25">
      <c r="D1153" s="22"/>
      <c r="E1153" s="69"/>
      <c r="F1153" s="22"/>
      <c r="G1153" s="22"/>
    </row>
    <row r="1154" spans="4:7" s="52" customFormat="1" x14ac:dyDescent="0.25">
      <c r="D1154" s="22"/>
      <c r="E1154" s="69"/>
      <c r="F1154" s="22"/>
      <c r="G1154" s="22"/>
    </row>
    <row r="1155" spans="4:7" s="52" customFormat="1" x14ac:dyDescent="0.25">
      <c r="D1155" s="22"/>
      <c r="E1155" s="69"/>
      <c r="F1155" s="22"/>
      <c r="G1155" s="22"/>
    </row>
    <row r="1156" spans="4:7" s="52" customFormat="1" x14ac:dyDescent="0.25">
      <c r="D1156" s="22"/>
      <c r="E1156" s="69"/>
      <c r="F1156" s="22"/>
      <c r="G1156" s="22"/>
    </row>
    <row r="1157" spans="4:7" s="52" customFormat="1" x14ac:dyDescent="0.25">
      <c r="D1157" s="22"/>
      <c r="E1157" s="69"/>
      <c r="F1157" s="22"/>
      <c r="G1157" s="22"/>
    </row>
    <row r="1158" spans="4:7" s="52" customFormat="1" x14ac:dyDescent="0.25">
      <c r="D1158" s="22"/>
      <c r="E1158" s="69"/>
      <c r="F1158" s="22"/>
      <c r="G1158" s="22"/>
    </row>
    <row r="1159" spans="4:7" s="52" customFormat="1" x14ac:dyDescent="0.25">
      <c r="D1159" s="22"/>
      <c r="E1159" s="69"/>
      <c r="F1159" s="22"/>
      <c r="G1159" s="22"/>
    </row>
    <row r="1160" spans="4:7" s="52" customFormat="1" x14ac:dyDescent="0.25">
      <c r="D1160" s="22"/>
      <c r="E1160" s="69"/>
      <c r="F1160" s="22"/>
      <c r="G1160" s="22"/>
    </row>
    <row r="1161" spans="4:7" s="52" customFormat="1" x14ac:dyDescent="0.25">
      <c r="D1161" s="22"/>
      <c r="E1161" s="69"/>
      <c r="F1161" s="22"/>
      <c r="G1161" s="22"/>
    </row>
    <row r="1162" spans="4:7" s="52" customFormat="1" x14ac:dyDescent="0.25">
      <c r="D1162" s="22"/>
      <c r="E1162" s="69"/>
      <c r="F1162" s="22"/>
      <c r="G1162" s="22"/>
    </row>
    <row r="1163" spans="4:7" s="52" customFormat="1" x14ac:dyDescent="0.25">
      <c r="D1163" s="22"/>
      <c r="E1163" s="69"/>
      <c r="F1163" s="22"/>
      <c r="G1163" s="22"/>
    </row>
    <row r="1164" spans="4:7" s="52" customFormat="1" x14ac:dyDescent="0.25">
      <c r="D1164" s="22"/>
      <c r="E1164" s="69"/>
      <c r="F1164" s="22"/>
      <c r="G1164" s="22"/>
    </row>
    <row r="1165" spans="4:7" s="52" customFormat="1" x14ac:dyDescent="0.25">
      <c r="D1165" s="22"/>
      <c r="E1165" s="69"/>
      <c r="F1165" s="22"/>
      <c r="G1165" s="22"/>
    </row>
    <row r="1166" spans="4:7" s="52" customFormat="1" x14ac:dyDescent="0.25">
      <c r="D1166" s="22"/>
      <c r="E1166" s="69"/>
      <c r="F1166" s="22"/>
      <c r="G1166" s="22"/>
    </row>
    <row r="1167" spans="4:7" s="52" customFormat="1" x14ac:dyDescent="0.25">
      <c r="D1167" s="22"/>
      <c r="E1167" s="69"/>
      <c r="F1167" s="22"/>
      <c r="G1167" s="22"/>
    </row>
    <row r="1168" spans="4:7" s="52" customFormat="1" x14ac:dyDescent="0.25">
      <c r="D1168" s="22"/>
      <c r="E1168" s="69"/>
      <c r="F1168" s="22"/>
      <c r="G1168" s="22"/>
    </row>
    <row r="1169" spans="4:7" s="52" customFormat="1" x14ac:dyDescent="0.25">
      <c r="D1169" s="22"/>
      <c r="E1169" s="69"/>
      <c r="F1169" s="22"/>
      <c r="G1169" s="22"/>
    </row>
    <row r="1170" spans="4:7" s="52" customFormat="1" x14ac:dyDescent="0.25">
      <c r="D1170" s="22"/>
      <c r="E1170" s="69"/>
      <c r="F1170" s="22"/>
      <c r="G1170" s="22"/>
    </row>
    <row r="1171" spans="4:7" s="52" customFormat="1" x14ac:dyDescent="0.25">
      <c r="D1171" s="22"/>
      <c r="E1171" s="69"/>
      <c r="F1171" s="22"/>
      <c r="G1171" s="22"/>
    </row>
    <row r="1172" spans="4:7" s="52" customFormat="1" x14ac:dyDescent="0.25">
      <c r="D1172" s="22"/>
      <c r="E1172" s="69"/>
      <c r="F1172" s="22"/>
      <c r="G1172" s="22"/>
    </row>
    <row r="1173" spans="4:7" s="52" customFormat="1" x14ac:dyDescent="0.25">
      <c r="D1173" s="22"/>
      <c r="E1173" s="69"/>
      <c r="F1173" s="22"/>
      <c r="G1173" s="22"/>
    </row>
    <row r="1174" spans="4:7" s="52" customFormat="1" x14ac:dyDescent="0.25">
      <c r="D1174" s="22"/>
      <c r="E1174" s="69"/>
      <c r="F1174" s="22"/>
      <c r="G1174" s="22"/>
    </row>
    <row r="1175" spans="4:7" s="52" customFormat="1" x14ac:dyDescent="0.25">
      <c r="D1175" s="22"/>
      <c r="E1175" s="69"/>
      <c r="F1175" s="22"/>
      <c r="G1175" s="22"/>
    </row>
    <row r="1176" spans="4:7" s="52" customFormat="1" x14ac:dyDescent="0.25">
      <c r="D1176" s="22"/>
      <c r="E1176" s="69"/>
      <c r="F1176" s="22"/>
      <c r="G1176" s="22"/>
    </row>
    <row r="1177" spans="4:7" s="52" customFormat="1" x14ac:dyDescent="0.25">
      <c r="D1177" s="22"/>
      <c r="E1177" s="69"/>
      <c r="F1177" s="22"/>
      <c r="G1177" s="22"/>
    </row>
    <row r="1178" spans="4:7" s="52" customFormat="1" x14ac:dyDescent="0.25">
      <c r="D1178" s="22"/>
      <c r="E1178" s="69"/>
      <c r="F1178" s="22"/>
      <c r="G1178" s="22"/>
    </row>
    <row r="1179" spans="4:7" s="52" customFormat="1" x14ac:dyDescent="0.25">
      <c r="D1179" s="22"/>
      <c r="E1179" s="69"/>
      <c r="F1179" s="22"/>
      <c r="G1179" s="22"/>
    </row>
    <row r="1180" spans="4:7" s="52" customFormat="1" x14ac:dyDescent="0.25">
      <c r="D1180" s="22"/>
      <c r="E1180" s="69"/>
      <c r="F1180" s="22"/>
      <c r="G1180" s="22"/>
    </row>
    <row r="1181" spans="4:7" s="52" customFormat="1" x14ac:dyDescent="0.25">
      <c r="D1181" s="22"/>
      <c r="E1181" s="69"/>
      <c r="F1181" s="22"/>
      <c r="G1181" s="22"/>
    </row>
    <row r="1182" spans="4:7" s="52" customFormat="1" x14ac:dyDescent="0.25">
      <c r="D1182" s="22"/>
      <c r="E1182" s="69"/>
      <c r="F1182" s="22"/>
      <c r="G1182" s="22"/>
    </row>
    <row r="1183" spans="4:7" s="52" customFormat="1" x14ac:dyDescent="0.25">
      <c r="D1183" s="22"/>
      <c r="E1183" s="69"/>
      <c r="F1183" s="22"/>
      <c r="G1183" s="22"/>
    </row>
    <row r="1184" spans="4:7" s="52" customFormat="1" x14ac:dyDescent="0.25">
      <c r="D1184" s="22"/>
      <c r="E1184" s="69"/>
      <c r="F1184" s="22"/>
      <c r="G1184" s="22"/>
    </row>
    <row r="1185" spans="4:7" s="52" customFormat="1" x14ac:dyDescent="0.25">
      <c r="D1185" s="22"/>
      <c r="E1185" s="69"/>
      <c r="F1185" s="22"/>
      <c r="G1185" s="22"/>
    </row>
    <row r="1186" spans="4:7" s="52" customFormat="1" x14ac:dyDescent="0.25">
      <c r="D1186" s="22"/>
      <c r="E1186" s="69"/>
      <c r="F1186" s="22"/>
      <c r="G1186" s="22"/>
    </row>
    <row r="1187" spans="4:7" s="52" customFormat="1" x14ac:dyDescent="0.25">
      <c r="D1187" s="22"/>
      <c r="E1187" s="69"/>
      <c r="F1187" s="22"/>
      <c r="G1187" s="22"/>
    </row>
    <row r="1188" spans="4:7" s="52" customFormat="1" x14ac:dyDescent="0.25">
      <c r="D1188" s="22"/>
      <c r="E1188" s="69"/>
      <c r="F1188" s="22"/>
      <c r="G1188" s="22"/>
    </row>
    <row r="1189" spans="4:7" s="52" customFormat="1" x14ac:dyDescent="0.25">
      <c r="D1189" s="22"/>
      <c r="E1189" s="69"/>
      <c r="F1189" s="22"/>
      <c r="G1189" s="22"/>
    </row>
    <row r="1190" spans="4:7" s="52" customFormat="1" x14ac:dyDescent="0.25">
      <c r="D1190" s="22"/>
      <c r="E1190" s="69"/>
      <c r="F1190" s="22"/>
      <c r="G1190" s="22"/>
    </row>
    <row r="1191" spans="4:7" s="52" customFormat="1" x14ac:dyDescent="0.25">
      <c r="D1191" s="22"/>
      <c r="E1191" s="69"/>
      <c r="F1191" s="22"/>
      <c r="G1191" s="22"/>
    </row>
    <row r="1192" spans="4:7" s="52" customFormat="1" x14ac:dyDescent="0.25">
      <c r="D1192" s="22"/>
      <c r="E1192" s="69"/>
      <c r="F1192" s="22"/>
      <c r="G1192" s="22"/>
    </row>
    <row r="1193" spans="4:7" s="52" customFormat="1" x14ac:dyDescent="0.25">
      <c r="D1193" s="22"/>
      <c r="E1193" s="69"/>
      <c r="F1193" s="22"/>
      <c r="G1193" s="22"/>
    </row>
    <row r="1194" spans="4:7" s="52" customFormat="1" x14ac:dyDescent="0.25">
      <c r="D1194" s="22"/>
      <c r="E1194" s="69"/>
      <c r="F1194" s="22"/>
      <c r="G1194" s="22"/>
    </row>
    <row r="1195" spans="4:7" s="52" customFormat="1" x14ac:dyDescent="0.25">
      <c r="D1195" s="22"/>
      <c r="E1195" s="69"/>
      <c r="F1195" s="22"/>
      <c r="G1195" s="22"/>
    </row>
    <row r="1196" spans="4:7" s="52" customFormat="1" x14ac:dyDescent="0.25">
      <c r="D1196" s="22"/>
      <c r="E1196" s="69"/>
      <c r="F1196" s="22"/>
      <c r="G1196" s="22"/>
    </row>
    <row r="1197" spans="4:7" s="52" customFormat="1" x14ac:dyDescent="0.25">
      <c r="D1197" s="22"/>
      <c r="E1197" s="69"/>
      <c r="F1197" s="22"/>
      <c r="G1197" s="22"/>
    </row>
    <row r="1198" spans="4:7" s="52" customFormat="1" x14ac:dyDescent="0.25">
      <c r="D1198" s="22"/>
      <c r="E1198" s="69"/>
      <c r="F1198" s="22"/>
      <c r="G1198" s="22"/>
    </row>
    <row r="1199" spans="4:7" s="52" customFormat="1" x14ac:dyDescent="0.25">
      <c r="D1199" s="22"/>
      <c r="E1199" s="69"/>
      <c r="F1199" s="22"/>
      <c r="G1199" s="22"/>
    </row>
    <row r="1200" spans="4:7" s="52" customFormat="1" x14ac:dyDescent="0.25">
      <c r="D1200" s="22"/>
      <c r="E1200" s="69"/>
      <c r="F1200" s="22"/>
      <c r="G1200" s="22"/>
    </row>
    <row r="1201" spans="4:7" s="52" customFormat="1" x14ac:dyDescent="0.25">
      <c r="D1201" s="22"/>
      <c r="E1201" s="69"/>
      <c r="F1201" s="22"/>
      <c r="G1201" s="22"/>
    </row>
    <row r="1202" spans="4:7" s="52" customFormat="1" x14ac:dyDescent="0.25">
      <c r="D1202" s="22"/>
      <c r="E1202" s="69"/>
      <c r="F1202" s="22"/>
      <c r="G1202" s="22"/>
    </row>
    <row r="1203" spans="4:7" s="52" customFormat="1" x14ac:dyDescent="0.25">
      <c r="D1203" s="22"/>
      <c r="E1203" s="69"/>
      <c r="F1203" s="22"/>
      <c r="G1203" s="22"/>
    </row>
    <row r="1204" spans="4:7" s="52" customFormat="1" x14ac:dyDescent="0.25">
      <c r="D1204" s="22"/>
      <c r="E1204" s="69"/>
      <c r="F1204" s="22"/>
      <c r="G1204" s="22"/>
    </row>
    <row r="1205" spans="4:7" s="52" customFormat="1" x14ac:dyDescent="0.25">
      <c r="D1205" s="22"/>
      <c r="E1205" s="69"/>
      <c r="F1205" s="22"/>
      <c r="G1205" s="22"/>
    </row>
    <row r="1206" spans="4:7" s="52" customFormat="1" x14ac:dyDescent="0.25">
      <c r="D1206" s="22"/>
      <c r="E1206" s="69"/>
      <c r="F1206" s="22"/>
      <c r="G1206" s="22"/>
    </row>
    <row r="1207" spans="4:7" s="52" customFormat="1" x14ac:dyDescent="0.25">
      <c r="D1207" s="22"/>
      <c r="E1207" s="69"/>
      <c r="F1207" s="22"/>
      <c r="G1207" s="22"/>
    </row>
    <row r="1208" spans="4:7" s="52" customFormat="1" x14ac:dyDescent="0.25">
      <c r="D1208" s="22"/>
      <c r="E1208" s="69"/>
      <c r="F1208" s="22"/>
      <c r="G1208" s="22"/>
    </row>
    <row r="1209" spans="4:7" s="52" customFormat="1" x14ac:dyDescent="0.25">
      <c r="D1209" s="22"/>
      <c r="E1209" s="69"/>
      <c r="F1209" s="22"/>
      <c r="G1209" s="22"/>
    </row>
    <row r="1210" spans="4:7" s="52" customFormat="1" x14ac:dyDescent="0.25">
      <c r="D1210" s="22"/>
      <c r="E1210" s="69"/>
      <c r="F1210" s="22"/>
      <c r="G1210" s="22"/>
    </row>
    <row r="1211" spans="4:7" s="52" customFormat="1" x14ac:dyDescent="0.25">
      <c r="D1211" s="22"/>
      <c r="E1211" s="69"/>
      <c r="F1211" s="22"/>
      <c r="G1211" s="22"/>
    </row>
    <row r="1212" spans="4:7" s="52" customFormat="1" x14ac:dyDescent="0.25">
      <c r="D1212" s="22"/>
      <c r="E1212" s="69"/>
      <c r="F1212" s="22"/>
      <c r="G1212" s="22"/>
    </row>
    <row r="1213" spans="4:7" s="52" customFormat="1" x14ac:dyDescent="0.25">
      <c r="D1213" s="22"/>
      <c r="E1213" s="69"/>
      <c r="F1213" s="22"/>
      <c r="G1213" s="22"/>
    </row>
    <row r="1214" spans="4:7" s="52" customFormat="1" x14ac:dyDescent="0.25">
      <c r="D1214" s="22"/>
      <c r="E1214" s="69"/>
      <c r="F1214" s="22"/>
      <c r="G1214" s="22"/>
    </row>
    <row r="1215" spans="4:7" s="52" customFormat="1" x14ac:dyDescent="0.25">
      <c r="D1215" s="22"/>
      <c r="E1215" s="69"/>
      <c r="F1215" s="22"/>
      <c r="G1215" s="22"/>
    </row>
    <row r="1216" spans="4:7" s="52" customFormat="1" x14ac:dyDescent="0.25">
      <c r="D1216" s="22"/>
      <c r="E1216" s="69"/>
      <c r="F1216" s="22"/>
      <c r="G1216" s="22"/>
    </row>
    <row r="1217" spans="4:7" s="52" customFormat="1" x14ac:dyDescent="0.25">
      <c r="D1217" s="22"/>
      <c r="E1217" s="69"/>
      <c r="F1217" s="22"/>
      <c r="G1217" s="22"/>
    </row>
    <row r="1218" spans="4:7" s="52" customFormat="1" x14ac:dyDescent="0.25">
      <c r="D1218" s="22"/>
      <c r="E1218" s="69"/>
      <c r="F1218" s="22"/>
      <c r="G1218" s="22"/>
    </row>
    <row r="1219" spans="4:7" s="52" customFormat="1" x14ac:dyDescent="0.25">
      <c r="D1219" s="22"/>
      <c r="E1219" s="69"/>
      <c r="F1219" s="22"/>
      <c r="G1219" s="22"/>
    </row>
    <row r="1220" spans="4:7" s="52" customFormat="1" x14ac:dyDescent="0.25">
      <c r="D1220" s="22"/>
      <c r="E1220" s="69"/>
      <c r="F1220" s="22"/>
      <c r="G1220" s="22"/>
    </row>
    <row r="1221" spans="4:7" s="52" customFormat="1" x14ac:dyDescent="0.25">
      <c r="D1221" s="22"/>
      <c r="E1221" s="69"/>
      <c r="F1221" s="22"/>
      <c r="G1221" s="22"/>
    </row>
    <row r="1222" spans="4:7" s="52" customFormat="1" x14ac:dyDescent="0.25">
      <c r="D1222" s="22"/>
      <c r="E1222" s="69"/>
      <c r="F1222" s="22"/>
      <c r="G1222" s="22"/>
    </row>
    <row r="1223" spans="4:7" s="52" customFormat="1" x14ac:dyDescent="0.25">
      <c r="D1223" s="22"/>
      <c r="E1223" s="69"/>
      <c r="F1223" s="22"/>
      <c r="G1223" s="22"/>
    </row>
    <row r="1224" spans="4:7" s="52" customFormat="1" x14ac:dyDescent="0.25">
      <c r="D1224" s="22"/>
      <c r="E1224" s="69"/>
      <c r="F1224" s="22"/>
      <c r="G1224" s="22"/>
    </row>
    <row r="1225" spans="4:7" s="52" customFormat="1" x14ac:dyDescent="0.25">
      <c r="D1225" s="22"/>
      <c r="E1225" s="69"/>
      <c r="F1225" s="22"/>
      <c r="G1225" s="22"/>
    </row>
    <row r="1226" spans="4:7" s="52" customFormat="1" x14ac:dyDescent="0.25">
      <c r="D1226" s="22"/>
      <c r="E1226" s="69"/>
      <c r="F1226" s="22"/>
      <c r="G1226" s="22"/>
    </row>
    <row r="1227" spans="4:7" s="52" customFormat="1" x14ac:dyDescent="0.25">
      <c r="D1227" s="22"/>
      <c r="E1227" s="69"/>
      <c r="F1227" s="22"/>
      <c r="G1227" s="22"/>
    </row>
    <row r="1228" spans="4:7" s="52" customFormat="1" x14ac:dyDescent="0.25">
      <c r="D1228" s="22"/>
      <c r="E1228" s="69"/>
      <c r="F1228" s="22"/>
      <c r="G1228" s="22"/>
    </row>
    <row r="1229" spans="4:7" s="52" customFormat="1" x14ac:dyDescent="0.25">
      <c r="D1229" s="22"/>
      <c r="E1229" s="69"/>
      <c r="F1229" s="22"/>
      <c r="G1229" s="22"/>
    </row>
    <row r="1230" spans="4:7" s="52" customFormat="1" x14ac:dyDescent="0.25">
      <c r="D1230" s="22"/>
      <c r="E1230" s="69"/>
      <c r="F1230" s="22"/>
      <c r="G1230" s="22"/>
    </row>
    <row r="1231" spans="4:7" s="52" customFormat="1" x14ac:dyDescent="0.25">
      <c r="D1231" s="22"/>
      <c r="E1231" s="69"/>
      <c r="F1231" s="22"/>
      <c r="G1231" s="22"/>
    </row>
    <row r="1232" spans="4:7" s="52" customFormat="1" x14ac:dyDescent="0.25">
      <c r="D1232" s="22"/>
      <c r="E1232" s="69"/>
      <c r="F1232" s="22"/>
      <c r="G1232" s="22"/>
    </row>
    <row r="1233" spans="4:7" s="52" customFormat="1" x14ac:dyDescent="0.25">
      <c r="D1233" s="22"/>
      <c r="E1233" s="69"/>
      <c r="F1233" s="22"/>
      <c r="G1233" s="22"/>
    </row>
    <row r="1234" spans="4:7" s="52" customFormat="1" x14ac:dyDescent="0.25">
      <c r="D1234" s="22"/>
      <c r="E1234" s="69"/>
      <c r="F1234" s="22"/>
      <c r="G1234" s="22"/>
    </row>
    <row r="1235" spans="4:7" s="52" customFormat="1" x14ac:dyDescent="0.25">
      <c r="D1235" s="22"/>
      <c r="E1235" s="69"/>
      <c r="F1235" s="22"/>
      <c r="G1235" s="22"/>
    </row>
    <row r="1236" spans="4:7" s="52" customFormat="1" x14ac:dyDescent="0.25">
      <c r="D1236" s="22"/>
      <c r="E1236" s="69"/>
      <c r="F1236" s="22"/>
      <c r="G1236" s="22"/>
    </row>
    <row r="1237" spans="4:7" s="52" customFormat="1" x14ac:dyDescent="0.25">
      <c r="D1237" s="22"/>
      <c r="E1237" s="69"/>
      <c r="F1237" s="22"/>
      <c r="G1237" s="22"/>
    </row>
    <row r="1238" spans="4:7" s="52" customFormat="1" x14ac:dyDescent="0.25">
      <c r="D1238" s="22"/>
      <c r="E1238" s="69"/>
      <c r="F1238" s="22"/>
      <c r="G1238" s="22"/>
    </row>
    <row r="1239" spans="4:7" s="52" customFormat="1" x14ac:dyDescent="0.25">
      <c r="D1239" s="22"/>
      <c r="E1239" s="69"/>
      <c r="F1239" s="22"/>
      <c r="G1239" s="22"/>
    </row>
    <row r="1240" spans="4:7" s="52" customFormat="1" x14ac:dyDescent="0.25">
      <c r="D1240" s="22"/>
      <c r="E1240" s="69"/>
      <c r="F1240" s="22"/>
      <c r="G1240" s="22"/>
    </row>
    <row r="1241" spans="4:7" s="52" customFormat="1" x14ac:dyDescent="0.25">
      <c r="D1241" s="22"/>
      <c r="E1241" s="69"/>
      <c r="F1241" s="22"/>
      <c r="G1241" s="22"/>
    </row>
    <row r="1242" spans="4:7" s="52" customFormat="1" x14ac:dyDescent="0.25">
      <c r="D1242" s="22"/>
      <c r="E1242" s="69"/>
      <c r="F1242" s="22"/>
      <c r="G1242" s="22"/>
    </row>
    <row r="1243" spans="4:7" s="52" customFormat="1" x14ac:dyDescent="0.25">
      <c r="D1243" s="22"/>
      <c r="E1243" s="69"/>
      <c r="F1243" s="22"/>
      <c r="G1243" s="22"/>
    </row>
    <row r="1244" spans="4:7" s="52" customFormat="1" x14ac:dyDescent="0.25">
      <c r="D1244" s="22"/>
      <c r="E1244" s="69"/>
      <c r="F1244" s="22"/>
      <c r="G1244" s="22"/>
    </row>
    <row r="1245" spans="4:7" s="52" customFormat="1" x14ac:dyDescent="0.25">
      <c r="D1245" s="22"/>
      <c r="E1245" s="69"/>
      <c r="F1245" s="22"/>
      <c r="G1245" s="22"/>
    </row>
    <row r="1246" spans="4:7" s="52" customFormat="1" x14ac:dyDescent="0.25">
      <c r="D1246" s="22"/>
      <c r="E1246" s="69"/>
      <c r="F1246" s="22"/>
      <c r="G1246" s="22"/>
    </row>
    <row r="1247" spans="4:7" s="52" customFormat="1" x14ac:dyDescent="0.25">
      <c r="D1247" s="22"/>
      <c r="E1247" s="69"/>
      <c r="F1247" s="22"/>
      <c r="G1247" s="22"/>
    </row>
    <row r="1248" spans="4:7" s="52" customFormat="1" x14ac:dyDescent="0.25">
      <c r="D1248" s="22"/>
      <c r="E1248" s="69"/>
      <c r="F1248" s="22"/>
      <c r="G1248" s="22"/>
    </row>
    <row r="1249" spans="4:7" s="52" customFormat="1" x14ac:dyDescent="0.25">
      <c r="D1249" s="22"/>
      <c r="E1249" s="69"/>
      <c r="F1249" s="22"/>
      <c r="G1249" s="22"/>
    </row>
    <row r="1250" spans="4:7" s="52" customFormat="1" x14ac:dyDescent="0.25">
      <c r="D1250" s="22"/>
      <c r="E1250" s="69"/>
      <c r="F1250" s="22"/>
      <c r="G1250" s="22"/>
    </row>
    <row r="1251" spans="4:7" s="52" customFormat="1" x14ac:dyDescent="0.25">
      <c r="D1251" s="22"/>
      <c r="E1251" s="69"/>
      <c r="F1251" s="22"/>
      <c r="G1251" s="22"/>
    </row>
    <row r="1252" spans="4:7" s="52" customFormat="1" x14ac:dyDescent="0.25">
      <c r="D1252" s="22"/>
      <c r="E1252" s="69"/>
      <c r="F1252" s="22"/>
      <c r="G1252" s="22"/>
    </row>
    <row r="1253" spans="4:7" s="52" customFormat="1" x14ac:dyDescent="0.25">
      <c r="D1253" s="22"/>
      <c r="E1253" s="69"/>
      <c r="F1253" s="22"/>
      <c r="G1253" s="22"/>
    </row>
    <row r="1254" spans="4:7" s="52" customFormat="1" x14ac:dyDescent="0.25">
      <c r="D1254" s="22"/>
      <c r="E1254" s="69"/>
      <c r="F1254" s="22"/>
      <c r="G1254" s="22"/>
    </row>
    <row r="1255" spans="4:7" s="52" customFormat="1" x14ac:dyDescent="0.25">
      <c r="D1255" s="22"/>
      <c r="E1255" s="69"/>
      <c r="F1255" s="22"/>
      <c r="G1255" s="22"/>
    </row>
    <row r="1256" spans="4:7" s="52" customFormat="1" x14ac:dyDescent="0.25">
      <c r="D1256" s="22"/>
      <c r="E1256" s="69"/>
      <c r="F1256" s="22"/>
      <c r="G1256" s="22"/>
    </row>
    <row r="1257" spans="4:7" s="52" customFormat="1" x14ac:dyDescent="0.25">
      <c r="D1257" s="22"/>
      <c r="E1257" s="69"/>
      <c r="F1257" s="22"/>
      <c r="G1257" s="22"/>
    </row>
    <row r="1258" spans="4:7" s="52" customFormat="1" x14ac:dyDescent="0.25">
      <c r="D1258" s="22"/>
      <c r="E1258" s="69"/>
      <c r="F1258" s="22"/>
      <c r="G1258" s="22"/>
    </row>
    <row r="1259" spans="4:7" s="52" customFormat="1" x14ac:dyDescent="0.25">
      <c r="D1259" s="22"/>
      <c r="E1259" s="69"/>
      <c r="F1259" s="22"/>
      <c r="G1259" s="22"/>
    </row>
    <row r="1260" spans="4:7" s="52" customFormat="1" x14ac:dyDescent="0.25">
      <c r="D1260" s="22"/>
      <c r="E1260" s="69"/>
      <c r="F1260" s="22"/>
      <c r="G1260" s="22"/>
    </row>
    <row r="1261" spans="4:7" s="52" customFormat="1" x14ac:dyDescent="0.25">
      <c r="D1261" s="22"/>
      <c r="E1261" s="69"/>
      <c r="F1261" s="22"/>
      <c r="G1261" s="22"/>
    </row>
    <row r="1262" spans="4:7" s="52" customFormat="1" x14ac:dyDescent="0.25">
      <c r="D1262" s="22"/>
      <c r="E1262" s="69"/>
      <c r="F1262" s="22"/>
      <c r="G1262" s="22"/>
    </row>
    <row r="1263" spans="4:7" s="52" customFormat="1" x14ac:dyDescent="0.25">
      <c r="D1263" s="22"/>
      <c r="E1263" s="69"/>
      <c r="F1263" s="22"/>
      <c r="G1263" s="22"/>
    </row>
    <row r="1264" spans="4:7" s="52" customFormat="1" x14ac:dyDescent="0.25">
      <c r="D1264" s="22"/>
      <c r="E1264" s="69"/>
      <c r="F1264" s="22"/>
      <c r="G1264" s="22"/>
    </row>
    <row r="1265" spans="4:7" s="52" customFormat="1" x14ac:dyDescent="0.25">
      <c r="D1265" s="22"/>
      <c r="E1265" s="69"/>
      <c r="F1265" s="22"/>
      <c r="G1265" s="22"/>
    </row>
    <row r="1266" spans="4:7" s="52" customFormat="1" x14ac:dyDescent="0.25">
      <c r="D1266" s="22"/>
      <c r="E1266" s="69"/>
      <c r="F1266" s="22"/>
      <c r="G1266" s="22"/>
    </row>
    <row r="1267" spans="4:7" s="52" customFormat="1" x14ac:dyDescent="0.25">
      <c r="D1267" s="22"/>
      <c r="E1267" s="69"/>
      <c r="F1267" s="22"/>
      <c r="G1267" s="22"/>
    </row>
    <row r="1268" spans="4:7" s="52" customFormat="1" x14ac:dyDescent="0.25">
      <c r="D1268" s="22"/>
      <c r="E1268" s="69"/>
      <c r="F1268" s="22"/>
      <c r="G1268" s="22"/>
    </row>
    <row r="1269" spans="4:7" s="52" customFormat="1" x14ac:dyDescent="0.25">
      <c r="D1269" s="22"/>
      <c r="E1269" s="69"/>
      <c r="F1269" s="22"/>
      <c r="G1269" s="22"/>
    </row>
    <row r="1270" spans="4:7" s="52" customFormat="1" x14ac:dyDescent="0.25">
      <c r="D1270" s="22"/>
      <c r="E1270" s="69"/>
      <c r="F1270" s="22"/>
      <c r="G1270" s="22"/>
    </row>
    <row r="1271" spans="4:7" s="52" customFormat="1" x14ac:dyDescent="0.25">
      <c r="D1271" s="22"/>
      <c r="E1271" s="69"/>
      <c r="F1271" s="22"/>
      <c r="G1271" s="22"/>
    </row>
    <row r="1272" spans="4:7" s="52" customFormat="1" x14ac:dyDescent="0.25">
      <c r="D1272" s="22"/>
      <c r="E1272" s="69"/>
      <c r="F1272" s="22"/>
      <c r="G1272" s="22"/>
    </row>
    <row r="1273" spans="4:7" s="52" customFormat="1" x14ac:dyDescent="0.25">
      <c r="D1273" s="22"/>
      <c r="E1273" s="69"/>
      <c r="F1273" s="22"/>
      <c r="G1273" s="22"/>
    </row>
    <row r="1274" spans="4:7" s="52" customFormat="1" x14ac:dyDescent="0.25">
      <c r="D1274" s="22"/>
      <c r="E1274" s="69"/>
      <c r="F1274" s="22"/>
      <c r="G1274" s="22"/>
    </row>
    <row r="1275" spans="4:7" s="52" customFormat="1" x14ac:dyDescent="0.25">
      <c r="D1275" s="22"/>
      <c r="E1275" s="69"/>
      <c r="F1275" s="22"/>
      <c r="G1275" s="22"/>
    </row>
    <row r="1276" spans="4:7" s="52" customFormat="1" x14ac:dyDescent="0.25">
      <c r="D1276" s="22"/>
      <c r="E1276" s="69"/>
      <c r="F1276" s="22"/>
      <c r="G1276" s="22"/>
    </row>
    <row r="1277" spans="4:7" s="52" customFormat="1" x14ac:dyDescent="0.25">
      <c r="D1277" s="22"/>
      <c r="E1277" s="69"/>
      <c r="F1277" s="22"/>
      <c r="G1277" s="22"/>
    </row>
    <row r="1278" spans="4:7" s="52" customFormat="1" x14ac:dyDescent="0.25">
      <c r="D1278" s="22"/>
      <c r="E1278" s="69"/>
      <c r="F1278" s="22"/>
      <c r="G1278" s="22"/>
    </row>
    <row r="1279" spans="4:7" s="52" customFormat="1" x14ac:dyDescent="0.25">
      <c r="D1279" s="22"/>
      <c r="E1279" s="69"/>
      <c r="F1279" s="22"/>
      <c r="G1279" s="22"/>
    </row>
    <row r="1280" spans="4:7" s="52" customFormat="1" x14ac:dyDescent="0.25">
      <c r="D1280" s="22"/>
      <c r="E1280" s="69"/>
      <c r="F1280" s="22"/>
      <c r="G1280" s="22"/>
    </row>
    <row r="1281" spans="4:7" s="52" customFormat="1" x14ac:dyDescent="0.25">
      <c r="D1281" s="22"/>
      <c r="E1281" s="69"/>
      <c r="F1281" s="22"/>
      <c r="G1281" s="22"/>
    </row>
    <row r="1282" spans="4:7" s="52" customFormat="1" x14ac:dyDescent="0.25">
      <c r="D1282" s="22"/>
      <c r="E1282" s="69"/>
      <c r="F1282" s="22"/>
      <c r="G1282" s="22"/>
    </row>
    <row r="1283" spans="4:7" s="52" customFormat="1" x14ac:dyDescent="0.25">
      <c r="D1283" s="22"/>
      <c r="E1283" s="69"/>
      <c r="F1283" s="22"/>
      <c r="G1283" s="22"/>
    </row>
    <row r="1284" spans="4:7" s="52" customFormat="1" x14ac:dyDescent="0.25">
      <c r="D1284" s="22"/>
      <c r="E1284" s="69"/>
      <c r="F1284" s="22"/>
      <c r="G1284" s="22"/>
    </row>
    <row r="1285" spans="4:7" s="52" customFormat="1" x14ac:dyDescent="0.25">
      <c r="D1285" s="22"/>
      <c r="E1285" s="69"/>
      <c r="F1285" s="22"/>
      <c r="G1285" s="22"/>
    </row>
    <row r="1286" spans="4:7" s="52" customFormat="1" x14ac:dyDescent="0.25">
      <c r="D1286" s="22"/>
      <c r="E1286" s="69"/>
      <c r="F1286" s="22"/>
      <c r="G1286" s="22"/>
    </row>
    <row r="1287" spans="4:7" s="52" customFormat="1" x14ac:dyDescent="0.25">
      <c r="D1287" s="22"/>
      <c r="E1287" s="69"/>
      <c r="F1287" s="22"/>
      <c r="G1287" s="22"/>
    </row>
    <row r="1288" spans="4:7" s="52" customFormat="1" x14ac:dyDescent="0.25">
      <c r="D1288" s="22"/>
      <c r="E1288" s="69"/>
      <c r="F1288" s="22"/>
      <c r="G1288" s="22"/>
    </row>
    <row r="1289" spans="4:7" s="52" customFormat="1" x14ac:dyDescent="0.25">
      <c r="D1289" s="22"/>
      <c r="E1289" s="69"/>
      <c r="F1289" s="22"/>
      <c r="G1289" s="22"/>
    </row>
    <row r="1290" spans="4:7" s="52" customFormat="1" x14ac:dyDescent="0.25">
      <c r="D1290" s="22"/>
      <c r="E1290" s="69"/>
      <c r="F1290" s="22"/>
      <c r="G1290" s="22"/>
    </row>
    <row r="1291" spans="4:7" s="52" customFormat="1" x14ac:dyDescent="0.25">
      <c r="D1291" s="22"/>
      <c r="E1291" s="69"/>
      <c r="F1291" s="22"/>
      <c r="G1291" s="22"/>
    </row>
    <row r="1292" spans="4:7" s="52" customFormat="1" x14ac:dyDescent="0.25">
      <c r="D1292" s="22"/>
      <c r="E1292" s="69"/>
      <c r="F1292" s="22"/>
      <c r="G1292" s="22"/>
    </row>
    <row r="1293" spans="4:7" s="52" customFormat="1" x14ac:dyDescent="0.25">
      <c r="D1293" s="22"/>
      <c r="E1293" s="69"/>
      <c r="F1293" s="22"/>
      <c r="G1293" s="22"/>
    </row>
    <row r="1294" spans="4:7" s="52" customFormat="1" x14ac:dyDescent="0.25">
      <c r="D1294" s="22"/>
      <c r="E1294" s="69"/>
      <c r="F1294" s="22"/>
      <c r="G1294" s="22"/>
    </row>
    <row r="1295" spans="4:7" s="52" customFormat="1" x14ac:dyDescent="0.25">
      <c r="D1295" s="22"/>
      <c r="E1295" s="69"/>
      <c r="F1295" s="22"/>
      <c r="G1295" s="22"/>
    </row>
    <row r="1296" spans="4:7" s="52" customFormat="1" x14ac:dyDescent="0.25">
      <c r="D1296" s="22"/>
      <c r="E1296" s="69"/>
      <c r="F1296" s="22"/>
      <c r="G1296" s="22"/>
    </row>
    <row r="1297" spans="4:7" s="52" customFormat="1" x14ac:dyDescent="0.25">
      <c r="D1297" s="22"/>
      <c r="E1297" s="69"/>
      <c r="F1297" s="22"/>
      <c r="G1297" s="22"/>
    </row>
    <row r="1298" spans="4:7" s="52" customFormat="1" x14ac:dyDescent="0.25">
      <c r="D1298" s="22"/>
      <c r="E1298" s="69"/>
      <c r="F1298" s="22"/>
      <c r="G1298" s="22"/>
    </row>
    <row r="1299" spans="4:7" s="52" customFormat="1" x14ac:dyDescent="0.25">
      <c r="D1299" s="22"/>
      <c r="E1299" s="69"/>
      <c r="F1299" s="22"/>
      <c r="G1299" s="22"/>
    </row>
    <row r="1300" spans="4:7" s="52" customFormat="1" x14ac:dyDescent="0.25">
      <c r="D1300" s="22"/>
      <c r="E1300" s="69"/>
      <c r="F1300" s="22"/>
      <c r="G1300" s="22"/>
    </row>
    <row r="1301" spans="4:7" s="52" customFormat="1" x14ac:dyDescent="0.25">
      <c r="D1301" s="22"/>
      <c r="E1301" s="69"/>
      <c r="F1301" s="22"/>
      <c r="G1301" s="22"/>
    </row>
    <row r="1302" spans="4:7" s="52" customFormat="1" x14ac:dyDescent="0.25">
      <c r="D1302" s="22"/>
      <c r="E1302" s="69"/>
      <c r="F1302" s="22"/>
      <c r="G1302" s="22"/>
    </row>
    <row r="1303" spans="4:7" s="52" customFormat="1" x14ac:dyDescent="0.25">
      <c r="D1303" s="22"/>
      <c r="E1303" s="69"/>
      <c r="F1303" s="22"/>
      <c r="G1303" s="22"/>
    </row>
    <row r="1304" spans="4:7" s="52" customFormat="1" x14ac:dyDescent="0.25">
      <c r="D1304" s="22"/>
      <c r="E1304" s="69"/>
      <c r="F1304" s="22"/>
      <c r="G1304" s="22"/>
    </row>
    <row r="1305" spans="4:7" s="52" customFormat="1" x14ac:dyDescent="0.25">
      <c r="D1305" s="22"/>
      <c r="E1305" s="69"/>
      <c r="F1305" s="22"/>
      <c r="G1305" s="22"/>
    </row>
    <row r="1306" spans="4:7" s="52" customFormat="1" x14ac:dyDescent="0.25">
      <c r="D1306" s="22"/>
      <c r="E1306" s="69"/>
      <c r="F1306" s="22"/>
      <c r="G1306" s="22"/>
    </row>
    <row r="1307" spans="4:7" s="52" customFormat="1" x14ac:dyDescent="0.25">
      <c r="D1307" s="22"/>
      <c r="E1307" s="69"/>
      <c r="F1307" s="22"/>
      <c r="G1307" s="22"/>
    </row>
    <row r="1308" spans="4:7" s="52" customFormat="1" x14ac:dyDescent="0.25">
      <c r="D1308" s="22"/>
      <c r="E1308" s="69"/>
      <c r="F1308" s="22"/>
      <c r="G1308" s="22"/>
    </row>
    <row r="1309" spans="4:7" s="52" customFormat="1" x14ac:dyDescent="0.25">
      <c r="D1309" s="22"/>
      <c r="E1309" s="69"/>
      <c r="F1309" s="22"/>
      <c r="G1309" s="22"/>
    </row>
    <row r="1310" spans="4:7" s="52" customFormat="1" x14ac:dyDescent="0.25">
      <c r="D1310" s="22"/>
      <c r="E1310" s="69"/>
      <c r="F1310" s="22"/>
      <c r="G1310" s="22"/>
    </row>
    <row r="1311" spans="4:7" s="52" customFormat="1" x14ac:dyDescent="0.25">
      <c r="D1311" s="22"/>
      <c r="E1311" s="69"/>
      <c r="F1311" s="22"/>
      <c r="G1311" s="22"/>
    </row>
    <row r="1312" spans="4:7" s="52" customFormat="1" x14ac:dyDescent="0.25">
      <c r="D1312" s="22"/>
      <c r="E1312" s="69"/>
      <c r="F1312" s="22"/>
      <c r="G1312" s="22"/>
    </row>
    <row r="1313" spans="4:7" s="52" customFormat="1" x14ac:dyDescent="0.25">
      <c r="D1313" s="22"/>
      <c r="E1313" s="69"/>
      <c r="F1313" s="22"/>
      <c r="G1313" s="22"/>
    </row>
    <row r="1314" spans="4:7" s="52" customFormat="1" x14ac:dyDescent="0.25">
      <c r="D1314" s="22"/>
      <c r="E1314" s="69"/>
      <c r="F1314" s="22"/>
      <c r="G1314" s="22"/>
    </row>
    <row r="1315" spans="4:7" s="52" customFormat="1" x14ac:dyDescent="0.25">
      <c r="D1315" s="22"/>
      <c r="E1315" s="69"/>
      <c r="F1315" s="22"/>
      <c r="G1315" s="22"/>
    </row>
    <row r="1316" spans="4:7" s="52" customFormat="1" x14ac:dyDescent="0.25">
      <c r="D1316" s="22"/>
      <c r="E1316" s="69"/>
      <c r="F1316" s="22"/>
      <c r="G1316" s="22"/>
    </row>
    <row r="1317" spans="4:7" s="52" customFormat="1" x14ac:dyDescent="0.25">
      <c r="D1317" s="22"/>
      <c r="E1317" s="69"/>
      <c r="F1317" s="22"/>
      <c r="G1317" s="22"/>
    </row>
    <row r="1318" spans="4:7" s="52" customFormat="1" x14ac:dyDescent="0.25">
      <c r="D1318" s="22"/>
      <c r="E1318" s="69"/>
      <c r="F1318" s="22"/>
      <c r="G1318" s="22"/>
    </row>
    <row r="1319" spans="4:7" s="52" customFormat="1" x14ac:dyDescent="0.25">
      <c r="D1319" s="22"/>
      <c r="E1319" s="69"/>
      <c r="F1319" s="22"/>
      <c r="G1319" s="22"/>
    </row>
    <row r="1320" spans="4:7" s="52" customFormat="1" x14ac:dyDescent="0.25">
      <c r="D1320" s="22"/>
      <c r="E1320" s="69"/>
      <c r="F1320" s="22"/>
      <c r="G1320" s="22"/>
    </row>
    <row r="1321" spans="4:7" s="52" customFormat="1" x14ac:dyDescent="0.25">
      <c r="D1321" s="22"/>
      <c r="E1321" s="69"/>
      <c r="F1321" s="22"/>
      <c r="G1321" s="22"/>
    </row>
    <row r="1322" spans="4:7" s="52" customFormat="1" x14ac:dyDescent="0.25">
      <c r="D1322" s="22"/>
      <c r="E1322" s="69"/>
      <c r="F1322" s="22"/>
      <c r="G1322" s="22"/>
    </row>
    <row r="1323" spans="4:7" s="52" customFormat="1" x14ac:dyDescent="0.25">
      <c r="D1323" s="22"/>
      <c r="E1323" s="69"/>
      <c r="F1323" s="22"/>
      <c r="G1323" s="22"/>
    </row>
    <row r="1324" spans="4:7" s="52" customFormat="1" x14ac:dyDescent="0.25">
      <c r="D1324" s="22"/>
      <c r="E1324" s="69"/>
      <c r="F1324" s="22"/>
      <c r="G1324" s="22"/>
    </row>
    <row r="1325" spans="4:7" s="52" customFormat="1" x14ac:dyDescent="0.25">
      <c r="D1325" s="22"/>
      <c r="E1325" s="69"/>
      <c r="F1325" s="22"/>
      <c r="G1325" s="22"/>
    </row>
    <row r="1326" spans="4:7" s="52" customFormat="1" x14ac:dyDescent="0.25">
      <c r="D1326" s="22"/>
      <c r="E1326" s="69"/>
      <c r="F1326" s="22"/>
      <c r="G1326" s="22"/>
    </row>
    <row r="1327" spans="4:7" s="52" customFormat="1" x14ac:dyDescent="0.25">
      <c r="D1327" s="22"/>
      <c r="E1327" s="69"/>
      <c r="F1327" s="22"/>
      <c r="G1327" s="22"/>
    </row>
    <row r="1328" spans="4:7" s="52" customFormat="1" x14ac:dyDescent="0.25">
      <c r="D1328" s="22"/>
      <c r="E1328" s="69"/>
      <c r="F1328" s="22"/>
      <c r="G1328" s="22"/>
    </row>
    <row r="1329" spans="4:7" s="52" customFormat="1" x14ac:dyDescent="0.25">
      <c r="D1329" s="22"/>
      <c r="E1329" s="69"/>
      <c r="F1329" s="22"/>
      <c r="G1329" s="22"/>
    </row>
    <row r="1330" spans="4:7" s="52" customFormat="1" x14ac:dyDescent="0.25">
      <c r="D1330" s="22"/>
      <c r="E1330" s="69"/>
      <c r="F1330" s="22"/>
      <c r="G1330" s="22"/>
    </row>
    <row r="1331" spans="4:7" s="52" customFormat="1" x14ac:dyDescent="0.25">
      <c r="D1331" s="22"/>
      <c r="E1331" s="69"/>
      <c r="F1331" s="22"/>
      <c r="G1331" s="22"/>
    </row>
    <row r="1332" spans="4:7" s="52" customFormat="1" x14ac:dyDescent="0.25">
      <c r="D1332" s="22"/>
      <c r="E1332" s="69"/>
      <c r="F1332" s="22"/>
      <c r="G1332" s="22"/>
    </row>
    <row r="1333" spans="4:7" s="52" customFormat="1" x14ac:dyDescent="0.25">
      <c r="D1333" s="22"/>
      <c r="E1333" s="69"/>
      <c r="F1333" s="22"/>
      <c r="G1333" s="22"/>
    </row>
    <row r="1334" spans="4:7" s="52" customFormat="1" x14ac:dyDescent="0.25">
      <c r="D1334" s="22"/>
      <c r="E1334" s="69"/>
      <c r="F1334" s="22"/>
      <c r="G1334" s="22"/>
    </row>
    <row r="1335" spans="4:7" s="52" customFormat="1" x14ac:dyDescent="0.25">
      <c r="D1335" s="22"/>
      <c r="E1335" s="69"/>
      <c r="F1335" s="22"/>
      <c r="G1335" s="22"/>
    </row>
    <row r="1336" spans="4:7" s="52" customFormat="1" x14ac:dyDescent="0.25">
      <c r="D1336" s="22"/>
      <c r="E1336" s="69"/>
      <c r="F1336" s="22"/>
      <c r="G1336" s="22"/>
    </row>
    <row r="1337" spans="4:7" s="52" customFormat="1" x14ac:dyDescent="0.25">
      <c r="D1337" s="22"/>
      <c r="E1337" s="69"/>
      <c r="F1337" s="22"/>
      <c r="G1337" s="22"/>
    </row>
    <row r="1338" spans="4:7" s="52" customFormat="1" x14ac:dyDescent="0.25">
      <c r="D1338" s="22"/>
      <c r="E1338" s="69"/>
      <c r="F1338" s="22"/>
      <c r="G1338" s="22"/>
    </row>
    <row r="1339" spans="4:7" s="52" customFormat="1" x14ac:dyDescent="0.25">
      <c r="D1339" s="22"/>
      <c r="E1339" s="69"/>
      <c r="F1339" s="22"/>
      <c r="G1339" s="22"/>
    </row>
    <row r="1340" spans="4:7" s="52" customFormat="1" x14ac:dyDescent="0.25">
      <c r="D1340" s="22"/>
      <c r="E1340" s="69"/>
      <c r="F1340" s="22"/>
      <c r="G1340" s="22"/>
    </row>
    <row r="1341" spans="4:7" s="52" customFormat="1" x14ac:dyDescent="0.25">
      <c r="D1341" s="22"/>
      <c r="E1341" s="69"/>
      <c r="F1341" s="22"/>
      <c r="G1341" s="22"/>
    </row>
    <row r="1342" spans="4:7" s="52" customFormat="1" x14ac:dyDescent="0.25">
      <c r="D1342" s="22"/>
      <c r="E1342" s="69"/>
      <c r="F1342" s="22"/>
      <c r="G1342" s="22"/>
    </row>
    <row r="1343" spans="4:7" s="52" customFormat="1" x14ac:dyDescent="0.25">
      <c r="D1343" s="22"/>
      <c r="E1343" s="69"/>
      <c r="F1343" s="22"/>
      <c r="G1343" s="22"/>
    </row>
    <row r="1344" spans="4:7" s="52" customFormat="1" x14ac:dyDescent="0.25">
      <c r="D1344" s="22"/>
      <c r="E1344" s="69"/>
      <c r="F1344" s="22"/>
      <c r="G1344" s="22"/>
    </row>
    <row r="1345" spans="4:7" s="52" customFormat="1" x14ac:dyDescent="0.25">
      <c r="D1345" s="22"/>
      <c r="E1345" s="69"/>
      <c r="F1345" s="22"/>
      <c r="G1345" s="22"/>
    </row>
    <row r="1346" spans="4:7" s="52" customFormat="1" x14ac:dyDescent="0.25">
      <c r="D1346" s="22"/>
      <c r="E1346" s="69"/>
      <c r="F1346" s="22"/>
      <c r="G1346" s="22"/>
    </row>
    <row r="1347" spans="4:7" s="52" customFormat="1" x14ac:dyDescent="0.25">
      <c r="D1347" s="22"/>
      <c r="E1347" s="69"/>
      <c r="F1347" s="22"/>
      <c r="G1347" s="22"/>
    </row>
    <row r="1348" spans="4:7" s="52" customFormat="1" x14ac:dyDescent="0.25">
      <c r="D1348" s="22"/>
      <c r="E1348" s="69"/>
      <c r="F1348" s="22"/>
      <c r="G1348" s="22"/>
    </row>
    <row r="1349" spans="4:7" s="52" customFormat="1" x14ac:dyDescent="0.25">
      <c r="D1349" s="22"/>
      <c r="E1349" s="69"/>
      <c r="F1349" s="22"/>
      <c r="G1349" s="22"/>
    </row>
    <row r="1350" spans="4:7" s="52" customFormat="1" x14ac:dyDescent="0.25">
      <c r="D1350" s="22"/>
      <c r="E1350" s="69"/>
      <c r="F1350" s="22"/>
      <c r="G1350" s="22"/>
    </row>
    <row r="1351" spans="4:7" s="52" customFormat="1" x14ac:dyDescent="0.25">
      <c r="D1351" s="22"/>
      <c r="E1351" s="69"/>
      <c r="F1351" s="22"/>
      <c r="G1351" s="22"/>
    </row>
    <row r="1352" spans="4:7" s="52" customFormat="1" x14ac:dyDescent="0.25">
      <c r="D1352" s="22"/>
      <c r="E1352" s="69"/>
      <c r="F1352" s="22"/>
      <c r="G1352" s="22"/>
    </row>
    <row r="1353" spans="4:7" s="52" customFormat="1" x14ac:dyDescent="0.25">
      <c r="D1353" s="22"/>
      <c r="E1353" s="69"/>
      <c r="F1353" s="22"/>
      <c r="G1353" s="22"/>
    </row>
    <row r="1354" spans="4:7" s="52" customFormat="1" x14ac:dyDescent="0.25">
      <c r="D1354" s="22"/>
      <c r="E1354" s="69"/>
      <c r="F1354" s="22"/>
      <c r="G1354" s="22"/>
    </row>
    <row r="1355" spans="4:7" s="52" customFormat="1" x14ac:dyDescent="0.25">
      <c r="D1355" s="22"/>
      <c r="E1355" s="69"/>
      <c r="F1355" s="22"/>
      <c r="G1355" s="22"/>
    </row>
    <row r="1356" spans="4:7" s="52" customFormat="1" x14ac:dyDescent="0.25">
      <c r="D1356" s="22"/>
      <c r="E1356" s="69"/>
      <c r="F1356" s="22"/>
      <c r="G1356" s="22"/>
    </row>
    <row r="1357" spans="4:7" s="52" customFormat="1" x14ac:dyDescent="0.25">
      <c r="D1357" s="22"/>
      <c r="E1357" s="69"/>
      <c r="F1357" s="22"/>
      <c r="G1357" s="22"/>
    </row>
    <row r="1358" spans="4:7" s="52" customFormat="1" x14ac:dyDescent="0.25">
      <c r="D1358" s="22"/>
      <c r="E1358" s="69"/>
      <c r="F1358" s="22"/>
      <c r="G1358" s="22"/>
    </row>
    <row r="1359" spans="4:7" s="52" customFormat="1" x14ac:dyDescent="0.25">
      <c r="D1359" s="22"/>
      <c r="E1359" s="69"/>
      <c r="F1359" s="22"/>
      <c r="G1359" s="22"/>
    </row>
    <row r="1360" spans="4:7" s="52" customFormat="1" x14ac:dyDescent="0.25">
      <c r="D1360" s="22"/>
      <c r="E1360" s="69"/>
      <c r="F1360" s="22"/>
      <c r="G1360" s="22"/>
    </row>
    <row r="1361" spans="4:7" s="52" customFormat="1" x14ac:dyDescent="0.25">
      <c r="D1361" s="22"/>
      <c r="E1361" s="69"/>
      <c r="F1361" s="22"/>
      <c r="G1361" s="22"/>
    </row>
    <row r="1362" spans="4:7" s="52" customFormat="1" x14ac:dyDescent="0.25">
      <c r="D1362" s="22"/>
      <c r="E1362" s="69"/>
      <c r="F1362" s="22"/>
      <c r="G1362" s="22"/>
    </row>
    <row r="1363" spans="4:7" s="52" customFormat="1" x14ac:dyDescent="0.25">
      <c r="D1363" s="22"/>
      <c r="E1363" s="69"/>
      <c r="F1363" s="22"/>
      <c r="G1363" s="22"/>
    </row>
    <row r="1364" spans="4:7" s="52" customFormat="1" x14ac:dyDescent="0.25">
      <c r="D1364" s="22"/>
      <c r="E1364" s="69"/>
      <c r="F1364" s="22"/>
      <c r="G1364" s="22"/>
    </row>
    <row r="1365" spans="4:7" s="52" customFormat="1" x14ac:dyDescent="0.25">
      <c r="D1365" s="22"/>
      <c r="E1365" s="69"/>
      <c r="F1365" s="22"/>
      <c r="G1365" s="22"/>
    </row>
    <row r="1366" spans="4:7" s="52" customFormat="1" x14ac:dyDescent="0.25">
      <c r="D1366" s="22"/>
      <c r="E1366" s="69"/>
      <c r="F1366" s="22"/>
      <c r="G1366" s="22"/>
    </row>
    <row r="1367" spans="4:7" s="52" customFormat="1" x14ac:dyDescent="0.25">
      <c r="D1367" s="22"/>
      <c r="E1367" s="69"/>
      <c r="F1367" s="22"/>
      <c r="G1367" s="22"/>
    </row>
    <row r="1368" spans="4:7" s="52" customFormat="1" x14ac:dyDescent="0.25">
      <c r="D1368" s="22"/>
      <c r="E1368" s="69"/>
      <c r="F1368" s="22"/>
      <c r="G1368" s="22"/>
    </row>
    <row r="1369" spans="4:7" s="52" customFormat="1" x14ac:dyDescent="0.25">
      <c r="D1369" s="22"/>
      <c r="E1369" s="69"/>
      <c r="F1369" s="22"/>
      <c r="G1369" s="22"/>
    </row>
    <row r="1370" spans="4:7" s="52" customFormat="1" x14ac:dyDescent="0.25">
      <c r="D1370" s="22"/>
      <c r="E1370" s="69"/>
      <c r="F1370" s="22"/>
      <c r="G1370" s="22"/>
    </row>
    <row r="1371" spans="4:7" s="52" customFormat="1" x14ac:dyDescent="0.25">
      <c r="D1371" s="22"/>
      <c r="E1371" s="69"/>
      <c r="F1371" s="22"/>
      <c r="G1371" s="22"/>
    </row>
    <row r="1372" spans="4:7" s="52" customFormat="1" x14ac:dyDescent="0.25">
      <c r="D1372" s="22"/>
      <c r="E1372" s="69"/>
      <c r="F1372" s="22"/>
      <c r="G1372" s="22"/>
    </row>
    <row r="1373" spans="4:7" s="52" customFormat="1" x14ac:dyDescent="0.25">
      <c r="D1373" s="22"/>
      <c r="E1373" s="69"/>
      <c r="F1373" s="22"/>
      <c r="G1373" s="22"/>
    </row>
    <row r="1374" spans="4:7" s="52" customFormat="1" x14ac:dyDescent="0.25">
      <c r="D1374" s="22"/>
      <c r="E1374" s="69"/>
      <c r="F1374" s="22"/>
      <c r="G1374" s="22"/>
    </row>
    <row r="1375" spans="4:7" s="52" customFormat="1" x14ac:dyDescent="0.25">
      <c r="D1375" s="22"/>
      <c r="E1375" s="69"/>
      <c r="F1375" s="22"/>
      <c r="G1375" s="22"/>
    </row>
    <row r="1376" spans="4:7" s="52" customFormat="1" x14ac:dyDescent="0.25">
      <c r="D1376" s="22"/>
      <c r="E1376" s="69"/>
      <c r="F1376" s="22"/>
      <c r="G1376" s="22"/>
    </row>
    <row r="1377" spans="4:7" s="52" customFormat="1" x14ac:dyDescent="0.25">
      <c r="D1377" s="22"/>
      <c r="E1377" s="69"/>
      <c r="F1377" s="22"/>
      <c r="G1377" s="22"/>
    </row>
    <row r="1378" spans="4:7" s="52" customFormat="1" x14ac:dyDescent="0.25">
      <c r="D1378" s="22"/>
      <c r="E1378" s="69"/>
      <c r="F1378" s="22"/>
      <c r="G1378" s="22"/>
    </row>
    <row r="1379" spans="4:7" s="52" customFormat="1" x14ac:dyDescent="0.25">
      <c r="D1379" s="22"/>
      <c r="E1379" s="69"/>
      <c r="F1379" s="22"/>
      <c r="G1379" s="22"/>
    </row>
    <row r="1380" spans="4:7" s="52" customFormat="1" x14ac:dyDescent="0.25">
      <c r="D1380" s="22"/>
      <c r="E1380" s="69"/>
      <c r="F1380" s="22"/>
      <c r="G1380" s="22"/>
    </row>
    <row r="1381" spans="4:7" s="52" customFormat="1" x14ac:dyDescent="0.25">
      <c r="D1381" s="22"/>
      <c r="E1381" s="69"/>
      <c r="F1381" s="22"/>
      <c r="G1381" s="22"/>
    </row>
    <row r="1382" spans="4:7" s="52" customFormat="1" x14ac:dyDescent="0.25">
      <c r="D1382" s="22"/>
      <c r="E1382" s="69"/>
      <c r="F1382" s="22"/>
      <c r="G1382" s="22"/>
    </row>
    <row r="1383" spans="4:7" s="52" customFormat="1" x14ac:dyDescent="0.25">
      <c r="D1383" s="22"/>
      <c r="E1383" s="69"/>
      <c r="F1383" s="22"/>
      <c r="G1383" s="22"/>
    </row>
    <row r="1384" spans="4:7" s="52" customFormat="1" x14ac:dyDescent="0.25">
      <c r="D1384" s="22"/>
      <c r="E1384" s="69"/>
      <c r="F1384" s="22"/>
      <c r="G1384" s="22"/>
    </row>
    <row r="1385" spans="4:7" s="52" customFormat="1" x14ac:dyDescent="0.25">
      <c r="D1385" s="22"/>
      <c r="E1385" s="69"/>
      <c r="F1385" s="22"/>
      <c r="G1385" s="22"/>
    </row>
    <row r="1386" spans="4:7" s="52" customFormat="1" x14ac:dyDescent="0.25">
      <c r="D1386" s="22"/>
      <c r="E1386" s="69"/>
      <c r="F1386" s="22"/>
      <c r="G1386" s="22"/>
    </row>
    <row r="1387" spans="4:7" s="52" customFormat="1" x14ac:dyDescent="0.25">
      <c r="D1387" s="22"/>
      <c r="E1387" s="69"/>
      <c r="F1387" s="22"/>
      <c r="G1387" s="22"/>
    </row>
    <row r="1388" spans="4:7" s="52" customFormat="1" x14ac:dyDescent="0.25">
      <c r="D1388" s="22"/>
      <c r="E1388" s="69"/>
      <c r="F1388" s="22"/>
      <c r="G1388" s="22"/>
    </row>
    <row r="1389" spans="4:7" s="52" customFormat="1" x14ac:dyDescent="0.25">
      <c r="D1389" s="22"/>
      <c r="E1389" s="69"/>
      <c r="F1389" s="22"/>
      <c r="G1389" s="22"/>
    </row>
    <row r="1390" spans="4:7" s="52" customFormat="1" x14ac:dyDescent="0.25">
      <c r="D1390" s="22"/>
      <c r="E1390" s="69"/>
      <c r="F1390" s="22"/>
      <c r="G1390" s="22"/>
    </row>
    <row r="1391" spans="4:7" s="52" customFormat="1" x14ac:dyDescent="0.25">
      <c r="D1391" s="22"/>
      <c r="E1391" s="69"/>
      <c r="F1391" s="22"/>
      <c r="G1391" s="22"/>
    </row>
    <row r="1392" spans="4:7" s="52" customFormat="1" x14ac:dyDescent="0.25">
      <c r="D1392" s="22"/>
      <c r="E1392" s="69"/>
      <c r="F1392" s="22"/>
      <c r="G1392" s="22"/>
    </row>
    <row r="1393" spans="4:7" s="52" customFormat="1" x14ac:dyDescent="0.25">
      <c r="D1393" s="22"/>
      <c r="E1393" s="69"/>
      <c r="F1393" s="22"/>
      <c r="G1393" s="22"/>
    </row>
    <row r="1394" spans="4:7" s="52" customFormat="1" x14ac:dyDescent="0.25">
      <c r="D1394" s="22"/>
      <c r="E1394" s="69"/>
      <c r="F1394" s="22"/>
      <c r="G1394" s="22"/>
    </row>
    <row r="1395" spans="4:7" s="52" customFormat="1" x14ac:dyDescent="0.25">
      <c r="D1395" s="22"/>
      <c r="E1395" s="69"/>
      <c r="F1395" s="22"/>
      <c r="G1395" s="22"/>
    </row>
    <row r="1396" spans="4:7" s="52" customFormat="1" x14ac:dyDescent="0.25">
      <c r="D1396" s="22"/>
      <c r="E1396" s="69"/>
      <c r="F1396" s="22"/>
      <c r="G1396" s="22"/>
    </row>
    <row r="1397" spans="4:7" s="52" customFormat="1" x14ac:dyDescent="0.25">
      <c r="D1397" s="22"/>
      <c r="E1397" s="69"/>
      <c r="F1397" s="22"/>
      <c r="G1397" s="22"/>
    </row>
    <row r="1398" spans="4:7" s="52" customFormat="1" x14ac:dyDescent="0.25">
      <c r="D1398" s="22"/>
      <c r="E1398" s="69"/>
      <c r="F1398" s="22"/>
      <c r="G1398" s="22"/>
    </row>
    <row r="1399" spans="4:7" s="52" customFormat="1" x14ac:dyDescent="0.25">
      <c r="D1399" s="22"/>
      <c r="E1399" s="69"/>
      <c r="F1399" s="22"/>
      <c r="G1399" s="22"/>
    </row>
    <row r="1400" spans="4:7" s="52" customFormat="1" x14ac:dyDescent="0.25">
      <c r="D1400" s="22"/>
      <c r="E1400" s="69"/>
      <c r="F1400" s="22"/>
      <c r="G1400" s="22"/>
    </row>
    <row r="1401" spans="4:7" s="52" customFormat="1" x14ac:dyDescent="0.25">
      <c r="D1401" s="22"/>
      <c r="E1401" s="69"/>
      <c r="F1401" s="22"/>
      <c r="G1401" s="22"/>
    </row>
    <row r="1402" spans="4:7" s="52" customFormat="1" x14ac:dyDescent="0.25">
      <c r="D1402" s="22"/>
      <c r="E1402" s="69"/>
      <c r="F1402" s="22"/>
      <c r="G1402" s="22"/>
    </row>
    <row r="1403" spans="4:7" s="52" customFormat="1" x14ac:dyDescent="0.25">
      <c r="D1403" s="22"/>
      <c r="E1403" s="69"/>
      <c r="F1403" s="22"/>
      <c r="G1403" s="22"/>
    </row>
    <row r="1404" spans="4:7" s="52" customFormat="1" x14ac:dyDescent="0.25">
      <c r="D1404" s="22"/>
      <c r="E1404" s="69"/>
      <c r="F1404" s="22"/>
      <c r="G1404" s="22"/>
    </row>
    <row r="1405" spans="4:7" s="52" customFormat="1" x14ac:dyDescent="0.25">
      <c r="D1405" s="22"/>
      <c r="E1405" s="69"/>
      <c r="F1405" s="22"/>
      <c r="G1405" s="22"/>
    </row>
    <row r="1406" spans="4:7" s="52" customFormat="1" x14ac:dyDescent="0.25">
      <c r="D1406" s="22"/>
      <c r="E1406" s="69"/>
      <c r="F1406" s="22"/>
      <c r="G1406" s="22"/>
    </row>
    <row r="1407" spans="4:7" s="52" customFormat="1" x14ac:dyDescent="0.25">
      <c r="D1407" s="22"/>
      <c r="E1407" s="69"/>
      <c r="F1407" s="22"/>
      <c r="G1407" s="22"/>
    </row>
    <row r="1408" spans="4:7" s="52" customFormat="1" x14ac:dyDescent="0.25">
      <c r="D1408" s="22"/>
      <c r="E1408" s="69"/>
      <c r="F1408" s="22"/>
      <c r="G1408" s="22"/>
    </row>
    <row r="1409" spans="4:7" s="52" customFormat="1" x14ac:dyDescent="0.25">
      <c r="D1409" s="22"/>
      <c r="E1409" s="69"/>
      <c r="F1409" s="22"/>
      <c r="G1409" s="22"/>
    </row>
    <row r="1410" spans="4:7" s="52" customFormat="1" x14ac:dyDescent="0.25">
      <c r="D1410" s="22"/>
      <c r="E1410" s="69"/>
      <c r="F1410" s="22"/>
      <c r="G1410" s="22"/>
    </row>
    <row r="1411" spans="4:7" s="52" customFormat="1" x14ac:dyDescent="0.25">
      <c r="D1411" s="22"/>
      <c r="E1411" s="69"/>
      <c r="F1411" s="22"/>
      <c r="G1411" s="22"/>
    </row>
    <row r="1412" spans="4:7" s="52" customFormat="1" x14ac:dyDescent="0.25">
      <c r="D1412" s="22"/>
      <c r="E1412" s="69"/>
      <c r="F1412" s="22"/>
      <c r="G1412" s="22"/>
    </row>
    <row r="1413" spans="4:7" s="52" customFormat="1" x14ac:dyDescent="0.25">
      <c r="D1413" s="22"/>
      <c r="E1413" s="69"/>
      <c r="F1413" s="22"/>
      <c r="G1413" s="22"/>
    </row>
    <row r="1414" spans="4:7" s="52" customFormat="1" x14ac:dyDescent="0.25">
      <c r="D1414" s="22"/>
      <c r="E1414" s="69"/>
      <c r="F1414" s="22"/>
      <c r="G1414" s="22"/>
    </row>
    <row r="1415" spans="4:7" s="52" customFormat="1" x14ac:dyDescent="0.25">
      <c r="D1415" s="22"/>
      <c r="E1415" s="69"/>
      <c r="F1415" s="22"/>
      <c r="G1415" s="22"/>
    </row>
    <row r="1416" spans="4:7" s="52" customFormat="1" x14ac:dyDescent="0.25">
      <c r="D1416" s="22"/>
      <c r="E1416" s="69"/>
      <c r="F1416" s="22"/>
      <c r="G1416" s="22"/>
    </row>
    <row r="1417" spans="4:7" s="52" customFormat="1" x14ac:dyDescent="0.25">
      <c r="D1417" s="22"/>
      <c r="E1417" s="69"/>
      <c r="F1417" s="22"/>
      <c r="G1417" s="22"/>
    </row>
    <row r="1418" spans="4:7" s="52" customFormat="1" x14ac:dyDescent="0.25">
      <c r="D1418" s="22"/>
      <c r="E1418" s="69"/>
      <c r="F1418" s="22"/>
      <c r="G1418" s="22"/>
    </row>
    <row r="1419" spans="4:7" s="52" customFormat="1" x14ac:dyDescent="0.25">
      <c r="D1419" s="22"/>
      <c r="E1419" s="69"/>
      <c r="F1419" s="22"/>
      <c r="G1419" s="22"/>
    </row>
    <row r="1420" spans="4:7" s="52" customFormat="1" x14ac:dyDescent="0.25">
      <c r="D1420" s="22"/>
      <c r="E1420" s="69"/>
      <c r="F1420" s="22"/>
      <c r="G1420" s="22"/>
    </row>
    <row r="1421" spans="4:7" s="52" customFormat="1" x14ac:dyDescent="0.25">
      <c r="D1421" s="22"/>
      <c r="E1421" s="69"/>
      <c r="F1421" s="22"/>
      <c r="G1421" s="22"/>
    </row>
    <row r="1422" spans="4:7" s="52" customFormat="1" x14ac:dyDescent="0.25">
      <c r="D1422" s="22"/>
      <c r="E1422" s="69"/>
      <c r="F1422" s="22"/>
      <c r="G1422" s="22"/>
    </row>
    <row r="1423" spans="4:7" s="52" customFormat="1" x14ac:dyDescent="0.25">
      <c r="D1423" s="22"/>
      <c r="E1423" s="69"/>
      <c r="F1423" s="22"/>
      <c r="G1423" s="22"/>
    </row>
    <row r="1424" spans="4:7" s="52" customFormat="1" x14ac:dyDescent="0.25">
      <c r="D1424" s="22"/>
      <c r="E1424" s="69"/>
      <c r="F1424" s="22"/>
      <c r="G1424" s="22"/>
    </row>
    <row r="1425" spans="4:7" s="52" customFormat="1" x14ac:dyDescent="0.25">
      <c r="D1425" s="22"/>
      <c r="E1425" s="69"/>
      <c r="F1425" s="22"/>
      <c r="G1425" s="22"/>
    </row>
    <row r="1426" spans="4:7" s="52" customFormat="1" x14ac:dyDescent="0.25">
      <c r="D1426" s="22"/>
      <c r="E1426" s="69"/>
      <c r="F1426" s="22"/>
      <c r="G1426" s="22"/>
    </row>
    <row r="1427" spans="4:7" s="52" customFormat="1" x14ac:dyDescent="0.25">
      <c r="D1427" s="22"/>
      <c r="E1427" s="69"/>
      <c r="F1427" s="22"/>
      <c r="G1427" s="22"/>
    </row>
    <row r="1428" spans="4:7" s="52" customFormat="1" x14ac:dyDescent="0.25">
      <c r="D1428" s="22"/>
      <c r="E1428" s="69"/>
      <c r="F1428" s="22"/>
      <c r="G1428" s="22"/>
    </row>
    <row r="1429" spans="4:7" s="52" customFormat="1" x14ac:dyDescent="0.25">
      <c r="D1429" s="22"/>
      <c r="E1429" s="69"/>
      <c r="F1429" s="22"/>
      <c r="G1429" s="22"/>
    </row>
    <row r="1430" spans="4:7" s="52" customFormat="1" x14ac:dyDescent="0.25">
      <c r="D1430" s="22"/>
      <c r="E1430" s="69"/>
      <c r="F1430" s="22"/>
      <c r="G1430" s="22"/>
    </row>
    <row r="1431" spans="4:7" s="52" customFormat="1" x14ac:dyDescent="0.25">
      <c r="D1431" s="22"/>
      <c r="E1431" s="69"/>
      <c r="F1431" s="22"/>
      <c r="G1431" s="22"/>
    </row>
    <row r="1432" spans="4:7" s="52" customFormat="1" x14ac:dyDescent="0.25">
      <c r="D1432" s="22"/>
      <c r="E1432" s="69"/>
      <c r="F1432" s="22"/>
      <c r="G1432" s="22"/>
    </row>
    <row r="1433" spans="4:7" s="52" customFormat="1" x14ac:dyDescent="0.25">
      <c r="D1433" s="22"/>
      <c r="E1433" s="69"/>
      <c r="F1433" s="22"/>
      <c r="G1433" s="22"/>
    </row>
    <row r="1434" spans="4:7" s="52" customFormat="1" x14ac:dyDescent="0.25">
      <c r="D1434" s="22"/>
      <c r="E1434" s="69"/>
      <c r="F1434" s="22"/>
      <c r="G1434" s="22"/>
    </row>
    <row r="1435" spans="4:7" s="52" customFormat="1" x14ac:dyDescent="0.25">
      <c r="D1435" s="22"/>
      <c r="E1435" s="69"/>
      <c r="F1435" s="22"/>
      <c r="G1435" s="22"/>
    </row>
    <row r="1436" spans="4:7" s="52" customFormat="1" x14ac:dyDescent="0.25">
      <c r="D1436" s="22"/>
      <c r="E1436" s="69"/>
      <c r="F1436" s="22"/>
      <c r="G1436" s="22"/>
    </row>
    <row r="1437" spans="4:7" s="52" customFormat="1" x14ac:dyDescent="0.25">
      <c r="D1437" s="22"/>
      <c r="E1437" s="69"/>
      <c r="F1437" s="22"/>
      <c r="G1437" s="22"/>
    </row>
    <row r="1438" spans="4:7" s="52" customFormat="1" x14ac:dyDescent="0.25">
      <c r="D1438" s="22"/>
      <c r="E1438" s="69"/>
      <c r="F1438" s="22"/>
      <c r="G1438" s="22"/>
    </row>
    <row r="1439" spans="4:7" s="52" customFormat="1" x14ac:dyDescent="0.25">
      <c r="D1439" s="22"/>
      <c r="E1439" s="69"/>
      <c r="F1439" s="22"/>
      <c r="G1439" s="22"/>
    </row>
    <row r="1440" spans="4:7" s="52" customFormat="1" x14ac:dyDescent="0.25">
      <c r="D1440" s="22"/>
      <c r="E1440" s="69"/>
      <c r="F1440" s="22"/>
      <c r="G1440" s="22"/>
    </row>
    <row r="1441" spans="4:7" s="52" customFormat="1" x14ac:dyDescent="0.25">
      <c r="D1441" s="22"/>
      <c r="E1441" s="69"/>
      <c r="F1441" s="22"/>
      <c r="G1441" s="22"/>
    </row>
    <row r="1442" spans="4:7" s="52" customFormat="1" x14ac:dyDescent="0.25">
      <c r="D1442" s="22"/>
      <c r="E1442" s="69"/>
      <c r="F1442" s="22"/>
      <c r="G1442" s="22"/>
    </row>
    <row r="1443" spans="4:7" s="52" customFormat="1" x14ac:dyDescent="0.25">
      <c r="D1443" s="22"/>
      <c r="E1443" s="69"/>
      <c r="F1443" s="22"/>
      <c r="G1443" s="22"/>
    </row>
    <row r="1444" spans="4:7" s="52" customFormat="1" x14ac:dyDescent="0.25">
      <c r="D1444" s="22"/>
      <c r="E1444" s="69"/>
      <c r="F1444" s="22"/>
      <c r="G1444" s="22"/>
    </row>
    <row r="1445" spans="4:7" s="52" customFormat="1" x14ac:dyDescent="0.25">
      <c r="D1445" s="22"/>
      <c r="E1445" s="69"/>
      <c r="F1445" s="22"/>
      <c r="G1445" s="22"/>
    </row>
    <row r="1446" spans="4:7" s="52" customFormat="1" x14ac:dyDescent="0.25">
      <c r="D1446" s="22"/>
      <c r="E1446" s="69"/>
      <c r="F1446" s="22"/>
      <c r="G1446" s="22"/>
    </row>
    <row r="1447" spans="4:7" s="52" customFormat="1" x14ac:dyDescent="0.25">
      <c r="D1447" s="22"/>
      <c r="E1447" s="69"/>
      <c r="F1447" s="22"/>
      <c r="G1447" s="22"/>
    </row>
    <row r="1448" spans="4:7" s="52" customFormat="1" x14ac:dyDescent="0.25">
      <c r="D1448" s="22"/>
      <c r="E1448" s="69"/>
      <c r="F1448" s="22"/>
      <c r="G1448" s="22"/>
    </row>
    <row r="1449" spans="4:7" s="52" customFormat="1" x14ac:dyDescent="0.25">
      <c r="D1449" s="22"/>
      <c r="E1449" s="69"/>
      <c r="F1449" s="22"/>
      <c r="G1449" s="22"/>
    </row>
    <row r="1450" spans="4:7" s="52" customFormat="1" x14ac:dyDescent="0.25">
      <c r="D1450" s="22"/>
      <c r="E1450" s="69"/>
      <c r="F1450" s="22"/>
      <c r="G1450" s="22"/>
    </row>
    <row r="1451" spans="4:7" s="52" customFormat="1" x14ac:dyDescent="0.25">
      <c r="D1451" s="22"/>
      <c r="E1451" s="69"/>
      <c r="F1451" s="22"/>
      <c r="G1451" s="22"/>
    </row>
    <row r="1452" spans="4:7" s="52" customFormat="1" x14ac:dyDescent="0.25">
      <c r="D1452" s="22"/>
      <c r="E1452" s="69"/>
      <c r="F1452" s="22"/>
      <c r="G1452" s="22"/>
    </row>
    <row r="1453" spans="4:7" s="52" customFormat="1" x14ac:dyDescent="0.25">
      <c r="D1453" s="22"/>
      <c r="E1453" s="69"/>
      <c r="F1453" s="22"/>
      <c r="G1453" s="22"/>
    </row>
    <row r="1454" spans="4:7" s="52" customFormat="1" x14ac:dyDescent="0.25">
      <c r="D1454" s="22"/>
      <c r="E1454" s="69"/>
      <c r="F1454" s="22"/>
      <c r="G1454" s="22"/>
    </row>
    <row r="1455" spans="4:7" s="52" customFormat="1" x14ac:dyDescent="0.25">
      <c r="D1455" s="22"/>
      <c r="E1455" s="69"/>
      <c r="F1455" s="22"/>
      <c r="G1455" s="22"/>
    </row>
    <row r="1456" spans="4:7" s="52" customFormat="1" x14ac:dyDescent="0.25">
      <c r="D1456" s="22"/>
      <c r="E1456" s="69"/>
      <c r="F1456" s="22"/>
      <c r="G1456" s="22"/>
    </row>
    <row r="1457" spans="4:7" s="52" customFormat="1" x14ac:dyDescent="0.25">
      <c r="D1457" s="22"/>
      <c r="E1457" s="69"/>
      <c r="F1457" s="22"/>
      <c r="G1457" s="22"/>
    </row>
    <row r="1458" spans="4:7" s="52" customFormat="1" x14ac:dyDescent="0.25">
      <c r="D1458" s="22"/>
      <c r="E1458" s="69"/>
      <c r="F1458" s="22"/>
      <c r="G1458" s="22"/>
    </row>
    <row r="1459" spans="4:7" s="52" customFormat="1" x14ac:dyDescent="0.25">
      <c r="D1459" s="22"/>
      <c r="E1459" s="69"/>
      <c r="F1459" s="22"/>
      <c r="G1459" s="22"/>
    </row>
    <row r="1460" spans="4:7" s="52" customFormat="1" x14ac:dyDescent="0.25">
      <c r="D1460" s="22"/>
      <c r="E1460" s="69"/>
      <c r="F1460" s="22"/>
      <c r="G1460" s="22"/>
    </row>
    <row r="1461" spans="4:7" s="52" customFormat="1" x14ac:dyDescent="0.25">
      <c r="D1461" s="22"/>
      <c r="E1461" s="69"/>
      <c r="F1461" s="22"/>
      <c r="G1461" s="22"/>
    </row>
    <row r="1462" spans="4:7" s="52" customFormat="1" x14ac:dyDescent="0.25">
      <c r="D1462" s="22"/>
      <c r="E1462" s="69"/>
      <c r="F1462" s="22"/>
      <c r="G1462" s="22"/>
    </row>
    <row r="1463" spans="4:7" s="52" customFormat="1" x14ac:dyDescent="0.25">
      <c r="D1463" s="22"/>
      <c r="E1463" s="69"/>
      <c r="F1463" s="22"/>
      <c r="G1463" s="22"/>
    </row>
    <row r="1464" spans="4:7" s="52" customFormat="1" x14ac:dyDescent="0.25">
      <c r="D1464" s="22"/>
      <c r="E1464" s="69"/>
      <c r="F1464" s="22"/>
      <c r="G1464" s="22"/>
    </row>
    <row r="1465" spans="4:7" s="52" customFormat="1" x14ac:dyDescent="0.25">
      <c r="D1465" s="22"/>
      <c r="E1465" s="69"/>
      <c r="F1465" s="22"/>
      <c r="G1465" s="22"/>
    </row>
    <row r="1466" spans="4:7" s="52" customFormat="1" x14ac:dyDescent="0.25">
      <c r="D1466" s="22"/>
      <c r="E1466" s="69"/>
      <c r="F1466" s="22"/>
      <c r="G1466" s="22"/>
    </row>
    <row r="1467" spans="4:7" s="52" customFormat="1" x14ac:dyDescent="0.25">
      <c r="D1467" s="22"/>
      <c r="E1467" s="69"/>
      <c r="F1467" s="22"/>
      <c r="G1467" s="22"/>
    </row>
    <row r="1468" spans="4:7" s="52" customFormat="1" x14ac:dyDescent="0.25">
      <c r="D1468" s="22"/>
      <c r="E1468" s="69"/>
      <c r="F1468" s="22"/>
      <c r="G1468" s="22"/>
    </row>
    <row r="1469" spans="4:7" s="52" customFormat="1" x14ac:dyDescent="0.25">
      <c r="D1469" s="22"/>
      <c r="E1469" s="69"/>
      <c r="F1469" s="22"/>
      <c r="G1469" s="22"/>
    </row>
    <row r="1470" spans="4:7" s="52" customFormat="1" x14ac:dyDescent="0.25">
      <c r="D1470" s="22"/>
      <c r="E1470" s="69"/>
      <c r="F1470" s="22"/>
      <c r="G1470" s="22"/>
    </row>
    <row r="1471" spans="4:7" s="52" customFormat="1" x14ac:dyDescent="0.25">
      <c r="D1471" s="22"/>
      <c r="E1471" s="69"/>
      <c r="F1471" s="22"/>
      <c r="G1471" s="22"/>
    </row>
    <row r="1472" spans="4:7" s="52" customFormat="1" x14ac:dyDescent="0.25">
      <c r="D1472" s="22"/>
      <c r="E1472" s="69"/>
      <c r="F1472" s="22"/>
      <c r="G1472" s="22"/>
    </row>
    <row r="1473" spans="4:7" s="52" customFormat="1" x14ac:dyDescent="0.25">
      <c r="D1473" s="22"/>
      <c r="E1473" s="69"/>
      <c r="F1473" s="22"/>
      <c r="G1473" s="22"/>
    </row>
    <row r="1474" spans="4:7" s="52" customFormat="1" x14ac:dyDescent="0.25">
      <c r="D1474" s="22"/>
      <c r="E1474" s="69"/>
      <c r="F1474" s="22"/>
      <c r="G1474" s="22"/>
    </row>
    <row r="1475" spans="4:7" s="52" customFormat="1" x14ac:dyDescent="0.25">
      <c r="D1475" s="22"/>
      <c r="E1475" s="69"/>
      <c r="F1475" s="22"/>
      <c r="G1475" s="22"/>
    </row>
    <row r="1476" spans="4:7" s="52" customFormat="1" x14ac:dyDescent="0.25">
      <c r="D1476" s="22"/>
      <c r="E1476" s="69"/>
      <c r="F1476" s="22"/>
      <c r="G1476" s="22"/>
    </row>
    <row r="1477" spans="4:7" s="52" customFormat="1" x14ac:dyDescent="0.25">
      <c r="D1477" s="22"/>
      <c r="E1477" s="69"/>
      <c r="F1477" s="22"/>
      <c r="G1477" s="22"/>
    </row>
    <row r="1478" spans="4:7" s="52" customFormat="1" x14ac:dyDescent="0.25">
      <c r="D1478" s="22"/>
      <c r="E1478" s="69"/>
      <c r="F1478" s="22"/>
      <c r="G1478" s="22"/>
    </row>
    <row r="1479" spans="4:7" s="52" customFormat="1" x14ac:dyDescent="0.25">
      <c r="D1479" s="22"/>
      <c r="E1479" s="69"/>
      <c r="F1479" s="22"/>
      <c r="G1479" s="22"/>
    </row>
    <row r="1480" spans="4:7" s="52" customFormat="1" x14ac:dyDescent="0.25">
      <c r="D1480" s="22"/>
      <c r="E1480" s="69"/>
      <c r="F1480" s="22"/>
      <c r="G1480" s="22"/>
    </row>
    <row r="1481" spans="4:7" s="52" customFormat="1" x14ac:dyDescent="0.25">
      <c r="D1481" s="22"/>
      <c r="E1481" s="69"/>
      <c r="F1481" s="22"/>
      <c r="G1481" s="22"/>
    </row>
    <row r="1482" spans="4:7" s="52" customFormat="1" x14ac:dyDescent="0.25">
      <c r="D1482" s="22"/>
      <c r="E1482" s="69"/>
      <c r="F1482" s="22"/>
      <c r="G1482" s="22"/>
    </row>
    <row r="1483" spans="4:7" s="52" customFormat="1" x14ac:dyDescent="0.25">
      <c r="D1483" s="22"/>
      <c r="E1483" s="69"/>
      <c r="F1483" s="22"/>
      <c r="G1483" s="22"/>
    </row>
    <row r="1484" spans="4:7" s="52" customFormat="1" x14ac:dyDescent="0.25">
      <c r="D1484" s="22"/>
      <c r="E1484" s="69"/>
      <c r="F1484" s="22"/>
      <c r="G1484" s="22"/>
    </row>
    <row r="1485" spans="4:7" s="52" customFormat="1" x14ac:dyDescent="0.25">
      <c r="D1485" s="22"/>
      <c r="E1485" s="69"/>
      <c r="F1485" s="22"/>
      <c r="G1485" s="22"/>
    </row>
    <row r="1486" spans="4:7" s="52" customFormat="1" x14ac:dyDescent="0.25">
      <c r="D1486" s="22"/>
      <c r="E1486" s="69"/>
      <c r="F1486" s="22"/>
      <c r="G1486" s="22"/>
    </row>
    <row r="1487" spans="4:7" s="52" customFormat="1" x14ac:dyDescent="0.25">
      <c r="D1487" s="22"/>
      <c r="E1487" s="69"/>
      <c r="F1487" s="22"/>
      <c r="G1487" s="22"/>
    </row>
    <row r="1488" spans="4:7" s="52" customFormat="1" x14ac:dyDescent="0.25">
      <c r="D1488" s="22"/>
      <c r="E1488" s="69"/>
      <c r="F1488" s="22"/>
      <c r="G1488" s="22"/>
    </row>
    <row r="1489" spans="4:7" s="52" customFormat="1" x14ac:dyDescent="0.25">
      <c r="D1489" s="22"/>
      <c r="E1489" s="69"/>
      <c r="F1489" s="22"/>
      <c r="G1489" s="22"/>
    </row>
    <row r="1490" spans="4:7" s="52" customFormat="1" x14ac:dyDescent="0.25">
      <c r="D1490" s="22"/>
      <c r="E1490" s="69"/>
      <c r="F1490" s="22"/>
      <c r="G1490" s="22"/>
    </row>
    <row r="1491" spans="4:7" s="52" customFormat="1" x14ac:dyDescent="0.25">
      <c r="D1491" s="22"/>
      <c r="E1491" s="69"/>
      <c r="F1491" s="22"/>
      <c r="G1491" s="22"/>
    </row>
    <row r="1492" spans="4:7" s="52" customFormat="1" x14ac:dyDescent="0.25">
      <c r="D1492" s="22"/>
      <c r="E1492" s="69"/>
      <c r="F1492" s="22"/>
      <c r="G1492" s="22"/>
    </row>
    <row r="1493" spans="4:7" s="52" customFormat="1" x14ac:dyDescent="0.25">
      <c r="D1493" s="22"/>
      <c r="E1493" s="69"/>
      <c r="F1493" s="22"/>
      <c r="G1493" s="22"/>
    </row>
    <row r="1494" spans="4:7" s="52" customFormat="1" x14ac:dyDescent="0.25">
      <c r="D1494" s="22"/>
      <c r="E1494" s="69"/>
      <c r="F1494" s="22"/>
      <c r="G1494" s="22"/>
    </row>
    <row r="1495" spans="4:7" s="52" customFormat="1" x14ac:dyDescent="0.25">
      <c r="D1495" s="22"/>
      <c r="E1495" s="69"/>
      <c r="F1495" s="22"/>
      <c r="G1495" s="22"/>
    </row>
    <row r="1496" spans="4:7" s="52" customFormat="1" x14ac:dyDescent="0.25">
      <c r="D1496" s="22"/>
      <c r="E1496" s="69"/>
      <c r="F1496" s="22"/>
      <c r="G1496" s="22"/>
    </row>
    <row r="1497" spans="4:7" s="52" customFormat="1" x14ac:dyDescent="0.25">
      <c r="D1497" s="22"/>
      <c r="E1497" s="69"/>
      <c r="F1497" s="22"/>
      <c r="G1497" s="22"/>
    </row>
    <row r="1498" spans="4:7" s="52" customFormat="1" x14ac:dyDescent="0.25">
      <c r="D1498" s="22"/>
      <c r="E1498" s="69"/>
      <c r="F1498" s="22"/>
      <c r="G1498" s="22"/>
    </row>
    <row r="1499" spans="4:7" s="52" customFormat="1" x14ac:dyDescent="0.25">
      <c r="D1499" s="22"/>
      <c r="E1499" s="69"/>
      <c r="F1499" s="22"/>
      <c r="G1499" s="22"/>
    </row>
    <row r="1500" spans="4:7" s="52" customFormat="1" x14ac:dyDescent="0.25">
      <c r="D1500" s="22"/>
      <c r="E1500" s="69"/>
      <c r="F1500" s="22"/>
      <c r="G1500" s="22"/>
    </row>
    <row r="1501" spans="4:7" s="52" customFormat="1" x14ac:dyDescent="0.25">
      <c r="D1501" s="22"/>
      <c r="E1501" s="69"/>
      <c r="F1501" s="22"/>
      <c r="G1501" s="22"/>
    </row>
    <row r="1502" spans="4:7" s="52" customFormat="1" x14ac:dyDescent="0.25">
      <c r="D1502" s="22"/>
      <c r="E1502" s="69"/>
      <c r="F1502" s="22"/>
      <c r="G1502" s="22"/>
    </row>
    <row r="1503" spans="4:7" s="52" customFormat="1" x14ac:dyDescent="0.25">
      <c r="D1503" s="22"/>
      <c r="E1503" s="69"/>
      <c r="F1503" s="22"/>
      <c r="G1503" s="22"/>
    </row>
    <row r="1504" spans="4:7" s="52" customFormat="1" x14ac:dyDescent="0.25">
      <c r="D1504" s="22"/>
      <c r="E1504" s="69"/>
      <c r="F1504" s="22"/>
      <c r="G1504" s="22"/>
    </row>
    <row r="1505" spans="4:7" s="52" customFormat="1" x14ac:dyDescent="0.25">
      <c r="D1505" s="22"/>
      <c r="E1505" s="69"/>
      <c r="F1505" s="22"/>
      <c r="G1505" s="22"/>
    </row>
    <row r="1506" spans="4:7" s="52" customFormat="1" x14ac:dyDescent="0.25">
      <c r="D1506" s="22"/>
      <c r="E1506" s="69"/>
      <c r="F1506" s="22"/>
      <c r="G1506" s="22"/>
    </row>
    <row r="1507" spans="4:7" s="52" customFormat="1" x14ac:dyDescent="0.25">
      <c r="D1507" s="22"/>
      <c r="E1507" s="69"/>
      <c r="F1507" s="22"/>
      <c r="G1507" s="22"/>
    </row>
    <row r="1508" spans="4:7" s="52" customFormat="1" x14ac:dyDescent="0.25">
      <c r="D1508" s="22"/>
      <c r="E1508" s="69"/>
      <c r="F1508" s="22"/>
      <c r="G1508" s="22"/>
    </row>
    <row r="1509" spans="4:7" s="52" customFormat="1" x14ac:dyDescent="0.25">
      <c r="D1509" s="22"/>
      <c r="E1509" s="69"/>
      <c r="F1509" s="22"/>
      <c r="G1509" s="22"/>
    </row>
    <row r="1510" spans="4:7" s="52" customFormat="1" x14ac:dyDescent="0.25">
      <c r="D1510" s="22"/>
      <c r="E1510" s="69"/>
      <c r="F1510" s="22"/>
      <c r="G1510" s="22"/>
    </row>
    <row r="1511" spans="4:7" s="52" customFormat="1" x14ac:dyDescent="0.25">
      <c r="D1511" s="22"/>
      <c r="E1511" s="69"/>
      <c r="F1511" s="22"/>
      <c r="G1511" s="22"/>
    </row>
    <row r="1512" spans="4:7" s="52" customFormat="1" x14ac:dyDescent="0.25">
      <c r="D1512" s="22"/>
      <c r="E1512" s="69"/>
      <c r="F1512" s="22"/>
      <c r="G1512" s="22"/>
    </row>
    <row r="1513" spans="4:7" s="52" customFormat="1" x14ac:dyDescent="0.25">
      <c r="D1513" s="22"/>
      <c r="E1513" s="69"/>
      <c r="F1513" s="22"/>
      <c r="G1513" s="22"/>
    </row>
    <row r="1514" spans="4:7" s="52" customFormat="1" x14ac:dyDescent="0.25">
      <c r="D1514" s="22"/>
      <c r="E1514" s="69"/>
      <c r="F1514" s="22"/>
      <c r="G1514" s="22"/>
    </row>
    <row r="1515" spans="4:7" s="52" customFormat="1" x14ac:dyDescent="0.25">
      <c r="D1515" s="22"/>
      <c r="E1515" s="69"/>
      <c r="F1515" s="22"/>
      <c r="G1515" s="22"/>
    </row>
    <row r="1516" spans="4:7" s="52" customFormat="1" x14ac:dyDescent="0.25">
      <c r="D1516" s="22"/>
      <c r="E1516" s="69"/>
      <c r="F1516" s="22"/>
      <c r="G1516" s="22"/>
    </row>
    <row r="1517" spans="4:7" s="52" customFormat="1" x14ac:dyDescent="0.25">
      <c r="D1517" s="22"/>
      <c r="E1517" s="69"/>
      <c r="F1517" s="22"/>
      <c r="G1517" s="22"/>
    </row>
    <row r="1518" spans="4:7" s="52" customFormat="1" x14ac:dyDescent="0.25">
      <c r="D1518" s="22"/>
      <c r="E1518" s="69"/>
      <c r="F1518" s="22"/>
      <c r="G1518" s="22"/>
    </row>
    <row r="1519" spans="4:7" s="52" customFormat="1" x14ac:dyDescent="0.25">
      <c r="D1519" s="22"/>
      <c r="E1519" s="69"/>
      <c r="F1519" s="22"/>
      <c r="G1519" s="22"/>
    </row>
    <row r="1520" spans="4:7" s="52" customFormat="1" x14ac:dyDescent="0.25">
      <c r="D1520" s="22"/>
      <c r="E1520" s="69"/>
      <c r="F1520" s="22"/>
      <c r="G1520" s="22"/>
    </row>
    <row r="1521" spans="4:7" x14ac:dyDescent="0.25">
      <c r="D1521" s="22"/>
      <c r="E1521" s="69"/>
      <c r="F1521" s="22"/>
      <c r="G1521" s="22"/>
    </row>
    <row r="1522" spans="4:7" x14ac:dyDescent="0.25">
      <c r="D1522" s="22"/>
      <c r="E1522" s="69"/>
      <c r="F1522" s="22"/>
      <c r="G1522" s="22"/>
    </row>
    <row r="1523" spans="4:7" x14ac:dyDescent="0.25">
      <c r="D1523" s="22"/>
      <c r="E1523" s="69"/>
      <c r="F1523" s="22"/>
      <c r="G1523" s="22"/>
    </row>
    <row r="1524" spans="4:7" x14ac:dyDescent="0.25">
      <c r="D1524" s="22"/>
      <c r="E1524" s="69"/>
      <c r="F1524" s="22"/>
      <c r="G1524" s="22"/>
    </row>
    <row r="1525" spans="4:7" x14ac:dyDescent="0.25">
      <c r="D1525" s="22"/>
      <c r="E1525" s="69"/>
      <c r="F1525" s="22"/>
      <c r="G1525" s="22"/>
    </row>
    <row r="1526" spans="4:7" x14ac:dyDescent="0.25">
      <c r="D1526" s="22"/>
      <c r="E1526" s="69"/>
      <c r="F1526" s="22"/>
      <c r="G1526" s="22"/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rgb="FF92D050"/>
  </sheetPr>
  <dimension ref="A1:L1545"/>
  <sheetViews>
    <sheetView zoomScale="112" zoomScaleNormal="112" workbookViewId="0">
      <pane xSplit="2" ySplit="1" topLeftCell="C2" activePane="bottomRight" state="frozen"/>
      <selection pane="topRight" activeCell="F1" sqref="F1"/>
      <selection pane="bottomLeft" activeCell="A2" sqref="A2"/>
      <selection pane="bottomRight" activeCell="O24" sqref="O24"/>
    </sheetView>
  </sheetViews>
  <sheetFormatPr defaultColWidth="9.140625" defaultRowHeight="15.75" x14ac:dyDescent="0.25"/>
  <cols>
    <col min="1" max="1" width="8.42578125" style="94" customWidth="1"/>
    <col min="2" max="2" width="7.28515625" style="94" customWidth="1"/>
    <col min="3" max="3" width="12" style="94" bestFit="1" customWidth="1"/>
    <col min="4" max="6" width="7.5703125" style="52" bestFit="1" customWidth="1"/>
    <col min="7" max="7" width="8.5703125" style="71" bestFit="1" customWidth="1"/>
    <col min="8" max="10" width="9.140625" style="39"/>
    <col min="11" max="12" width="9.140625" style="68"/>
    <col min="13" max="16384" width="9.140625" style="39"/>
  </cols>
  <sheetData>
    <row r="1" spans="1:12" ht="105" customHeight="1" x14ac:dyDescent="0.25">
      <c r="A1" s="53" t="s">
        <v>27</v>
      </c>
      <c r="B1" s="54" t="s">
        <v>17</v>
      </c>
      <c r="C1" s="55" t="s">
        <v>22</v>
      </c>
      <c r="D1" s="75" t="s">
        <v>15</v>
      </c>
      <c r="E1" s="75" t="s">
        <v>13</v>
      </c>
      <c r="F1" s="75" t="s">
        <v>14</v>
      </c>
      <c r="G1" s="77" t="s">
        <v>261</v>
      </c>
      <c r="H1" s="97" t="s">
        <v>206</v>
      </c>
      <c r="I1" s="97" t="s">
        <v>207</v>
      </c>
      <c r="J1" s="97" t="s">
        <v>12</v>
      </c>
      <c r="K1" s="98" t="s">
        <v>208</v>
      </c>
      <c r="L1" s="98" t="s">
        <v>209</v>
      </c>
    </row>
    <row r="2" spans="1:12" ht="15" x14ac:dyDescent="0.25">
      <c r="A2" s="91">
        <v>2017</v>
      </c>
      <c r="B2" s="91" t="s">
        <v>0</v>
      </c>
      <c r="C2" s="34" t="s">
        <v>359</v>
      </c>
      <c r="D2" s="39">
        <v>0</v>
      </c>
      <c r="E2" s="34">
        <v>0</v>
      </c>
      <c r="F2" s="39">
        <v>0</v>
      </c>
      <c r="G2" s="88">
        <f>581.89*EXP(8.1333*D2)</f>
        <v>581.89</v>
      </c>
      <c r="H2" s="201">
        <v>0</v>
      </c>
      <c r="I2" s="201">
        <v>0</v>
      </c>
      <c r="J2" s="201">
        <v>0</v>
      </c>
      <c r="K2" s="34">
        <f t="shared" ref="K2:L45" si="0">5/2.2</f>
        <v>2.2727272727272725</v>
      </c>
      <c r="L2" s="34">
        <f t="shared" si="0"/>
        <v>2.2727272727272725</v>
      </c>
    </row>
    <row r="3" spans="1:12" ht="15" x14ac:dyDescent="0.25">
      <c r="A3" s="91">
        <v>2021</v>
      </c>
      <c r="B3" s="91" t="s">
        <v>0</v>
      </c>
      <c r="C3" s="34" t="s">
        <v>359</v>
      </c>
      <c r="D3" s="39">
        <v>0</v>
      </c>
      <c r="E3" s="34">
        <v>0</v>
      </c>
      <c r="F3" s="39">
        <v>0</v>
      </c>
      <c r="G3" s="88">
        <f>581.89*EXP(8.1333*D3)</f>
        <v>581.89</v>
      </c>
      <c r="H3" s="201">
        <v>0</v>
      </c>
      <c r="I3" s="202">
        <v>0</v>
      </c>
      <c r="J3" s="201">
        <v>0</v>
      </c>
      <c r="K3" s="34">
        <f t="shared" si="0"/>
        <v>2.2727272727272725</v>
      </c>
      <c r="L3" s="34">
        <f t="shared" si="0"/>
        <v>2.2727272727272725</v>
      </c>
    </row>
    <row r="4" spans="1:12" ht="15" x14ac:dyDescent="0.25">
      <c r="A4" s="91">
        <v>2021</v>
      </c>
      <c r="B4" s="91" t="s">
        <v>1</v>
      </c>
      <c r="C4" s="34" t="s">
        <v>359</v>
      </c>
      <c r="D4" s="39">
        <v>0.2</v>
      </c>
      <c r="E4" s="34">
        <v>0.09</v>
      </c>
      <c r="F4" s="39">
        <v>0</v>
      </c>
      <c r="G4" s="88">
        <f>565.5*EXP(6.0628*D4)</f>
        <v>1901.2565630933843</v>
      </c>
      <c r="H4" s="201">
        <v>1.04E-2</v>
      </c>
      <c r="I4" s="201">
        <v>1.04E-2</v>
      </c>
      <c r="J4" s="201">
        <v>1.04E-2</v>
      </c>
      <c r="K4" s="34">
        <f t="shared" si="0"/>
        <v>2.2727272727272725</v>
      </c>
      <c r="L4" s="34">
        <f t="shared" si="0"/>
        <v>2.2727272727272725</v>
      </c>
    </row>
    <row r="5" spans="1:12" ht="15" x14ac:dyDescent="0.25">
      <c r="A5" s="91">
        <v>2025</v>
      </c>
      <c r="B5" s="91" t="s">
        <v>0</v>
      </c>
      <c r="C5" s="34" t="s">
        <v>359</v>
      </c>
      <c r="D5" s="68">
        <f>D3+(D$9-D$3)*0.334</f>
        <v>9.018000000000001E-2</v>
      </c>
      <c r="E5" s="68">
        <f t="shared" ref="E5:G5" si="1">E3+(E$9-E$3)*0.334</f>
        <v>6.012E-2</v>
      </c>
      <c r="F5" s="68">
        <f t="shared" si="1"/>
        <v>6.6800000000000012E-2</v>
      </c>
      <c r="G5" s="68">
        <f t="shared" si="1"/>
        <v>2134.543684527328</v>
      </c>
      <c r="H5" s="202">
        <v>9.300000000000001E-3</v>
      </c>
      <c r="I5" s="201">
        <v>9.300000000000001E-3</v>
      </c>
      <c r="J5" s="202">
        <v>9.300000000000001E-3</v>
      </c>
      <c r="K5" s="34">
        <f t="shared" si="0"/>
        <v>2.2727272727272725</v>
      </c>
      <c r="L5" s="34">
        <f t="shared" si="0"/>
        <v>2.2727272727272725</v>
      </c>
    </row>
    <row r="6" spans="1:12" ht="15" x14ac:dyDescent="0.25">
      <c r="A6" s="91">
        <v>2025</v>
      </c>
      <c r="B6" s="91" t="s">
        <v>1</v>
      </c>
      <c r="C6" s="34" t="s">
        <v>359</v>
      </c>
      <c r="D6" s="68">
        <f>D4+(D$10-D$4)*0.334</f>
        <v>0.26680000000000004</v>
      </c>
      <c r="E6" s="68">
        <f t="shared" ref="E6:G6" si="2">E4+(E$10-E$4)*0.334</f>
        <v>0.14344000000000001</v>
      </c>
      <c r="F6" s="68">
        <f t="shared" si="2"/>
        <v>0.12525</v>
      </c>
      <c r="G6" s="68">
        <f t="shared" si="2"/>
        <v>3401.2242401584663</v>
      </c>
      <c r="H6" s="202">
        <v>1.3899999999999999E-2</v>
      </c>
      <c r="I6" s="201">
        <v>1.3899999999999999E-2</v>
      </c>
      <c r="J6" s="202">
        <v>1.3899999999999999E-2</v>
      </c>
      <c r="K6" s="34">
        <f t="shared" si="0"/>
        <v>2.2727272727272725</v>
      </c>
      <c r="L6" s="34">
        <f t="shared" si="0"/>
        <v>2.2727272727272725</v>
      </c>
    </row>
    <row r="7" spans="1:12" ht="15" x14ac:dyDescent="0.25">
      <c r="A7" s="91">
        <v>2030</v>
      </c>
      <c r="B7" s="91" t="s">
        <v>0</v>
      </c>
      <c r="C7" s="34" t="s">
        <v>359</v>
      </c>
      <c r="D7" s="68">
        <f>D5+(D$9-D$3)*0.334</f>
        <v>0.18036000000000002</v>
      </c>
      <c r="E7" s="68">
        <f t="shared" ref="E7:G7" si="3">E5+(E$9-E$3)*0.334</f>
        <v>0.12024</v>
      </c>
      <c r="F7" s="68">
        <f t="shared" si="3"/>
        <v>0.13360000000000002</v>
      </c>
      <c r="G7" s="68">
        <f t="shared" si="3"/>
        <v>3687.1973690546556</v>
      </c>
      <c r="H7" s="202">
        <v>1.9699999999999999E-2</v>
      </c>
      <c r="I7" s="201">
        <v>1.9699999999999999E-2</v>
      </c>
      <c r="J7" s="202">
        <v>1.9699999999999999E-2</v>
      </c>
      <c r="K7" s="34">
        <f t="shared" si="0"/>
        <v>2.2727272727272725</v>
      </c>
      <c r="L7" s="34">
        <f t="shared" si="0"/>
        <v>2.2727272727272725</v>
      </c>
    </row>
    <row r="8" spans="1:12" ht="15" x14ac:dyDescent="0.25">
      <c r="A8" s="91">
        <v>2030</v>
      </c>
      <c r="B8" s="91" t="s">
        <v>1</v>
      </c>
      <c r="C8" s="34" t="s">
        <v>359</v>
      </c>
      <c r="D8" s="68">
        <f>D6+(D$10-D$4)*0.334</f>
        <v>0.33360000000000006</v>
      </c>
      <c r="E8" s="68">
        <f t="shared" ref="E8:G8" si="4">E6+(E$10-E$4)*0.334</f>
        <v>0.19688</v>
      </c>
      <c r="F8" s="68">
        <f t="shared" si="4"/>
        <v>0.2505</v>
      </c>
      <c r="G8" s="68">
        <f t="shared" si="4"/>
        <v>4901.1919172235484</v>
      </c>
      <c r="H8" s="202">
        <v>0.12990000000000002</v>
      </c>
      <c r="I8" s="201">
        <v>0.12990000000000002</v>
      </c>
      <c r="J8" s="202">
        <v>0.12990000000000002</v>
      </c>
      <c r="K8" s="34">
        <f t="shared" si="0"/>
        <v>2.2727272727272725</v>
      </c>
      <c r="L8" s="34">
        <f t="shared" si="0"/>
        <v>2.2727272727272725</v>
      </c>
    </row>
    <row r="9" spans="1:12" ht="15" x14ac:dyDescent="0.25">
      <c r="A9" s="91">
        <v>2035</v>
      </c>
      <c r="B9" s="91" t="s">
        <v>0</v>
      </c>
      <c r="C9" s="34" t="s">
        <v>359</v>
      </c>
      <c r="D9" s="39">
        <v>0.27</v>
      </c>
      <c r="E9" s="34">
        <v>0.18</v>
      </c>
      <c r="F9" s="39">
        <v>0.2</v>
      </c>
      <c r="G9" s="88">
        <f>581.89*EXP(8.1333*D9)</f>
        <v>5230.5537261297241</v>
      </c>
      <c r="H9" s="201">
        <v>1.9699999999999999E-2</v>
      </c>
      <c r="I9" s="201">
        <v>1.9699999999999999E-2</v>
      </c>
      <c r="J9" s="201">
        <v>1.9699999999999999E-2</v>
      </c>
      <c r="K9" s="34">
        <f t="shared" si="0"/>
        <v>2.2727272727272725</v>
      </c>
      <c r="L9" s="34">
        <f t="shared" si="0"/>
        <v>2.2727272727272725</v>
      </c>
    </row>
    <row r="10" spans="1:12" ht="15" x14ac:dyDescent="0.25">
      <c r="A10" s="91">
        <v>2035</v>
      </c>
      <c r="B10" s="91" t="s">
        <v>1</v>
      </c>
      <c r="C10" s="34" t="s">
        <v>359</v>
      </c>
      <c r="D10" s="34">
        <v>0.4</v>
      </c>
      <c r="E10" s="34">
        <v>0.25</v>
      </c>
      <c r="F10" s="34">
        <v>0.375</v>
      </c>
      <c r="G10" s="88">
        <f>565.5*EXP(6.0628*D10)</f>
        <v>6392.1777519109946</v>
      </c>
      <c r="H10" s="201">
        <v>0.15310000000000001</v>
      </c>
      <c r="I10" s="201">
        <v>0.15310000000000001</v>
      </c>
      <c r="J10" s="201">
        <v>0.15310000000000001</v>
      </c>
      <c r="K10" s="34">
        <f t="shared" si="0"/>
        <v>2.2727272727272725</v>
      </c>
      <c r="L10" s="34">
        <f t="shared" si="0"/>
        <v>2.2727272727272725</v>
      </c>
    </row>
    <row r="11" spans="1:12" ht="15" x14ac:dyDescent="0.25">
      <c r="A11" s="91">
        <v>2050</v>
      </c>
      <c r="B11" s="91" t="s">
        <v>0</v>
      </c>
      <c r="C11" s="34" t="s">
        <v>359</v>
      </c>
      <c r="D11" s="34">
        <v>0.33</v>
      </c>
      <c r="E11" s="34">
        <v>0.26</v>
      </c>
      <c r="F11" s="34">
        <v>0.3</v>
      </c>
      <c r="G11" s="88">
        <f>581.89*EXP(8.1333*D11)</f>
        <v>8520.8418738929595</v>
      </c>
      <c r="H11" s="201">
        <v>2.5499999999999998E-2</v>
      </c>
      <c r="I11" s="201">
        <v>2.5499999999999998E-2</v>
      </c>
      <c r="J11" s="201">
        <v>2.5499999999999998E-2</v>
      </c>
      <c r="K11" s="34">
        <f t="shared" si="0"/>
        <v>2.2727272727272725</v>
      </c>
      <c r="L11" s="34">
        <f t="shared" si="0"/>
        <v>2.2727272727272725</v>
      </c>
    </row>
    <row r="12" spans="1:12" thickBot="1" x14ac:dyDescent="0.3">
      <c r="A12" s="92">
        <v>2050</v>
      </c>
      <c r="B12" s="92" t="s">
        <v>1</v>
      </c>
      <c r="C12" s="89" t="s">
        <v>359</v>
      </c>
      <c r="D12" s="89">
        <v>0.46</v>
      </c>
      <c r="E12" s="89">
        <v>0.32</v>
      </c>
      <c r="F12" s="89">
        <v>0.5</v>
      </c>
      <c r="G12" s="90">
        <f>565.5*EXP(6.0628*D12)</f>
        <v>9196.6842968126912</v>
      </c>
      <c r="H12" s="203">
        <v>0.21110000000000001</v>
      </c>
      <c r="I12" s="203">
        <v>0.21110000000000001</v>
      </c>
      <c r="J12" s="203">
        <v>0.21110000000000001</v>
      </c>
      <c r="K12" s="89">
        <f t="shared" si="0"/>
        <v>2.2727272727272725</v>
      </c>
      <c r="L12" s="34">
        <f t="shared" si="0"/>
        <v>2.2727272727272725</v>
      </c>
    </row>
    <row r="13" spans="1:12" ht="15" x14ac:dyDescent="0.25">
      <c r="A13" s="91">
        <v>2017</v>
      </c>
      <c r="B13" s="91" t="s">
        <v>0</v>
      </c>
      <c r="C13" s="34" t="s">
        <v>360</v>
      </c>
      <c r="D13" s="39">
        <v>0</v>
      </c>
      <c r="E13" s="34">
        <v>0</v>
      </c>
      <c r="F13" s="39">
        <v>0</v>
      </c>
      <c r="G13" s="88">
        <f>581.89*EXP(8.1333*D13)</f>
        <v>581.89</v>
      </c>
      <c r="H13" s="201">
        <v>0</v>
      </c>
      <c r="I13" s="201">
        <v>0</v>
      </c>
      <c r="J13" s="201">
        <v>0</v>
      </c>
      <c r="K13" s="34">
        <f t="shared" si="0"/>
        <v>2.2727272727272725</v>
      </c>
      <c r="L13" s="34">
        <f t="shared" si="0"/>
        <v>2.2727272727272725</v>
      </c>
    </row>
    <row r="14" spans="1:12" ht="15" x14ac:dyDescent="0.25">
      <c r="A14" s="91">
        <v>2021</v>
      </c>
      <c r="B14" s="91" t="s">
        <v>0</v>
      </c>
      <c r="C14" s="34" t="s">
        <v>360</v>
      </c>
      <c r="D14" s="39">
        <v>0</v>
      </c>
      <c r="E14" s="34">
        <v>0</v>
      </c>
      <c r="F14" s="39">
        <v>0</v>
      </c>
      <c r="G14" s="88">
        <f>581.89*EXP(8.1333*D14)</f>
        <v>581.89</v>
      </c>
      <c r="H14" s="201">
        <v>0</v>
      </c>
      <c r="I14" s="202">
        <v>0</v>
      </c>
      <c r="J14" s="201">
        <v>0</v>
      </c>
      <c r="K14" s="34">
        <f t="shared" si="0"/>
        <v>2.2727272727272725</v>
      </c>
      <c r="L14" s="34">
        <f t="shared" si="0"/>
        <v>2.2727272727272725</v>
      </c>
    </row>
    <row r="15" spans="1:12" ht="15" x14ac:dyDescent="0.25">
      <c r="A15" s="91">
        <v>2021</v>
      </c>
      <c r="B15" s="91" t="s">
        <v>1</v>
      </c>
      <c r="C15" s="34" t="s">
        <v>360</v>
      </c>
      <c r="D15" s="39">
        <v>0.2</v>
      </c>
      <c r="E15" s="34">
        <v>0.09</v>
      </c>
      <c r="F15" s="39">
        <v>0</v>
      </c>
      <c r="G15" s="88">
        <f>565.5*EXP(6.0628*D15)</f>
        <v>1901.2565630933843</v>
      </c>
      <c r="H15" s="201">
        <v>1.04E-2</v>
      </c>
      <c r="I15" s="201">
        <v>1.04E-2</v>
      </c>
      <c r="J15" s="201">
        <v>1.04E-2</v>
      </c>
      <c r="K15" s="34">
        <f t="shared" si="0"/>
        <v>2.2727272727272725</v>
      </c>
      <c r="L15" s="34">
        <f t="shared" si="0"/>
        <v>2.2727272727272725</v>
      </c>
    </row>
    <row r="16" spans="1:12" ht="15" x14ac:dyDescent="0.25">
      <c r="A16" s="91">
        <v>2025</v>
      </c>
      <c r="B16" s="91" t="s">
        <v>0</v>
      </c>
      <c r="C16" s="34" t="s">
        <v>360</v>
      </c>
      <c r="D16" s="68">
        <f>D14+(D$9-D$3)*0.334</f>
        <v>9.018000000000001E-2</v>
      </c>
      <c r="E16" s="68">
        <f t="shared" ref="E16:G16" si="5">E14+(E$9-E$3)*0.334</f>
        <v>6.012E-2</v>
      </c>
      <c r="F16" s="68">
        <f t="shared" si="5"/>
        <v>6.6800000000000012E-2</v>
      </c>
      <c r="G16" s="68">
        <f t="shared" si="5"/>
        <v>2134.543684527328</v>
      </c>
      <c r="H16" s="202">
        <v>9.300000000000001E-3</v>
      </c>
      <c r="I16" s="201">
        <v>9.300000000000001E-3</v>
      </c>
      <c r="J16" s="202">
        <v>9.300000000000001E-3</v>
      </c>
      <c r="K16" s="34">
        <f t="shared" si="0"/>
        <v>2.2727272727272725</v>
      </c>
      <c r="L16" s="34">
        <f t="shared" si="0"/>
        <v>2.2727272727272725</v>
      </c>
    </row>
    <row r="17" spans="1:12" ht="15" x14ac:dyDescent="0.25">
      <c r="A17" s="91">
        <v>2025</v>
      </c>
      <c r="B17" s="91" t="s">
        <v>1</v>
      </c>
      <c r="C17" s="34" t="s">
        <v>360</v>
      </c>
      <c r="D17" s="68">
        <f>D15+(D$10-D$4)*0.334</f>
        <v>0.26680000000000004</v>
      </c>
      <c r="E17" s="68">
        <f t="shared" ref="E17:G17" si="6">E15+(E$10-E$4)*0.334</f>
        <v>0.14344000000000001</v>
      </c>
      <c r="F17" s="68">
        <f t="shared" si="6"/>
        <v>0.12525</v>
      </c>
      <c r="G17" s="68">
        <f t="shared" si="6"/>
        <v>3401.2242401584663</v>
      </c>
      <c r="H17" s="202">
        <v>1.3899999999999999E-2</v>
      </c>
      <c r="I17" s="201">
        <v>1.3899999999999999E-2</v>
      </c>
      <c r="J17" s="202">
        <v>1.3899999999999999E-2</v>
      </c>
      <c r="K17" s="34">
        <f t="shared" si="0"/>
        <v>2.2727272727272725</v>
      </c>
      <c r="L17" s="34">
        <f t="shared" si="0"/>
        <v>2.2727272727272725</v>
      </c>
    </row>
    <row r="18" spans="1:12" ht="15" x14ac:dyDescent="0.25">
      <c r="A18" s="91">
        <v>2030</v>
      </c>
      <c r="B18" s="91" t="s">
        <v>0</v>
      </c>
      <c r="C18" s="34" t="s">
        <v>360</v>
      </c>
      <c r="D18" s="68">
        <f>D16+(D$9-D$3)*0.334</f>
        <v>0.18036000000000002</v>
      </c>
      <c r="E18" s="68">
        <f t="shared" ref="E18:G18" si="7">E16+(E$9-E$3)*0.334</f>
        <v>0.12024</v>
      </c>
      <c r="F18" s="68">
        <f t="shared" si="7"/>
        <v>0.13360000000000002</v>
      </c>
      <c r="G18" s="68">
        <f t="shared" si="7"/>
        <v>3687.1973690546556</v>
      </c>
      <c r="H18" s="202">
        <v>1.9699999999999999E-2</v>
      </c>
      <c r="I18" s="201">
        <v>1.9699999999999999E-2</v>
      </c>
      <c r="J18" s="202">
        <v>1.9699999999999999E-2</v>
      </c>
      <c r="K18" s="34">
        <f t="shared" si="0"/>
        <v>2.2727272727272725</v>
      </c>
      <c r="L18" s="34">
        <f t="shared" si="0"/>
        <v>2.2727272727272725</v>
      </c>
    </row>
    <row r="19" spans="1:12" ht="15" x14ac:dyDescent="0.25">
      <c r="A19" s="91">
        <v>2030</v>
      </c>
      <c r="B19" s="91" t="s">
        <v>1</v>
      </c>
      <c r="C19" s="34" t="s">
        <v>360</v>
      </c>
      <c r="D19" s="68">
        <f>D17+(D$10-D$4)*0.334</f>
        <v>0.33360000000000006</v>
      </c>
      <c r="E19" s="68">
        <f t="shared" ref="E19:G19" si="8">E17+(E$10-E$4)*0.334</f>
        <v>0.19688</v>
      </c>
      <c r="F19" s="68">
        <f t="shared" si="8"/>
        <v>0.2505</v>
      </c>
      <c r="G19" s="68">
        <f t="shared" si="8"/>
        <v>4901.1919172235484</v>
      </c>
      <c r="H19" s="202">
        <v>0.12990000000000002</v>
      </c>
      <c r="I19" s="201">
        <v>0.12990000000000002</v>
      </c>
      <c r="J19" s="202">
        <v>0.12990000000000002</v>
      </c>
      <c r="K19" s="34">
        <f t="shared" si="0"/>
        <v>2.2727272727272725</v>
      </c>
      <c r="L19" s="34">
        <f t="shared" si="0"/>
        <v>2.2727272727272725</v>
      </c>
    </row>
    <row r="20" spans="1:12" ht="15" x14ac:dyDescent="0.25">
      <c r="A20" s="91">
        <v>2035</v>
      </c>
      <c r="B20" s="91" t="s">
        <v>0</v>
      </c>
      <c r="C20" s="34" t="s">
        <v>360</v>
      </c>
      <c r="D20" s="39">
        <v>0.27</v>
      </c>
      <c r="E20" s="34">
        <v>0.18</v>
      </c>
      <c r="F20" s="39">
        <v>0.2</v>
      </c>
      <c r="G20" s="88">
        <f>581.89*EXP(8.1333*D20)</f>
        <v>5230.5537261297241</v>
      </c>
      <c r="H20" s="201">
        <v>1.9699999999999999E-2</v>
      </c>
      <c r="I20" s="201">
        <v>1.9699999999999999E-2</v>
      </c>
      <c r="J20" s="201">
        <v>1.9699999999999999E-2</v>
      </c>
      <c r="K20" s="34">
        <f t="shared" si="0"/>
        <v>2.2727272727272725</v>
      </c>
      <c r="L20" s="34">
        <f t="shared" si="0"/>
        <v>2.2727272727272725</v>
      </c>
    </row>
    <row r="21" spans="1:12" ht="15" x14ac:dyDescent="0.25">
      <c r="A21" s="91">
        <v>2035</v>
      </c>
      <c r="B21" s="91" t="s">
        <v>1</v>
      </c>
      <c r="C21" s="34" t="s">
        <v>360</v>
      </c>
      <c r="D21" s="34">
        <v>0.4</v>
      </c>
      <c r="E21" s="34">
        <v>0.25</v>
      </c>
      <c r="F21" s="34">
        <v>0.375</v>
      </c>
      <c r="G21" s="88">
        <f>565.5*EXP(6.0628*D21)</f>
        <v>6392.1777519109946</v>
      </c>
      <c r="H21" s="201">
        <v>0.15310000000000001</v>
      </c>
      <c r="I21" s="201">
        <v>0.15310000000000001</v>
      </c>
      <c r="J21" s="201">
        <v>0.15310000000000001</v>
      </c>
      <c r="K21" s="34">
        <f t="shared" si="0"/>
        <v>2.2727272727272725</v>
      </c>
      <c r="L21" s="34">
        <f t="shared" si="0"/>
        <v>2.2727272727272725</v>
      </c>
    </row>
    <row r="22" spans="1:12" ht="15" x14ac:dyDescent="0.25">
      <c r="A22" s="91">
        <v>2050</v>
      </c>
      <c r="B22" s="91" t="s">
        <v>0</v>
      </c>
      <c r="C22" s="34" t="s">
        <v>360</v>
      </c>
      <c r="D22" s="34">
        <v>0.33</v>
      </c>
      <c r="E22" s="34">
        <v>0.26</v>
      </c>
      <c r="F22" s="34">
        <v>0.3</v>
      </c>
      <c r="G22" s="88">
        <f>581.89*EXP(8.1333*D22)</f>
        <v>8520.8418738929595</v>
      </c>
      <c r="H22" s="201">
        <v>2.5499999999999998E-2</v>
      </c>
      <c r="I22" s="201">
        <v>2.5499999999999998E-2</v>
      </c>
      <c r="J22" s="201">
        <v>2.5499999999999998E-2</v>
      </c>
      <c r="K22" s="34">
        <f t="shared" si="0"/>
        <v>2.2727272727272725</v>
      </c>
      <c r="L22" s="34">
        <f t="shared" si="0"/>
        <v>2.2727272727272725</v>
      </c>
    </row>
    <row r="23" spans="1:12" thickBot="1" x14ac:dyDescent="0.3">
      <c r="A23" s="92">
        <v>2050</v>
      </c>
      <c r="B23" s="92" t="s">
        <v>1</v>
      </c>
      <c r="C23" s="89" t="s">
        <v>360</v>
      </c>
      <c r="D23" s="89">
        <v>0.46</v>
      </c>
      <c r="E23" s="89">
        <v>0.32</v>
      </c>
      <c r="F23" s="89">
        <v>0.5</v>
      </c>
      <c r="G23" s="90">
        <f>565.5*EXP(6.0628*D23)</f>
        <v>9196.6842968126912</v>
      </c>
      <c r="H23" s="203">
        <v>0.21110000000000001</v>
      </c>
      <c r="I23" s="203">
        <v>0.21110000000000001</v>
      </c>
      <c r="J23" s="203">
        <v>0.21110000000000001</v>
      </c>
      <c r="K23" s="89">
        <f t="shared" si="0"/>
        <v>2.2727272727272725</v>
      </c>
      <c r="L23" s="34">
        <f t="shared" si="0"/>
        <v>2.2727272727272725</v>
      </c>
    </row>
    <row r="24" spans="1:12" ht="15" x14ac:dyDescent="0.25">
      <c r="A24" s="93">
        <v>2017</v>
      </c>
      <c r="B24" s="93" t="s">
        <v>0</v>
      </c>
      <c r="C24" s="39" t="s">
        <v>362</v>
      </c>
      <c r="D24" s="39">
        <v>0</v>
      </c>
      <c r="E24" s="39">
        <v>0</v>
      </c>
      <c r="F24" s="39">
        <v>0</v>
      </c>
      <c r="G24" s="71">
        <f>548.52*EXP(6.4956*D24)</f>
        <v>548.52</v>
      </c>
      <c r="H24" s="201">
        <v>0</v>
      </c>
      <c r="I24" s="201">
        <v>0</v>
      </c>
      <c r="J24" s="201">
        <v>0</v>
      </c>
      <c r="K24" s="34">
        <f t="shared" si="0"/>
        <v>2.2727272727272725</v>
      </c>
      <c r="L24" s="34">
        <f t="shared" si="0"/>
        <v>2.2727272727272725</v>
      </c>
    </row>
    <row r="25" spans="1:12" ht="15" x14ac:dyDescent="0.25">
      <c r="A25" s="91">
        <v>2021</v>
      </c>
      <c r="B25" s="91" t="s">
        <v>0</v>
      </c>
      <c r="C25" s="34" t="s">
        <v>362</v>
      </c>
      <c r="D25" s="39">
        <v>0</v>
      </c>
      <c r="E25" s="34">
        <v>0</v>
      </c>
      <c r="F25" s="39">
        <v>0</v>
      </c>
      <c r="G25" s="88">
        <f>548.52*EXP(6.4956*D25)</f>
        <v>548.52</v>
      </c>
      <c r="H25" s="201">
        <v>0</v>
      </c>
      <c r="I25" s="202">
        <v>0</v>
      </c>
      <c r="J25" s="201">
        <v>0</v>
      </c>
      <c r="K25" s="34">
        <f t="shared" si="0"/>
        <v>2.2727272727272725</v>
      </c>
      <c r="L25" s="34">
        <f t="shared" si="0"/>
        <v>2.2727272727272725</v>
      </c>
    </row>
    <row r="26" spans="1:12" ht="15" x14ac:dyDescent="0.25">
      <c r="A26" s="93">
        <v>2021</v>
      </c>
      <c r="B26" s="93" t="s">
        <v>1</v>
      </c>
      <c r="C26" s="39" t="s">
        <v>362</v>
      </c>
      <c r="D26" s="39">
        <v>0.2</v>
      </c>
      <c r="E26" s="39">
        <v>0.04</v>
      </c>
      <c r="F26" s="39">
        <v>0</v>
      </c>
      <c r="G26" s="71">
        <f>423.12*EXP(6.5717*D26)</f>
        <v>1574.9768090800737</v>
      </c>
      <c r="H26" s="201">
        <v>1.04E-2</v>
      </c>
      <c r="I26" s="201">
        <v>1.04E-2</v>
      </c>
      <c r="J26" s="201">
        <v>1.04E-2</v>
      </c>
      <c r="K26" s="34">
        <f t="shared" si="0"/>
        <v>2.2727272727272725</v>
      </c>
      <c r="L26" s="34">
        <f t="shared" si="0"/>
        <v>2.2727272727272725</v>
      </c>
    </row>
    <row r="27" spans="1:12" ht="15" x14ac:dyDescent="0.25">
      <c r="A27" s="91">
        <v>2025</v>
      </c>
      <c r="B27" s="91" t="s">
        <v>0</v>
      </c>
      <c r="C27" s="34" t="s">
        <v>362</v>
      </c>
      <c r="D27" s="68">
        <f>D25+(D$31-D$25)*0.334</f>
        <v>8.0159999999999995E-2</v>
      </c>
      <c r="E27" s="68">
        <f t="shared" ref="E27:G27" si="9">E25+(E$31-E$25)*0.334</f>
        <v>2.6720000000000001E-2</v>
      </c>
      <c r="F27" s="68">
        <f t="shared" si="9"/>
        <v>6.6800000000000012E-2</v>
      </c>
      <c r="G27" s="68">
        <f t="shared" si="9"/>
        <v>1236.2372218598466</v>
      </c>
      <c r="H27" s="202">
        <v>9.300000000000001E-3</v>
      </c>
      <c r="I27" s="201">
        <v>9.300000000000001E-3</v>
      </c>
      <c r="J27" s="202">
        <v>9.300000000000001E-3</v>
      </c>
      <c r="K27" s="34">
        <f t="shared" si="0"/>
        <v>2.2727272727272725</v>
      </c>
      <c r="L27" s="34">
        <f t="shared" si="0"/>
        <v>2.2727272727272725</v>
      </c>
    </row>
    <row r="28" spans="1:12" ht="15" x14ac:dyDescent="0.25">
      <c r="A28" s="91">
        <v>2025</v>
      </c>
      <c r="B28" s="91" t="s">
        <v>1</v>
      </c>
      <c r="C28" s="34" t="s">
        <v>362</v>
      </c>
      <c r="D28" s="68">
        <f>D26+(D$32-D$26)*0.334</f>
        <v>0.24342000000000003</v>
      </c>
      <c r="E28" s="68">
        <f t="shared" ref="E28:G28" si="10">E26+(E$32-E$26)*0.334</f>
        <v>8.5089999999999999E-2</v>
      </c>
      <c r="F28" s="68">
        <f t="shared" si="10"/>
        <v>0.12525</v>
      </c>
      <c r="G28" s="68">
        <f t="shared" si="10"/>
        <v>2285.0172493935738</v>
      </c>
      <c r="H28" s="202">
        <v>1.3899999999999999E-2</v>
      </c>
      <c r="I28" s="201">
        <v>1.3899999999999999E-2</v>
      </c>
      <c r="J28" s="202">
        <v>1.3899999999999999E-2</v>
      </c>
      <c r="K28" s="34">
        <f t="shared" si="0"/>
        <v>2.2727272727272725</v>
      </c>
      <c r="L28" s="34">
        <f t="shared" si="0"/>
        <v>2.2727272727272725</v>
      </c>
    </row>
    <row r="29" spans="1:12" ht="15" x14ac:dyDescent="0.25">
      <c r="A29" s="91">
        <v>2030</v>
      </c>
      <c r="B29" s="91" t="s">
        <v>0</v>
      </c>
      <c r="C29" s="34" t="s">
        <v>362</v>
      </c>
      <c r="D29" s="68">
        <f>D27+(D$31-D$25)*0.334</f>
        <v>0.16031999999999999</v>
      </c>
      <c r="E29" s="68">
        <f t="shared" ref="E29:G29" si="11">E27+(E$31-E$25)*0.334</f>
        <v>5.3440000000000001E-2</v>
      </c>
      <c r="F29" s="68">
        <f t="shared" si="11"/>
        <v>0.13360000000000002</v>
      </c>
      <c r="G29" s="68">
        <f t="shared" si="11"/>
        <v>1923.9544437196932</v>
      </c>
      <c r="H29" s="202">
        <v>1.9699999999999999E-2</v>
      </c>
      <c r="I29" s="201">
        <v>1.9699999999999999E-2</v>
      </c>
      <c r="J29" s="202">
        <v>1.9699999999999999E-2</v>
      </c>
      <c r="K29" s="34">
        <f t="shared" si="0"/>
        <v>2.2727272727272725</v>
      </c>
      <c r="L29" s="34">
        <f t="shared" si="0"/>
        <v>2.2727272727272725</v>
      </c>
    </row>
    <row r="30" spans="1:12" ht="15" x14ac:dyDescent="0.25">
      <c r="A30" s="91">
        <v>2030</v>
      </c>
      <c r="B30" s="91" t="s">
        <v>1</v>
      </c>
      <c r="C30" s="34" t="s">
        <v>362</v>
      </c>
      <c r="D30" s="68">
        <f>D28+(D$32-D$26)*0.334</f>
        <v>0.28684000000000004</v>
      </c>
      <c r="E30" s="68">
        <f t="shared" ref="E30:G30" si="12">E28+(E$32-E$26)*0.334</f>
        <v>0.13017999999999999</v>
      </c>
      <c r="F30" s="68">
        <f t="shared" si="12"/>
        <v>0.2505</v>
      </c>
      <c r="G30" s="68">
        <f t="shared" si="12"/>
        <v>2995.0576897070737</v>
      </c>
      <c r="H30" s="202">
        <v>0.12990000000000002</v>
      </c>
      <c r="I30" s="201">
        <v>0.12990000000000002</v>
      </c>
      <c r="J30" s="202">
        <v>0.12990000000000002</v>
      </c>
      <c r="K30" s="34">
        <f t="shared" si="0"/>
        <v>2.2727272727272725</v>
      </c>
      <c r="L30" s="34">
        <f t="shared" si="0"/>
        <v>2.2727272727272725</v>
      </c>
    </row>
    <row r="31" spans="1:12" ht="15" x14ac:dyDescent="0.25">
      <c r="A31" s="91">
        <v>2035</v>
      </c>
      <c r="B31" s="91" t="s">
        <v>0</v>
      </c>
      <c r="C31" s="34" t="s">
        <v>362</v>
      </c>
      <c r="D31" s="34">
        <v>0.24</v>
      </c>
      <c r="E31" s="34">
        <v>0.08</v>
      </c>
      <c r="F31" s="39">
        <v>0.2</v>
      </c>
      <c r="G31" s="88">
        <f>548.52*EXP(6.4956*D31)</f>
        <v>2607.5535983827745</v>
      </c>
      <c r="H31" s="201">
        <v>1.9699999999999999E-2</v>
      </c>
      <c r="I31" s="201">
        <v>1.9699999999999999E-2</v>
      </c>
      <c r="J31" s="201">
        <v>1.9699999999999999E-2</v>
      </c>
      <c r="K31" s="34">
        <f t="shared" si="0"/>
        <v>2.2727272727272725</v>
      </c>
      <c r="L31" s="34">
        <f t="shared" si="0"/>
        <v>2.2727272727272725</v>
      </c>
    </row>
    <row r="32" spans="1:12" ht="15" x14ac:dyDescent="0.25">
      <c r="A32" s="93">
        <v>2035</v>
      </c>
      <c r="B32" s="93" t="s">
        <v>1</v>
      </c>
      <c r="C32" s="39" t="s">
        <v>362</v>
      </c>
      <c r="D32" s="39">
        <v>0.33</v>
      </c>
      <c r="E32" s="39">
        <v>0.17499999999999999</v>
      </c>
      <c r="F32" s="34">
        <v>0.375</v>
      </c>
      <c r="G32" s="71">
        <f>423.12*EXP(6.5717*D32)</f>
        <v>3700.8463908570197</v>
      </c>
      <c r="H32" s="201">
        <v>0.15310000000000001</v>
      </c>
      <c r="I32" s="201">
        <v>0.15310000000000001</v>
      </c>
      <c r="J32" s="201">
        <v>0.15310000000000001</v>
      </c>
      <c r="K32" s="34">
        <f t="shared" si="0"/>
        <v>2.2727272727272725</v>
      </c>
      <c r="L32" s="34">
        <f t="shared" si="0"/>
        <v>2.2727272727272725</v>
      </c>
    </row>
    <row r="33" spans="1:12" ht="15" x14ac:dyDescent="0.25">
      <c r="A33" s="91">
        <v>2050</v>
      </c>
      <c r="B33" s="91" t="s">
        <v>0</v>
      </c>
      <c r="C33" s="34" t="s">
        <v>362</v>
      </c>
      <c r="D33" s="34">
        <v>0.3</v>
      </c>
      <c r="E33" s="34">
        <v>0.15</v>
      </c>
      <c r="F33" s="34">
        <v>0.3</v>
      </c>
      <c r="G33" s="88">
        <f>548.52*EXP(6.4956*D33)</f>
        <v>3850.2899730913218</v>
      </c>
      <c r="H33" s="201">
        <v>2.5499999999999998E-2</v>
      </c>
      <c r="I33" s="201">
        <v>2.5499999999999998E-2</v>
      </c>
      <c r="J33" s="201">
        <v>2.5499999999999998E-2</v>
      </c>
      <c r="K33" s="34">
        <f t="shared" si="0"/>
        <v>2.2727272727272725</v>
      </c>
      <c r="L33" s="34">
        <f t="shared" si="0"/>
        <v>2.2727272727272725</v>
      </c>
    </row>
    <row r="34" spans="1:12" thickBot="1" x14ac:dyDescent="0.3">
      <c r="A34" s="92">
        <v>2050</v>
      </c>
      <c r="B34" s="92" t="s">
        <v>1</v>
      </c>
      <c r="C34" s="89" t="s">
        <v>362</v>
      </c>
      <c r="D34" s="89">
        <v>0.35</v>
      </c>
      <c r="E34" s="89">
        <v>0.25</v>
      </c>
      <c r="F34" s="89">
        <v>0.5</v>
      </c>
      <c r="G34" s="90">
        <f>423.12*EXP(6.5717*D34)</f>
        <v>4220.6770255534293</v>
      </c>
      <c r="H34" s="203">
        <v>0.21110000000000001</v>
      </c>
      <c r="I34" s="203">
        <v>0.21110000000000001</v>
      </c>
      <c r="J34" s="203">
        <v>0.21110000000000001</v>
      </c>
      <c r="K34" s="89">
        <f t="shared" si="0"/>
        <v>2.2727272727272725</v>
      </c>
      <c r="L34" s="34">
        <f t="shared" si="0"/>
        <v>2.2727272727272725</v>
      </c>
    </row>
    <row r="35" spans="1:12" ht="15" x14ac:dyDescent="0.25">
      <c r="A35" s="93">
        <v>2017</v>
      </c>
      <c r="B35" s="93" t="s">
        <v>0</v>
      </c>
      <c r="C35" s="39" t="s">
        <v>361</v>
      </c>
      <c r="D35" s="39">
        <v>0</v>
      </c>
      <c r="E35" s="39">
        <v>0</v>
      </c>
      <c r="F35" s="39">
        <v>0</v>
      </c>
      <c r="G35" s="71">
        <f>548.52*EXP(6.4956*D35)</f>
        <v>548.52</v>
      </c>
      <c r="H35" s="201">
        <v>0</v>
      </c>
      <c r="I35" s="201">
        <v>0</v>
      </c>
      <c r="J35" s="201">
        <v>0</v>
      </c>
      <c r="K35" s="34">
        <f t="shared" si="0"/>
        <v>2.2727272727272725</v>
      </c>
      <c r="L35" s="34">
        <f t="shared" si="0"/>
        <v>2.2727272727272725</v>
      </c>
    </row>
    <row r="36" spans="1:12" ht="15" x14ac:dyDescent="0.25">
      <c r="A36" s="91">
        <v>2021</v>
      </c>
      <c r="B36" s="91" t="s">
        <v>0</v>
      </c>
      <c r="C36" s="34" t="s">
        <v>361</v>
      </c>
      <c r="D36" s="39">
        <v>0</v>
      </c>
      <c r="E36" s="34">
        <v>0</v>
      </c>
      <c r="F36" s="39">
        <v>0</v>
      </c>
      <c r="G36" s="88">
        <f>548.52*EXP(6.4956*D36)</f>
        <v>548.52</v>
      </c>
      <c r="H36" s="201">
        <v>0</v>
      </c>
      <c r="I36" s="202">
        <v>0</v>
      </c>
      <c r="J36" s="201">
        <v>0</v>
      </c>
      <c r="K36" s="34">
        <f t="shared" si="0"/>
        <v>2.2727272727272725</v>
      </c>
      <c r="L36" s="34">
        <f t="shared" si="0"/>
        <v>2.2727272727272725</v>
      </c>
    </row>
    <row r="37" spans="1:12" ht="15" x14ac:dyDescent="0.25">
      <c r="A37" s="93">
        <v>2021</v>
      </c>
      <c r="B37" s="93" t="s">
        <v>1</v>
      </c>
      <c r="C37" s="34" t="s">
        <v>361</v>
      </c>
      <c r="D37" s="39">
        <v>0.2</v>
      </c>
      <c r="E37" s="39">
        <v>0.04</v>
      </c>
      <c r="F37" s="39">
        <v>0</v>
      </c>
      <c r="G37" s="71">
        <f>423.12*EXP(6.5717*D37)</f>
        <v>1574.9768090800737</v>
      </c>
      <c r="H37" s="201">
        <v>1.04E-2</v>
      </c>
      <c r="I37" s="201">
        <v>1.04E-2</v>
      </c>
      <c r="J37" s="201">
        <v>1.04E-2</v>
      </c>
      <c r="K37" s="34">
        <f t="shared" si="0"/>
        <v>2.2727272727272725</v>
      </c>
      <c r="L37" s="34">
        <f t="shared" si="0"/>
        <v>2.2727272727272725</v>
      </c>
    </row>
    <row r="38" spans="1:12" ht="15" x14ac:dyDescent="0.25">
      <c r="A38" s="91">
        <v>2025</v>
      </c>
      <c r="B38" s="91" t="s">
        <v>0</v>
      </c>
      <c r="C38" s="34" t="s">
        <v>361</v>
      </c>
      <c r="D38" s="68">
        <f>D36+(D$31-D$25)*0.334</f>
        <v>8.0159999999999995E-2</v>
      </c>
      <c r="E38" s="68">
        <f t="shared" ref="E38:G38" si="13">E36+(E$31-E$25)*0.334</f>
        <v>2.6720000000000001E-2</v>
      </c>
      <c r="F38" s="68">
        <f t="shared" si="13"/>
        <v>6.6800000000000012E-2</v>
      </c>
      <c r="G38" s="68">
        <f t="shared" si="13"/>
        <v>1236.2372218598466</v>
      </c>
      <c r="H38" s="202">
        <v>9.300000000000001E-3</v>
      </c>
      <c r="I38" s="201">
        <v>9.300000000000001E-3</v>
      </c>
      <c r="J38" s="202">
        <v>9.300000000000001E-3</v>
      </c>
      <c r="K38" s="34">
        <f t="shared" si="0"/>
        <v>2.2727272727272725</v>
      </c>
      <c r="L38" s="34">
        <f t="shared" si="0"/>
        <v>2.2727272727272725</v>
      </c>
    </row>
    <row r="39" spans="1:12" ht="15" x14ac:dyDescent="0.25">
      <c r="A39" s="91">
        <v>2025</v>
      </c>
      <c r="B39" s="91" t="s">
        <v>1</v>
      </c>
      <c r="C39" s="34" t="s">
        <v>361</v>
      </c>
      <c r="D39" s="68">
        <f>D37+(D$32-D$26)*0.334</f>
        <v>0.24342000000000003</v>
      </c>
      <c r="E39" s="68">
        <f t="shared" ref="E39:G39" si="14">E37+(E$32-E$26)*0.334</f>
        <v>8.5089999999999999E-2</v>
      </c>
      <c r="F39" s="68">
        <f t="shared" si="14"/>
        <v>0.12525</v>
      </c>
      <c r="G39" s="68">
        <f t="shared" si="14"/>
        <v>2285.0172493935738</v>
      </c>
      <c r="H39" s="202">
        <v>1.3899999999999999E-2</v>
      </c>
      <c r="I39" s="201">
        <v>1.3899999999999999E-2</v>
      </c>
      <c r="J39" s="202">
        <v>1.3899999999999999E-2</v>
      </c>
      <c r="K39" s="34">
        <f t="shared" si="0"/>
        <v>2.2727272727272725</v>
      </c>
      <c r="L39" s="34">
        <f t="shared" si="0"/>
        <v>2.2727272727272725</v>
      </c>
    </row>
    <row r="40" spans="1:12" ht="15" x14ac:dyDescent="0.25">
      <c r="A40" s="91">
        <v>2030</v>
      </c>
      <c r="B40" s="91" t="s">
        <v>0</v>
      </c>
      <c r="C40" s="34" t="s">
        <v>361</v>
      </c>
      <c r="D40" s="68">
        <f>D38+(D$31-D$25)*0.334</f>
        <v>0.16031999999999999</v>
      </c>
      <c r="E40" s="68">
        <f t="shared" ref="E40:G40" si="15">E38+(E$31-E$25)*0.334</f>
        <v>5.3440000000000001E-2</v>
      </c>
      <c r="F40" s="68">
        <f t="shared" si="15"/>
        <v>0.13360000000000002</v>
      </c>
      <c r="G40" s="68">
        <f t="shared" si="15"/>
        <v>1923.9544437196932</v>
      </c>
      <c r="H40" s="202">
        <v>1.9699999999999999E-2</v>
      </c>
      <c r="I40" s="201">
        <v>1.9699999999999999E-2</v>
      </c>
      <c r="J40" s="202">
        <v>1.9699999999999999E-2</v>
      </c>
      <c r="K40" s="34">
        <f t="shared" si="0"/>
        <v>2.2727272727272725</v>
      </c>
      <c r="L40" s="34">
        <f t="shared" si="0"/>
        <v>2.2727272727272725</v>
      </c>
    </row>
    <row r="41" spans="1:12" ht="15" x14ac:dyDescent="0.25">
      <c r="A41" s="91">
        <v>2030</v>
      </c>
      <c r="B41" s="91" t="s">
        <v>1</v>
      </c>
      <c r="C41" s="34" t="s">
        <v>361</v>
      </c>
      <c r="D41" s="68">
        <f>D39+(D$32-D$26)*0.334</f>
        <v>0.28684000000000004</v>
      </c>
      <c r="E41" s="68">
        <f t="shared" ref="E41:G41" si="16">E39+(E$32-E$26)*0.334</f>
        <v>0.13017999999999999</v>
      </c>
      <c r="F41" s="68">
        <f t="shared" si="16"/>
        <v>0.2505</v>
      </c>
      <c r="G41" s="68">
        <f t="shared" si="16"/>
        <v>2995.0576897070737</v>
      </c>
      <c r="H41" s="202">
        <v>0.12990000000000002</v>
      </c>
      <c r="I41" s="201">
        <v>0.12990000000000002</v>
      </c>
      <c r="J41" s="202">
        <v>0.12990000000000002</v>
      </c>
      <c r="K41" s="34">
        <f t="shared" si="0"/>
        <v>2.2727272727272725</v>
      </c>
      <c r="L41" s="34">
        <f t="shared" si="0"/>
        <v>2.2727272727272725</v>
      </c>
    </row>
    <row r="42" spans="1:12" ht="15" x14ac:dyDescent="0.25">
      <c r="A42" s="91">
        <v>2035</v>
      </c>
      <c r="B42" s="91" t="s">
        <v>0</v>
      </c>
      <c r="C42" s="34" t="s">
        <v>361</v>
      </c>
      <c r="D42" s="34">
        <v>0.24</v>
      </c>
      <c r="E42" s="34">
        <v>0.08</v>
      </c>
      <c r="F42" s="39">
        <v>0.2</v>
      </c>
      <c r="G42" s="88">
        <f>548.52*EXP(6.4956*D42)</f>
        <v>2607.5535983827745</v>
      </c>
      <c r="H42" s="201">
        <v>1.9699999999999999E-2</v>
      </c>
      <c r="I42" s="201">
        <v>1.9699999999999999E-2</v>
      </c>
      <c r="J42" s="201">
        <v>1.9699999999999999E-2</v>
      </c>
      <c r="K42" s="34">
        <f t="shared" si="0"/>
        <v>2.2727272727272725</v>
      </c>
      <c r="L42" s="34">
        <f t="shared" si="0"/>
        <v>2.2727272727272725</v>
      </c>
    </row>
    <row r="43" spans="1:12" ht="15" x14ac:dyDescent="0.25">
      <c r="A43" s="93">
        <v>2035</v>
      </c>
      <c r="B43" s="93" t="s">
        <v>1</v>
      </c>
      <c r="C43" s="34" t="s">
        <v>361</v>
      </c>
      <c r="D43" s="39">
        <v>0.33</v>
      </c>
      <c r="E43" s="39">
        <v>0.17499999999999999</v>
      </c>
      <c r="F43" s="34">
        <v>0.375</v>
      </c>
      <c r="G43" s="71">
        <f>423.12*EXP(6.5717*D43)</f>
        <v>3700.8463908570197</v>
      </c>
      <c r="H43" s="201">
        <v>0.15310000000000001</v>
      </c>
      <c r="I43" s="201">
        <v>0.15310000000000001</v>
      </c>
      <c r="J43" s="201">
        <v>0.15310000000000001</v>
      </c>
      <c r="K43" s="34">
        <f t="shared" si="0"/>
        <v>2.2727272727272725</v>
      </c>
      <c r="L43" s="34">
        <f t="shared" si="0"/>
        <v>2.2727272727272725</v>
      </c>
    </row>
    <row r="44" spans="1:12" ht="15" x14ac:dyDescent="0.25">
      <c r="A44" s="91">
        <v>2050</v>
      </c>
      <c r="B44" s="91" t="s">
        <v>0</v>
      </c>
      <c r="C44" s="34" t="s">
        <v>361</v>
      </c>
      <c r="D44" s="34">
        <v>0.3</v>
      </c>
      <c r="E44" s="34">
        <v>0.15</v>
      </c>
      <c r="F44" s="34">
        <v>0.3</v>
      </c>
      <c r="G44" s="88">
        <f>548.52*EXP(6.4956*D44)</f>
        <v>3850.2899730913218</v>
      </c>
      <c r="H44" s="201">
        <v>2.5499999999999998E-2</v>
      </c>
      <c r="I44" s="201">
        <v>2.5499999999999998E-2</v>
      </c>
      <c r="J44" s="201">
        <v>2.5499999999999998E-2</v>
      </c>
      <c r="K44" s="34">
        <f t="shared" si="0"/>
        <v>2.2727272727272725</v>
      </c>
      <c r="L44" s="34">
        <f t="shared" si="0"/>
        <v>2.2727272727272725</v>
      </c>
    </row>
    <row r="45" spans="1:12" thickBot="1" x14ac:dyDescent="0.3">
      <c r="A45" s="92">
        <v>2050</v>
      </c>
      <c r="B45" s="92" t="s">
        <v>1</v>
      </c>
      <c r="C45" s="89" t="s">
        <v>361</v>
      </c>
      <c r="D45" s="89">
        <v>0.35</v>
      </c>
      <c r="E45" s="89">
        <v>0.25</v>
      </c>
      <c r="F45" s="89">
        <v>0.5</v>
      </c>
      <c r="G45" s="90">
        <f>423.12*EXP(6.5717*D45)</f>
        <v>4220.6770255534293</v>
      </c>
      <c r="H45" s="203">
        <v>0.21110000000000001</v>
      </c>
      <c r="I45" s="203">
        <v>0.21110000000000001</v>
      </c>
      <c r="J45" s="203">
        <v>0.21110000000000001</v>
      </c>
      <c r="K45" s="89">
        <f t="shared" si="0"/>
        <v>2.2727272727272725</v>
      </c>
      <c r="L45" s="34">
        <f t="shared" si="0"/>
        <v>2.2727272727272725</v>
      </c>
    </row>
    <row r="46" spans="1:12" x14ac:dyDescent="0.25">
      <c r="D46" s="22"/>
    </row>
    <row r="47" spans="1:12" x14ac:dyDescent="0.25">
      <c r="D47" s="22"/>
    </row>
    <row r="48" spans="1:12" x14ac:dyDescent="0.25">
      <c r="D48" s="22"/>
    </row>
    <row r="49" spans="4:4" x14ac:dyDescent="0.25">
      <c r="D49" s="22"/>
    </row>
    <row r="50" spans="4:4" x14ac:dyDescent="0.25">
      <c r="D50" s="22"/>
    </row>
    <row r="51" spans="4:4" x14ac:dyDescent="0.25">
      <c r="D51" s="22"/>
    </row>
    <row r="52" spans="4:4" x14ac:dyDescent="0.25">
      <c r="D52" s="22"/>
    </row>
    <row r="53" spans="4:4" x14ac:dyDescent="0.25">
      <c r="D53" s="22"/>
    </row>
    <row r="54" spans="4:4" x14ac:dyDescent="0.25">
      <c r="D54" s="22"/>
    </row>
    <row r="55" spans="4:4" x14ac:dyDescent="0.25">
      <c r="D55" s="22"/>
    </row>
    <row r="56" spans="4:4" x14ac:dyDescent="0.25">
      <c r="D56" s="22"/>
    </row>
    <row r="57" spans="4:4" x14ac:dyDescent="0.25">
      <c r="D57" s="22"/>
    </row>
    <row r="58" spans="4:4" x14ac:dyDescent="0.25">
      <c r="D58" s="22"/>
    </row>
    <row r="59" spans="4:4" x14ac:dyDescent="0.25">
      <c r="D59" s="22"/>
    </row>
    <row r="60" spans="4:4" x14ac:dyDescent="0.25">
      <c r="D60" s="22"/>
    </row>
    <row r="61" spans="4:4" x14ac:dyDescent="0.25">
      <c r="D61" s="22"/>
    </row>
    <row r="62" spans="4:4" x14ac:dyDescent="0.25">
      <c r="D62" s="22"/>
    </row>
    <row r="63" spans="4:4" x14ac:dyDescent="0.25">
      <c r="D63" s="22"/>
    </row>
    <row r="64" spans="4:4" x14ac:dyDescent="0.25">
      <c r="D64" s="22"/>
    </row>
    <row r="65" spans="4:4" x14ac:dyDescent="0.25">
      <c r="D65" s="22"/>
    </row>
    <row r="66" spans="4:4" x14ac:dyDescent="0.25">
      <c r="D66" s="22"/>
    </row>
    <row r="67" spans="4:4" x14ac:dyDescent="0.25">
      <c r="D67" s="22"/>
    </row>
    <row r="68" spans="4:4" x14ac:dyDescent="0.25">
      <c r="D68" s="22"/>
    </row>
    <row r="69" spans="4:4" x14ac:dyDescent="0.25">
      <c r="D69" s="22"/>
    </row>
    <row r="70" spans="4:4" x14ac:dyDescent="0.25">
      <c r="D70" s="22"/>
    </row>
    <row r="71" spans="4:4" x14ac:dyDescent="0.25">
      <c r="D71" s="22"/>
    </row>
    <row r="72" spans="4:4" x14ac:dyDescent="0.25">
      <c r="D72" s="22"/>
    </row>
    <row r="73" spans="4:4" x14ac:dyDescent="0.25">
      <c r="D73" s="22"/>
    </row>
    <row r="74" spans="4:4" x14ac:dyDescent="0.25">
      <c r="D74" s="22"/>
    </row>
    <row r="75" spans="4:4" x14ac:dyDescent="0.25">
      <c r="D75" s="22"/>
    </row>
    <row r="76" spans="4:4" x14ac:dyDescent="0.25">
      <c r="D76" s="22"/>
    </row>
    <row r="77" spans="4:4" x14ac:dyDescent="0.25">
      <c r="D77" s="22"/>
    </row>
    <row r="78" spans="4:4" x14ac:dyDescent="0.25">
      <c r="D78" s="22"/>
    </row>
    <row r="79" spans="4:4" x14ac:dyDescent="0.25">
      <c r="D79" s="22"/>
    </row>
    <row r="80" spans="4:4" x14ac:dyDescent="0.25">
      <c r="D80" s="22"/>
    </row>
    <row r="81" spans="4:4" x14ac:dyDescent="0.25">
      <c r="D81" s="22"/>
    </row>
    <row r="82" spans="4:4" x14ac:dyDescent="0.25">
      <c r="D82" s="22"/>
    </row>
    <row r="83" spans="4:4" x14ac:dyDescent="0.25">
      <c r="D83" s="22"/>
    </row>
    <row r="84" spans="4:4" x14ac:dyDescent="0.25">
      <c r="D84" s="22"/>
    </row>
    <row r="85" spans="4:4" x14ac:dyDescent="0.25">
      <c r="D85" s="22"/>
    </row>
    <row r="86" spans="4:4" x14ac:dyDescent="0.25">
      <c r="D86" s="22"/>
    </row>
    <row r="87" spans="4:4" x14ac:dyDescent="0.25">
      <c r="D87" s="22"/>
    </row>
    <row r="88" spans="4:4" x14ac:dyDescent="0.25">
      <c r="D88" s="22"/>
    </row>
    <row r="89" spans="4:4" x14ac:dyDescent="0.25">
      <c r="D89" s="22"/>
    </row>
    <row r="90" spans="4:4" x14ac:dyDescent="0.25">
      <c r="D90" s="22"/>
    </row>
    <row r="91" spans="4:4" x14ac:dyDescent="0.25">
      <c r="D91" s="22"/>
    </row>
    <row r="92" spans="4:4" x14ac:dyDescent="0.25">
      <c r="D92" s="22"/>
    </row>
    <row r="93" spans="4:4" x14ac:dyDescent="0.25">
      <c r="D93" s="22"/>
    </row>
    <row r="94" spans="4:4" x14ac:dyDescent="0.25">
      <c r="D94" s="22"/>
    </row>
    <row r="95" spans="4:4" x14ac:dyDescent="0.25">
      <c r="D95" s="22"/>
    </row>
    <row r="96" spans="4:4" x14ac:dyDescent="0.25">
      <c r="D96" s="22"/>
    </row>
    <row r="97" spans="4:4" x14ac:dyDescent="0.25">
      <c r="D97" s="22"/>
    </row>
    <row r="98" spans="4:4" x14ac:dyDescent="0.25">
      <c r="D98" s="22"/>
    </row>
    <row r="99" spans="4:4" x14ac:dyDescent="0.25">
      <c r="D99" s="22"/>
    </row>
    <row r="100" spans="4:4" x14ac:dyDescent="0.25">
      <c r="D100" s="22"/>
    </row>
    <row r="101" spans="4:4" x14ac:dyDescent="0.25">
      <c r="D101" s="22"/>
    </row>
    <row r="102" spans="4:4" x14ac:dyDescent="0.25">
      <c r="D102" s="22"/>
    </row>
    <row r="103" spans="4:4" x14ac:dyDescent="0.25">
      <c r="D103" s="22"/>
    </row>
    <row r="104" spans="4:4" x14ac:dyDescent="0.25">
      <c r="D104" s="22"/>
    </row>
    <row r="105" spans="4:4" x14ac:dyDescent="0.25">
      <c r="D105" s="22"/>
    </row>
    <row r="106" spans="4:4" x14ac:dyDescent="0.25">
      <c r="D106" s="22"/>
    </row>
    <row r="107" spans="4:4" x14ac:dyDescent="0.25">
      <c r="D107" s="22"/>
    </row>
    <row r="108" spans="4:4" x14ac:dyDescent="0.25">
      <c r="D108" s="22"/>
    </row>
    <row r="109" spans="4:4" x14ac:dyDescent="0.25">
      <c r="D109" s="22"/>
    </row>
    <row r="110" spans="4:4" x14ac:dyDescent="0.25">
      <c r="D110" s="22"/>
    </row>
    <row r="111" spans="4:4" x14ac:dyDescent="0.25">
      <c r="D111" s="22"/>
    </row>
    <row r="112" spans="4:4" x14ac:dyDescent="0.25">
      <c r="D112" s="22"/>
    </row>
    <row r="113" spans="4:4" x14ac:dyDescent="0.25">
      <c r="D113" s="22"/>
    </row>
    <row r="114" spans="4:4" x14ac:dyDescent="0.25">
      <c r="D114" s="22"/>
    </row>
    <row r="115" spans="4:4" x14ac:dyDescent="0.25">
      <c r="D115" s="22"/>
    </row>
    <row r="116" spans="4:4" x14ac:dyDescent="0.25">
      <c r="D116" s="22"/>
    </row>
    <row r="117" spans="4:4" x14ac:dyDescent="0.25">
      <c r="D117" s="22"/>
    </row>
    <row r="118" spans="4:4" x14ac:dyDescent="0.25">
      <c r="D118" s="22"/>
    </row>
    <row r="119" spans="4:4" x14ac:dyDescent="0.25">
      <c r="D119" s="22"/>
    </row>
    <row r="120" spans="4:4" x14ac:dyDescent="0.25">
      <c r="D120" s="22"/>
    </row>
    <row r="121" spans="4:4" x14ac:dyDescent="0.25">
      <c r="D121" s="22"/>
    </row>
    <row r="122" spans="4:4" x14ac:dyDescent="0.25">
      <c r="D122" s="22"/>
    </row>
    <row r="123" spans="4:4" x14ac:dyDescent="0.25">
      <c r="D123" s="22"/>
    </row>
    <row r="124" spans="4:4" x14ac:dyDescent="0.25">
      <c r="D124" s="22"/>
    </row>
    <row r="125" spans="4:4" x14ac:dyDescent="0.25">
      <c r="D125" s="22"/>
    </row>
    <row r="126" spans="4:4" x14ac:dyDescent="0.25">
      <c r="D126" s="22"/>
    </row>
    <row r="127" spans="4:4" x14ac:dyDescent="0.25">
      <c r="D127" s="22"/>
    </row>
    <row r="128" spans="4:4" x14ac:dyDescent="0.25">
      <c r="D128" s="22"/>
    </row>
    <row r="129" spans="4:4" x14ac:dyDescent="0.25">
      <c r="D129" s="22"/>
    </row>
    <row r="130" spans="4:4" x14ac:dyDescent="0.25">
      <c r="D130" s="22"/>
    </row>
    <row r="131" spans="4:4" x14ac:dyDescent="0.25">
      <c r="D131" s="22"/>
    </row>
    <row r="132" spans="4:4" x14ac:dyDescent="0.25">
      <c r="D132" s="22"/>
    </row>
    <row r="133" spans="4:4" x14ac:dyDescent="0.25">
      <c r="D133" s="22"/>
    </row>
    <row r="134" spans="4:4" x14ac:dyDescent="0.25">
      <c r="D134" s="22"/>
    </row>
    <row r="135" spans="4:4" x14ac:dyDescent="0.25">
      <c r="D135" s="22"/>
    </row>
    <row r="136" spans="4:4" x14ac:dyDescent="0.25">
      <c r="D136" s="22"/>
    </row>
    <row r="137" spans="4:4" x14ac:dyDescent="0.25">
      <c r="D137" s="22"/>
    </row>
    <row r="138" spans="4:4" x14ac:dyDescent="0.25">
      <c r="D138" s="22"/>
    </row>
    <row r="139" spans="4:4" x14ac:dyDescent="0.25">
      <c r="D139" s="22"/>
    </row>
    <row r="140" spans="4:4" x14ac:dyDescent="0.25">
      <c r="D140" s="22"/>
    </row>
    <row r="141" spans="4:4" x14ac:dyDescent="0.25">
      <c r="D141" s="22"/>
    </row>
    <row r="142" spans="4:4" x14ac:dyDescent="0.25">
      <c r="D142" s="22"/>
    </row>
    <row r="143" spans="4:4" x14ac:dyDescent="0.25">
      <c r="D143" s="22"/>
    </row>
    <row r="144" spans="4:4" x14ac:dyDescent="0.25">
      <c r="D144" s="22"/>
    </row>
    <row r="145" spans="4:4" x14ac:dyDescent="0.25">
      <c r="D145" s="22"/>
    </row>
    <row r="146" spans="4:4" x14ac:dyDescent="0.25">
      <c r="D146" s="22"/>
    </row>
    <row r="147" spans="4:4" x14ac:dyDescent="0.25">
      <c r="D147" s="22"/>
    </row>
    <row r="148" spans="4:4" x14ac:dyDescent="0.25">
      <c r="D148" s="22"/>
    </row>
    <row r="149" spans="4:4" x14ac:dyDescent="0.25">
      <c r="D149" s="22"/>
    </row>
    <row r="150" spans="4:4" x14ac:dyDescent="0.25">
      <c r="D150" s="22"/>
    </row>
    <row r="151" spans="4:4" x14ac:dyDescent="0.25">
      <c r="D151" s="22"/>
    </row>
    <row r="152" spans="4:4" x14ac:dyDescent="0.25">
      <c r="D152" s="22"/>
    </row>
    <row r="153" spans="4:4" x14ac:dyDescent="0.25">
      <c r="D153" s="22"/>
    </row>
    <row r="154" spans="4:4" x14ac:dyDescent="0.25">
      <c r="D154" s="22"/>
    </row>
    <row r="155" spans="4:4" x14ac:dyDescent="0.25">
      <c r="D155" s="22"/>
    </row>
    <row r="156" spans="4:4" x14ac:dyDescent="0.25">
      <c r="D156" s="22"/>
    </row>
    <row r="157" spans="4:4" x14ac:dyDescent="0.25">
      <c r="D157" s="22"/>
    </row>
    <row r="158" spans="4:4" x14ac:dyDescent="0.25">
      <c r="D158" s="22"/>
    </row>
    <row r="159" spans="4:4" x14ac:dyDescent="0.25">
      <c r="D159" s="22"/>
    </row>
    <row r="160" spans="4:4" x14ac:dyDescent="0.25">
      <c r="D160" s="22"/>
    </row>
    <row r="161" spans="4:4" x14ac:dyDescent="0.25">
      <c r="D161" s="22"/>
    </row>
    <row r="162" spans="4:4" x14ac:dyDescent="0.25">
      <c r="D162" s="22"/>
    </row>
    <row r="163" spans="4:4" x14ac:dyDescent="0.25">
      <c r="D163" s="22"/>
    </row>
    <row r="164" spans="4:4" x14ac:dyDescent="0.25">
      <c r="D164" s="22"/>
    </row>
    <row r="165" spans="4:4" x14ac:dyDescent="0.25">
      <c r="D165" s="22"/>
    </row>
    <row r="166" spans="4:4" x14ac:dyDescent="0.25">
      <c r="D166" s="22"/>
    </row>
    <row r="167" spans="4:4" x14ac:dyDescent="0.25">
      <c r="D167" s="22"/>
    </row>
    <row r="168" spans="4:4" x14ac:dyDescent="0.25">
      <c r="D168" s="22"/>
    </row>
    <row r="169" spans="4:4" x14ac:dyDescent="0.25">
      <c r="D169" s="22"/>
    </row>
    <row r="170" spans="4:4" x14ac:dyDescent="0.25">
      <c r="D170" s="22"/>
    </row>
    <row r="171" spans="4:4" x14ac:dyDescent="0.25">
      <c r="D171" s="22"/>
    </row>
    <row r="172" spans="4:4" x14ac:dyDescent="0.25">
      <c r="D172" s="22"/>
    </row>
    <row r="173" spans="4:4" x14ac:dyDescent="0.25">
      <c r="D173" s="22"/>
    </row>
    <row r="174" spans="4:4" x14ac:dyDescent="0.25">
      <c r="D174" s="22"/>
    </row>
    <row r="175" spans="4:4" x14ac:dyDescent="0.25">
      <c r="D175" s="22"/>
    </row>
    <row r="176" spans="4:4" x14ac:dyDescent="0.25">
      <c r="D176" s="22"/>
    </row>
    <row r="177" spans="4:4" x14ac:dyDescent="0.25">
      <c r="D177" s="22"/>
    </row>
    <row r="178" spans="4:4" x14ac:dyDescent="0.25">
      <c r="D178" s="22"/>
    </row>
    <row r="179" spans="4:4" x14ac:dyDescent="0.25">
      <c r="D179" s="22"/>
    </row>
    <row r="180" spans="4:4" x14ac:dyDescent="0.25">
      <c r="D180" s="22"/>
    </row>
    <row r="181" spans="4:4" x14ac:dyDescent="0.25">
      <c r="D181" s="22"/>
    </row>
    <row r="182" spans="4:4" x14ac:dyDescent="0.25">
      <c r="D182" s="22"/>
    </row>
    <row r="183" spans="4:4" x14ac:dyDescent="0.25">
      <c r="D183" s="22"/>
    </row>
    <row r="184" spans="4:4" x14ac:dyDescent="0.25">
      <c r="D184" s="22"/>
    </row>
    <row r="185" spans="4:4" x14ac:dyDescent="0.25">
      <c r="D185" s="22"/>
    </row>
    <row r="186" spans="4:4" x14ac:dyDescent="0.25">
      <c r="D186" s="22"/>
    </row>
    <row r="187" spans="4:4" x14ac:dyDescent="0.25">
      <c r="D187" s="22"/>
    </row>
    <row r="188" spans="4:4" x14ac:dyDescent="0.25">
      <c r="D188" s="22"/>
    </row>
    <row r="189" spans="4:4" x14ac:dyDescent="0.25">
      <c r="D189" s="22"/>
    </row>
    <row r="190" spans="4:4" x14ac:dyDescent="0.25">
      <c r="D190" s="22"/>
    </row>
    <row r="191" spans="4:4" x14ac:dyDescent="0.25">
      <c r="D191" s="22"/>
    </row>
    <row r="192" spans="4:4" x14ac:dyDescent="0.25">
      <c r="D192" s="22"/>
    </row>
    <row r="193" spans="4:4" x14ac:dyDescent="0.25">
      <c r="D193" s="22"/>
    </row>
    <row r="194" spans="4:4" x14ac:dyDescent="0.25">
      <c r="D194" s="22"/>
    </row>
    <row r="195" spans="4:4" x14ac:dyDescent="0.25">
      <c r="D195" s="22"/>
    </row>
    <row r="196" spans="4:4" x14ac:dyDescent="0.25">
      <c r="D196" s="22"/>
    </row>
    <row r="197" spans="4:4" x14ac:dyDescent="0.25">
      <c r="D197" s="22"/>
    </row>
    <row r="198" spans="4:4" x14ac:dyDescent="0.25">
      <c r="D198" s="22"/>
    </row>
    <row r="199" spans="4:4" x14ac:dyDescent="0.25">
      <c r="D199" s="22"/>
    </row>
    <row r="200" spans="4:4" x14ac:dyDescent="0.25">
      <c r="D200" s="22"/>
    </row>
    <row r="201" spans="4:4" x14ac:dyDescent="0.25">
      <c r="D201" s="22"/>
    </row>
    <row r="202" spans="4:4" x14ac:dyDescent="0.25">
      <c r="D202" s="22"/>
    </row>
    <row r="203" spans="4:4" x14ac:dyDescent="0.25">
      <c r="D203" s="22"/>
    </row>
    <row r="204" spans="4:4" x14ac:dyDescent="0.25">
      <c r="D204" s="22"/>
    </row>
    <row r="205" spans="4:4" x14ac:dyDescent="0.25">
      <c r="D205" s="22"/>
    </row>
    <row r="206" spans="4:4" x14ac:dyDescent="0.25">
      <c r="D206" s="22"/>
    </row>
    <row r="207" spans="4:4" x14ac:dyDescent="0.25">
      <c r="D207" s="22"/>
    </row>
    <row r="208" spans="4:4" x14ac:dyDescent="0.25">
      <c r="D208" s="22"/>
    </row>
    <row r="209" spans="4:4" x14ac:dyDescent="0.25">
      <c r="D209" s="22"/>
    </row>
    <row r="210" spans="4:4" x14ac:dyDescent="0.25">
      <c r="D210" s="22"/>
    </row>
    <row r="211" spans="4:4" x14ac:dyDescent="0.25">
      <c r="D211" s="22"/>
    </row>
    <row r="212" spans="4:4" x14ac:dyDescent="0.25">
      <c r="D212" s="22"/>
    </row>
    <row r="213" spans="4:4" x14ac:dyDescent="0.25">
      <c r="D213" s="22"/>
    </row>
    <row r="214" spans="4:4" x14ac:dyDescent="0.25">
      <c r="D214" s="22"/>
    </row>
    <row r="215" spans="4:4" x14ac:dyDescent="0.25">
      <c r="D215" s="22"/>
    </row>
    <row r="216" spans="4:4" x14ac:dyDescent="0.25">
      <c r="D216" s="22"/>
    </row>
    <row r="217" spans="4:4" x14ac:dyDescent="0.25">
      <c r="D217" s="22"/>
    </row>
    <row r="218" spans="4:4" x14ac:dyDescent="0.25">
      <c r="D218" s="22"/>
    </row>
    <row r="219" spans="4:4" x14ac:dyDescent="0.25">
      <c r="D219" s="22"/>
    </row>
    <row r="220" spans="4:4" x14ac:dyDescent="0.25">
      <c r="D220" s="22"/>
    </row>
    <row r="221" spans="4:4" x14ac:dyDescent="0.25">
      <c r="D221" s="22"/>
    </row>
    <row r="222" spans="4:4" x14ac:dyDescent="0.25">
      <c r="D222" s="22"/>
    </row>
    <row r="223" spans="4:4" x14ac:dyDescent="0.25">
      <c r="D223" s="22"/>
    </row>
    <row r="224" spans="4:4" x14ac:dyDescent="0.25">
      <c r="D224" s="22"/>
    </row>
    <row r="225" spans="4:4" x14ac:dyDescent="0.25">
      <c r="D225" s="22"/>
    </row>
    <row r="226" spans="4:4" x14ac:dyDescent="0.25">
      <c r="D226" s="22"/>
    </row>
    <row r="227" spans="4:4" x14ac:dyDescent="0.25">
      <c r="D227" s="22"/>
    </row>
    <row r="228" spans="4:4" x14ac:dyDescent="0.25">
      <c r="D228" s="22"/>
    </row>
    <row r="229" spans="4:4" x14ac:dyDescent="0.25">
      <c r="D229" s="22"/>
    </row>
    <row r="230" spans="4:4" x14ac:dyDescent="0.25">
      <c r="D230" s="22"/>
    </row>
    <row r="231" spans="4:4" x14ac:dyDescent="0.25">
      <c r="D231" s="22"/>
    </row>
    <row r="232" spans="4:4" x14ac:dyDescent="0.25">
      <c r="D232" s="22"/>
    </row>
    <row r="233" spans="4:4" x14ac:dyDescent="0.25">
      <c r="D233" s="22"/>
    </row>
    <row r="234" spans="4:4" x14ac:dyDescent="0.25">
      <c r="D234" s="22"/>
    </row>
    <row r="235" spans="4:4" x14ac:dyDescent="0.25">
      <c r="D235" s="22"/>
    </row>
    <row r="236" spans="4:4" x14ac:dyDescent="0.25">
      <c r="D236" s="22"/>
    </row>
    <row r="237" spans="4:4" x14ac:dyDescent="0.25">
      <c r="D237" s="22"/>
    </row>
    <row r="238" spans="4:4" x14ac:dyDescent="0.25">
      <c r="D238" s="22"/>
    </row>
    <row r="239" spans="4:4" x14ac:dyDescent="0.25">
      <c r="D239" s="22"/>
    </row>
    <row r="240" spans="4:4" x14ac:dyDescent="0.25">
      <c r="D240" s="22"/>
    </row>
    <row r="241" spans="4:4" x14ac:dyDescent="0.25">
      <c r="D241" s="22"/>
    </row>
    <row r="242" spans="4:4" x14ac:dyDescent="0.25">
      <c r="D242" s="22"/>
    </row>
    <row r="243" spans="4:4" x14ac:dyDescent="0.25">
      <c r="D243" s="22"/>
    </row>
    <row r="244" spans="4:4" x14ac:dyDescent="0.25">
      <c r="D244" s="22"/>
    </row>
    <row r="245" spans="4:4" x14ac:dyDescent="0.25">
      <c r="D245" s="22"/>
    </row>
    <row r="246" spans="4:4" x14ac:dyDescent="0.25">
      <c r="D246" s="22"/>
    </row>
    <row r="247" spans="4:4" x14ac:dyDescent="0.25">
      <c r="D247" s="22"/>
    </row>
    <row r="248" spans="4:4" x14ac:dyDescent="0.25">
      <c r="D248" s="22"/>
    </row>
    <row r="249" spans="4:4" x14ac:dyDescent="0.25">
      <c r="D249" s="22"/>
    </row>
    <row r="250" spans="4:4" x14ac:dyDescent="0.25">
      <c r="D250" s="22"/>
    </row>
    <row r="251" spans="4:4" x14ac:dyDescent="0.25">
      <c r="D251" s="22"/>
    </row>
    <row r="252" spans="4:4" x14ac:dyDescent="0.25">
      <c r="D252" s="22"/>
    </row>
    <row r="253" spans="4:4" x14ac:dyDescent="0.25">
      <c r="D253" s="22"/>
    </row>
    <row r="254" spans="4:4" x14ac:dyDescent="0.25">
      <c r="D254" s="22"/>
    </row>
    <row r="255" spans="4:4" x14ac:dyDescent="0.25">
      <c r="D255" s="22"/>
    </row>
    <row r="256" spans="4:4" x14ac:dyDescent="0.25">
      <c r="D256" s="22"/>
    </row>
    <row r="257" spans="4:4" x14ac:dyDescent="0.25">
      <c r="D257" s="22"/>
    </row>
    <row r="258" spans="4:4" x14ac:dyDescent="0.25">
      <c r="D258" s="22"/>
    </row>
    <row r="259" spans="4:4" x14ac:dyDescent="0.25">
      <c r="D259" s="22"/>
    </row>
    <row r="260" spans="4:4" x14ac:dyDescent="0.25">
      <c r="D260" s="22"/>
    </row>
    <row r="261" spans="4:4" x14ac:dyDescent="0.25">
      <c r="D261" s="22"/>
    </row>
    <row r="262" spans="4:4" x14ac:dyDescent="0.25">
      <c r="D262" s="22"/>
    </row>
    <row r="263" spans="4:4" x14ac:dyDescent="0.25">
      <c r="D263" s="22"/>
    </row>
    <row r="264" spans="4:4" x14ac:dyDescent="0.25">
      <c r="D264" s="22"/>
    </row>
    <row r="265" spans="4:4" x14ac:dyDescent="0.25">
      <c r="D265" s="22"/>
    </row>
    <row r="266" spans="4:4" x14ac:dyDescent="0.25">
      <c r="D266" s="22"/>
    </row>
    <row r="267" spans="4:4" x14ac:dyDescent="0.25">
      <c r="D267" s="22"/>
    </row>
    <row r="268" spans="4:4" x14ac:dyDescent="0.25">
      <c r="D268" s="22"/>
    </row>
    <row r="269" spans="4:4" x14ac:dyDescent="0.25">
      <c r="D269" s="22"/>
    </row>
    <row r="270" spans="4:4" x14ac:dyDescent="0.25">
      <c r="D270" s="22"/>
    </row>
    <row r="271" spans="4:4" x14ac:dyDescent="0.25">
      <c r="D271" s="22"/>
    </row>
    <row r="272" spans="4:4" x14ac:dyDescent="0.25">
      <c r="D272" s="22"/>
    </row>
    <row r="273" spans="4:4" x14ac:dyDescent="0.25">
      <c r="D273" s="22"/>
    </row>
    <row r="274" spans="4:4" x14ac:dyDescent="0.25">
      <c r="D274" s="22"/>
    </row>
    <row r="275" spans="4:4" x14ac:dyDescent="0.25">
      <c r="D275" s="22"/>
    </row>
    <row r="276" spans="4:4" x14ac:dyDescent="0.25">
      <c r="D276" s="22"/>
    </row>
    <row r="277" spans="4:4" x14ac:dyDescent="0.25">
      <c r="D277" s="22"/>
    </row>
    <row r="278" spans="4:4" x14ac:dyDescent="0.25">
      <c r="D278" s="22"/>
    </row>
    <row r="279" spans="4:4" x14ac:dyDescent="0.25">
      <c r="D279" s="22"/>
    </row>
    <row r="280" spans="4:4" x14ac:dyDescent="0.25">
      <c r="D280" s="22"/>
    </row>
    <row r="281" spans="4:4" x14ac:dyDescent="0.25">
      <c r="D281" s="22"/>
    </row>
    <row r="282" spans="4:4" x14ac:dyDescent="0.25">
      <c r="D282" s="22"/>
    </row>
    <row r="283" spans="4:4" x14ac:dyDescent="0.25">
      <c r="D283" s="22"/>
    </row>
    <row r="284" spans="4:4" x14ac:dyDescent="0.25">
      <c r="D284" s="22"/>
    </row>
    <row r="285" spans="4:4" x14ac:dyDescent="0.25">
      <c r="D285" s="22"/>
    </row>
    <row r="286" spans="4:4" x14ac:dyDescent="0.25">
      <c r="D286" s="22"/>
    </row>
    <row r="287" spans="4:4" x14ac:dyDescent="0.25">
      <c r="D287" s="22"/>
    </row>
    <row r="288" spans="4:4" x14ac:dyDescent="0.25">
      <c r="D288" s="22"/>
    </row>
    <row r="289" spans="4:4" x14ac:dyDescent="0.25">
      <c r="D289" s="22"/>
    </row>
    <row r="290" spans="4:4" x14ac:dyDescent="0.25">
      <c r="D290" s="22"/>
    </row>
    <row r="291" spans="4:4" x14ac:dyDescent="0.25">
      <c r="D291" s="22"/>
    </row>
    <row r="292" spans="4:4" x14ac:dyDescent="0.25">
      <c r="D292" s="22"/>
    </row>
    <row r="293" spans="4:4" x14ac:dyDescent="0.25">
      <c r="D293" s="22"/>
    </row>
    <row r="294" spans="4:4" x14ac:dyDescent="0.25">
      <c r="D294" s="22"/>
    </row>
    <row r="295" spans="4:4" x14ac:dyDescent="0.25">
      <c r="D295" s="22"/>
    </row>
    <row r="296" spans="4:4" x14ac:dyDescent="0.25">
      <c r="D296" s="22"/>
    </row>
    <row r="297" spans="4:4" x14ac:dyDescent="0.25">
      <c r="D297" s="22"/>
    </row>
    <row r="298" spans="4:4" x14ac:dyDescent="0.25">
      <c r="D298" s="22"/>
    </row>
    <row r="299" spans="4:4" x14ac:dyDescent="0.25">
      <c r="D299" s="22"/>
    </row>
    <row r="300" spans="4:4" x14ac:dyDescent="0.25">
      <c r="D300" s="22"/>
    </row>
    <row r="301" spans="4:4" x14ac:dyDescent="0.25">
      <c r="D301" s="22"/>
    </row>
    <row r="302" spans="4:4" x14ac:dyDescent="0.25">
      <c r="D302" s="22"/>
    </row>
    <row r="303" spans="4:4" x14ac:dyDescent="0.25">
      <c r="D303" s="22"/>
    </row>
    <row r="304" spans="4:4" x14ac:dyDescent="0.25">
      <c r="D304" s="22"/>
    </row>
    <row r="305" spans="4:4" x14ac:dyDescent="0.25">
      <c r="D305" s="22"/>
    </row>
    <row r="306" spans="4:4" x14ac:dyDescent="0.25">
      <c r="D306" s="22"/>
    </row>
    <row r="307" spans="4:4" x14ac:dyDescent="0.25">
      <c r="D307" s="22"/>
    </row>
    <row r="308" spans="4:4" x14ac:dyDescent="0.25">
      <c r="D308" s="22"/>
    </row>
    <row r="309" spans="4:4" x14ac:dyDescent="0.25">
      <c r="D309" s="22"/>
    </row>
    <row r="310" spans="4:4" x14ac:dyDescent="0.25">
      <c r="D310" s="22"/>
    </row>
    <row r="311" spans="4:4" x14ac:dyDescent="0.25">
      <c r="D311" s="22"/>
    </row>
    <row r="312" spans="4:4" x14ac:dyDescent="0.25">
      <c r="D312" s="22"/>
    </row>
    <row r="313" spans="4:4" x14ac:dyDescent="0.25">
      <c r="D313" s="22"/>
    </row>
    <row r="314" spans="4:4" x14ac:dyDescent="0.25">
      <c r="D314" s="22"/>
    </row>
    <row r="315" spans="4:4" x14ac:dyDescent="0.25">
      <c r="D315" s="22"/>
    </row>
    <row r="316" spans="4:4" x14ac:dyDescent="0.25">
      <c r="D316" s="22"/>
    </row>
    <row r="317" spans="4:4" x14ac:dyDescent="0.25">
      <c r="D317" s="22"/>
    </row>
    <row r="318" spans="4:4" x14ac:dyDescent="0.25">
      <c r="D318" s="22"/>
    </row>
    <row r="319" spans="4:4" x14ac:dyDescent="0.25">
      <c r="D319" s="22"/>
    </row>
    <row r="320" spans="4:4" x14ac:dyDescent="0.25">
      <c r="D320" s="22"/>
    </row>
    <row r="321" spans="4:4" x14ac:dyDescent="0.25">
      <c r="D321" s="22"/>
    </row>
    <row r="322" spans="4:4" x14ac:dyDescent="0.25">
      <c r="D322" s="22"/>
    </row>
    <row r="323" spans="4:4" x14ac:dyDescent="0.25">
      <c r="D323" s="22"/>
    </row>
    <row r="324" spans="4:4" x14ac:dyDescent="0.25">
      <c r="D324" s="22"/>
    </row>
    <row r="325" spans="4:4" x14ac:dyDescent="0.25">
      <c r="D325" s="22"/>
    </row>
    <row r="326" spans="4:4" x14ac:dyDescent="0.25">
      <c r="D326" s="22"/>
    </row>
    <row r="327" spans="4:4" x14ac:dyDescent="0.25">
      <c r="D327" s="22"/>
    </row>
    <row r="328" spans="4:4" x14ac:dyDescent="0.25">
      <c r="D328" s="22"/>
    </row>
    <row r="329" spans="4:4" x14ac:dyDescent="0.25">
      <c r="D329" s="22"/>
    </row>
    <row r="330" spans="4:4" x14ac:dyDescent="0.25">
      <c r="D330" s="22"/>
    </row>
    <row r="331" spans="4:4" x14ac:dyDescent="0.25">
      <c r="D331" s="22"/>
    </row>
    <row r="332" spans="4:4" x14ac:dyDescent="0.25">
      <c r="D332" s="22"/>
    </row>
    <row r="333" spans="4:4" x14ac:dyDescent="0.25">
      <c r="D333" s="22"/>
    </row>
    <row r="334" spans="4:4" x14ac:dyDescent="0.25">
      <c r="D334" s="22"/>
    </row>
    <row r="335" spans="4:4" x14ac:dyDescent="0.25">
      <c r="D335" s="22"/>
    </row>
    <row r="336" spans="4:4" x14ac:dyDescent="0.25">
      <c r="D336" s="22"/>
    </row>
    <row r="337" spans="4:4" x14ac:dyDescent="0.25">
      <c r="D337" s="22"/>
    </row>
    <row r="338" spans="4:4" x14ac:dyDescent="0.25">
      <c r="D338" s="22"/>
    </row>
    <row r="339" spans="4:4" x14ac:dyDescent="0.25">
      <c r="D339" s="22"/>
    </row>
    <row r="340" spans="4:4" x14ac:dyDescent="0.25">
      <c r="D340" s="22"/>
    </row>
    <row r="341" spans="4:4" x14ac:dyDescent="0.25">
      <c r="D341" s="22"/>
    </row>
    <row r="342" spans="4:4" x14ac:dyDescent="0.25">
      <c r="D342" s="22"/>
    </row>
    <row r="343" spans="4:4" x14ac:dyDescent="0.25">
      <c r="D343" s="22"/>
    </row>
    <row r="344" spans="4:4" x14ac:dyDescent="0.25">
      <c r="D344" s="22"/>
    </row>
    <row r="345" spans="4:4" x14ac:dyDescent="0.25">
      <c r="D345" s="22"/>
    </row>
    <row r="346" spans="4:4" x14ac:dyDescent="0.25">
      <c r="D346" s="22"/>
    </row>
    <row r="347" spans="4:4" x14ac:dyDescent="0.25">
      <c r="D347" s="22"/>
    </row>
    <row r="348" spans="4:4" x14ac:dyDescent="0.25">
      <c r="D348" s="22"/>
    </row>
    <row r="349" spans="4:4" x14ac:dyDescent="0.25">
      <c r="D349" s="22"/>
    </row>
    <row r="350" spans="4:4" x14ac:dyDescent="0.25">
      <c r="D350" s="22"/>
    </row>
    <row r="351" spans="4:4" x14ac:dyDescent="0.25">
      <c r="D351" s="22"/>
    </row>
    <row r="352" spans="4:4" x14ac:dyDescent="0.25">
      <c r="D352" s="22"/>
    </row>
    <row r="353" spans="4:4" x14ac:dyDescent="0.25">
      <c r="D353" s="22"/>
    </row>
    <row r="354" spans="4:4" x14ac:dyDescent="0.25">
      <c r="D354" s="22"/>
    </row>
    <row r="355" spans="4:4" x14ac:dyDescent="0.25">
      <c r="D355" s="22"/>
    </row>
    <row r="356" spans="4:4" x14ac:dyDescent="0.25">
      <c r="D356" s="22"/>
    </row>
    <row r="357" spans="4:4" x14ac:dyDescent="0.25">
      <c r="D357" s="22"/>
    </row>
    <row r="358" spans="4:4" x14ac:dyDescent="0.25">
      <c r="D358" s="22"/>
    </row>
    <row r="359" spans="4:4" x14ac:dyDescent="0.25">
      <c r="D359" s="22"/>
    </row>
    <row r="360" spans="4:4" x14ac:dyDescent="0.25">
      <c r="D360" s="22"/>
    </row>
    <row r="361" spans="4:4" x14ac:dyDescent="0.25">
      <c r="D361" s="22"/>
    </row>
    <row r="362" spans="4:4" x14ac:dyDescent="0.25">
      <c r="D362" s="22"/>
    </row>
    <row r="363" spans="4:4" x14ac:dyDescent="0.25">
      <c r="D363" s="22"/>
    </row>
    <row r="364" spans="4:4" x14ac:dyDescent="0.25">
      <c r="D364" s="22"/>
    </row>
    <row r="365" spans="4:4" x14ac:dyDescent="0.25">
      <c r="D365" s="22"/>
    </row>
    <row r="366" spans="4:4" x14ac:dyDescent="0.25">
      <c r="D366" s="22"/>
    </row>
    <row r="367" spans="4:4" x14ac:dyDescent="0.25">
      <c r="D367" s="22"/>
    </row>
    <row r="368" spans="4:4" x14ac:dyDescent="0.25">
      <c r="D368" s="22"/>
    </row>
    <row r="369" spans="4:4" x14ac:dyDescent="0.25">
      <c r="D369" s="22"/>
    </row>
    <row r="370" spans="4:4" x14ac:dyDescent="0.25">
      <c r="D370" s="22"/>
    </row>
    <row r="371" spans="4:4" x14ac:dyDescent="0.25">
      <c r="D371" s="22"/>
    </row>
    <row r="372" spans="4:4" x14ac:dyDescent="0.25">
      <c r="D372" s="22"/>
    </row>
    <row r="373" spans="4:4" x14ac:dyDescent="0.25">
      <c r="D373" s="22"/>
    </row>
    <row r="374" spans="4:4" x14ac:dyDescent="0.25">
      <c r="D374" s="22"/>
    </row>
    <row r="375" spans="4:4" x14ac:dyDescent="0.25">
      <c r="D375" s="22"/>
    </row>
    <row r="376" spans="4:4" x14ac:dyDescent="0.25">
      <c r="D376" s="22"/>
    </row>
    <row r="377" spans="4:4" x14ac:dyDescent="0.25">
      <c r="D377" s="22"/>
    </row>
    <row r="378" spans="4:4" x14ac:dyDescent="0.25">
      <c r="D378" s="22"/>
    </row>
    <row r="379" spans="4:4" x14ac:dyDescent="0.25">
      <c r="D379" s="22"/>
    </row>
    <row r="380" spans="4:4" x14ac:dyDescent="0.25">
      <c r="D380" s="22"/>
    </row>
    <row r="381" spans="4:4" x14ac:dyDescent="0.25">
      <c r="D381" s="22"/>
    </row>
    <row r="382" spans="4:4" x14ac:dyDescent="0.25">
      <c r="D382" s="22"/>
    </row>
    <row r="383" spans="4:4" x14ac:dyDescent="0.25">
      <c r="D383" s="22"/>
    </row>
    <row r="384" spans="4:4" x14ac:dyDescent="0.25">
      <c r="D384" s="22"/>
    </row>
    <row r="385" spans="4:4" x14ac:dyDescent="0.25">
      <c r="D385" s="22"/>
    </row>
    <row r="386" spans="4:4" x14ac:dyDescent="0.25">
      <c r="D386" s="22"/>
    </row>
    <row r="387" spans="4:4" x14ac:dyDescent="0.25">
      <c r="D387" s="22"/>
    </row>
    <row r="388" spans="4:4" x14ac:dyDescent="0.25">
      <c r="D388" s="22"/>
    </row>
    <row r="389" spans="4:4" x14ac:dyDescent="0.25">
      <c r="D389" s="22"/>
    </row>
    <row r="390" spans="4:4" x14ac:dyDescent="0.25">
      <c r="D390" s="22"/>
    </row>
    <row r="391" spans="4:4" x14ac:dyDescent="0.25">
      <c r="D391" s="22"/>
    </row>
    <row r="392" spans="4:4" x14ac:dyDescent="0.25">
      <c r="D392" s="22"/>
    </row>
    <row r="393" spans="4:4" x14ac:dyDescent="0.25">
      <c r="D393" s="22"/>
    </row>
    <row r="394" spans="4:4" x14ac:dyDescent="0.25">
      <c r="D394" s="22"/>
    </row>
    <row r="395" spans="4:4" x14ac:dyDescent="0.25">
      <c r="D395" s="22"/>
    </row>
    <row r="396" spans="4:4" x14ac:dyDescent="0.25">
      <c r="D396" s="22"/>
    </row>
    <row r="397" spans="4:4" x14ac:dyDescent="0.25">
      <c r="D397" s="22"/>
    </row>
    <row r="398" spans="4:4" x14ac:dyDescent="0.25">
      <c r="D398" s="22"/>
    </row>
    <row r="399" spans="4:4" x14ac:dyDescent="0.25">
      <c r="D399" s="22"/>
    </row>
    <row r="400" spans="4:4" x14ac:dyDescent="0.25">
      <c r="D400" s="22"/>
    </row>
    <row r="401" spans="4:4" x14ac:dyDescent="0.25">
      <c r="D401" s="22"/>
    </row>
    <row r="402" spans="4:4" x14ac:dyDescent="0.25">
      <c r="D402" s="22"/>
    </row>
    <row r="403" spans="4:4" x14ac:dyDescent="0.25">
      <c r="D403" s="22"/>
    </row>
    <row r="404" spans="4:4" x14ac:dyDescent="0.25">
      <c r="D404" s="22"/>
    </row>
    <row r="405" spans="4:4" x14ac:dyDescent="0.25">
      <c r="D405" s="22"/>
    </row>
    <row r="406" spans="4:4" x14ac:dyDescent="0.25">
      <c r="D406" s="22"/>
    </row>
    <row r="407" spans="4:4" x14ac:dyDescent="0.25">
      <c r="D407" s="22"/>
    </row>
    <row r="408" spans="4:4" x14ac:dyDescent="0.25">
      <c r="D408" s="22"/>
    </row>
    <row r="409" spans="4:4" x14ac:dyDescent="0.25">
      <c r="D409" s="22"/>
    </row>
    <row r="410" spans="4:4" x14ac:dyDescent="0.25">
      <c r="D410" s="22"/>
    </row>
    <row r="411" spans="4:4" x14ac:dyDescent="0.25">
      <c r="D411" s="22"/>
    </row>
    <row r="412" spans="4:4" x14ac:dyDescent="0.25">
      <c r="D412" s="22"/>
    </row>
    <row r="413" spans="4:4" x14ac:dyDescent="0.25">
      <c r="D413" s="22"/>
    </row>
    <row r="414" spans="4:4" x14ac:dyDescent="0.25">
      <c r="D414" s="22"/>
    </row>
    <row r="415" spans="4:4" x14ac:dyDescent="0.25">
      <c r="D415" s="22"/>
    </row>
    <row r="416" spans="4:4" x14ac:dyDescent="0.25">
      <c r="D416" s="22"/>
    </row>
    <row r="417" spans="4:4" x14ac:dyDescent="0.25">
      <c r="D417" s="22"/>
    </row>
    <row r="418" spans="4:4" x14ac:dyDescent="0.25">
      <c r="D418" s="22"/>
    </row>
    <row r="419" spans="4:4" x14ac:dyDescent="0.25">
      <c r="D419" s="22"/>
    </row>
    <row r="420" spans="4:4" x14ac:dyDescent="0.25">
      <c r="D420" s="22"/>
    </row>
    <row r="421" spans="4:4" x14ac:dyDescent="0.25">
      <c r="D421" s="22"/>
    </row>
    <row r="422" spans="4:4" x14ac:dyDescent="0.25">
      <c r="D422" s="22"/>
    </row>
    <row r="423" spans="4:4" x14ac:dyDescent="0.25">
      <c r="D423" s="22"/>
    </row>
    <row r="424" spans="4:4" x14ac:dyDescent="0.25">
      <c r="D424" s="22"/>
    </row>
    <row r="425" spans="4:4" x14ac:dyDescent="0.25">
      <c r="D425" s="22"/>
    </row>
    <row r="426" spans="4:4" x14ac:dyDescent="0.25">
      <c r="D426" s="22"/>
    </row>
    <row r="427" spans="4:4" x14ac:dyDescent="0.25">
      <c r="D427" s="22"/>
    </row>
    <row r="428" spans="4:4" x14ac:dyDescent="0.25">
      <c r="D428" s="22"/>
    </row>
    <row r="429" spans="4:4" x14ac:dyDescent="0.25">
      <c r="D429" s="22"/>
    </row>
    <row r="430" spans="4:4" x14ac:dyDescent="0.25">
      <c r="D430" s="22"/>
    </row>
    <row r="431" spans="4:4" x14ac:dyDescent="0.25">
      <c r="D431" s="22"/>
    </row>
    <row r="432" spans="4:4" x14ac:dyDescent="0.25">
      <c r="D432" s="22"/>
    </row>
    <row r="433" spans="4:4" x14ac:dyDescent="0.25">
      <c r="D433" s="22"/>
    </row>
    <row r="434" spans="4:4" x14ac:dyDescent="0.25">
      <c r="D434" s="22"/>
    </row>
    <row r="435" spans="4:4" x14ac:dyDescent="0.25">
      <c r="D435" s="22"/>
    </row>
    <row r="436" spans="4:4" x14ac:dyDescent="0.25">
      <c r="D436" s="22"/>
    </row>
    <row r="437" spans="4:4" x14ac:dyDescent="0.25">
      <c r="D437" s="22"/>
    </row>
    <row r="438" spans="4:4" x14ac:dyDescent="0.25">
      <c r="D438" s="22"/>
    </row>
    <row r="439" spans="4:4" x14ac:dyDescent="0.25">
      <c r="D439" s="22"/>
    </row>
    <row r="440" spans="4:4" x14ac:dyDescent="0.25">
      <c r="D440" s="22"/>
    </row>
    <row r="441" spans="4:4" x14ac:dyDescent="0.25">
      <c r="D441" s="22"/>
    </row>
    <row r="442" spans="4:4" x14ac:dyDescent="0.25">
      <c r="D442" s="22"/>
    </row>
    <row r="443" spans="4:4" x14ac:dyDescent="0.25">
      <c r="D443" s="22"/>
    </row>
    <row r="444" spans="4:4" x14ac:dyDescent="0.25">
      <c r="D444" s="22"/>
    </row>
    <row r="445" spans="4:4" x14ac:dyDescent="0.25">
      <c r="D445" s="22"/>
    </row>
    <row r="446" spans="4:4" x14ac:dyDescent="0.25">
      <c r="D446" s="22"/>
    </row>
    <row r="447" spans="4:4" x14ac:dyDescent="0.25">
      <c r="D447" s="22"/>
    </row>
    <row r="448" spans="4:4" x14ac:dyDescent="0.25">
      <c r="D448" s="22"/>
    </row>
    <row r="449" spans="4:4" x14ac:dyDescent="0.25">
      <c r="D449" s="22"/>
    </row>
    <row r="450" spans="4:4" x14ac:dyDescent="0.25">
      <c r="D450" s="22"/>
    </row>
    <row r="451" spans="4:4" x14ac:dyDescent="0.25">
      <c r="D451" s="22"/>
    </row>
    <row r="452" spans="4:4" x14ac:dyDescent="0.25">
      <c r="D452" s="22"/>
    </row>
    <row r="453" spans="4:4" x14ac:dyDescent="0.25">
      <c r="D453" s="22"/>
    </row>
    <row r="454" spans="4:4" x14ac:dyDescent="0.25">
      <c r="D454" s="22"/>
    </row>
    <row r="455" spans="4:4" x14ac:dyDescent="0.25">
      <c r="D455" s="22"/>
    </row>
    <row r="456" spans="4:4" x14ac:dyDescent="0.25">
      <c r="D456" s="22"/>
    </row>
    <row r="457" spans="4:4" x14ac:dyDescent="0.25">
      <c r="D457" s="22"/>
    </row>
    <row r="458" spans="4:4" x14ac:dyDescent="0.25">
      <c r="D458" s="22"/>
    </row>
    <row r="459" spans="4:4" x14ac:dyDescent="0.25">
      <c r="D459" s="22"/>
    </row>
    <row r="460" spans="4:4" x14ac:dyDescent="0.25">
      <c r="D460" s="22"/>
    </row>
    <row r="461" spans="4:4" x14ac:dyDescent="0.25">
      <c r="D461" s="22"/>
    </row>
    <row r="462" spans="4:4" x14ac:dyDescent="0.25">
      <c r="D462" s="22"/>
    </row>
    <row r="463" spans="4:4" x14ac:dyDescent="0.25">
      <c r="D463" s="22"/>
    </row>
    <row r="464" spans="4:4" x14ac:dyDescent="0.25">
      <c r="D464" s="22"/>
    </row>
    <row r="465" spans="4:4" x14ac:dyDescent="0.25">
      <c r="D465" s="22"/>
    </row>
    <row r="466" spans="4:4" x14ac:dyDescent="0.25">
      <c r="D466" s="22"/>
    </row>
    <row r="467" spans="4:4" x14ac:dyDescent="0.25">
      <c r="D467" s="22"/>
    </row>
    <row r="468" spans="4:4" x14ac:dyDescent="0.25">
      <c r="D468" s="22"/>
    </row>
    <row r="469" spans="4:4" x14ac:dyDescent="0.25">
      <c r="D469" s="22"/>
    </row>
    <row r="470" spans="4:4" x14ac:dyDescent="0.25">
      <c r="D470" s="22"/>
    </row>
    <row r="471" spans="4:4" x14ac:dyDescent="0.25">
      <c r="D471" s="22"/>
    </row>
    <row r="472" spans="4:4" x14ac:dyDescent="0.25">
      <c r="D472" s="22"/>
    </row>
    <row r="473" spans="4:4" x14ac:dyDescent="0.25">
      <c r="D473" s="22"/>
    </row>
    <row r="474" spans="4:4" x14ac:dyDescent="0.25">
      <c r="D474" s="22"/>
    </row>
    <row r="475" spans="4:4" x14ac:dyDescent="0.25">
      <c r="D475" s="22"/>
    </row>
    <row r="476" spans="4:4" x14ac:dyDescent="0.25">
      <c r="D476" s="22"/>
    </row>
    <row r="477" spans="4:4" x14ac:dyDescent="0.25">
      <c r="D477" s="22"/>
    </row>
    <row r="478" spans="4:4" x14ac:dyDescent="0.25">
      <c r="D478" s="22"/>
    </row>
    <row r="479" spans="4:4" x14ac:dyDescent="0.25">
      <c r="D479" s="22"/>
    </row>
    <row r="480" spans="4:4" x14ac:dyDescent="0.25">
      <c r="D480" s="22"/>
    </row>
    <row r="481" spans="4:4" x14ac:dyDescent="0.25">
      <c r="D481" s="22"/>
    </row>
    <row r="482" spans="4:4" x14ac:dyDescent="0.25">
      <c r="D482" s="22"/>
    </row>
    <row r="483" spans="4:4" x14ac:dyDescent="0.25">
      <c r="D483" s="22"/>
    </row>
    <row r="484" spans="4:4" x14ac:dyDescent="0.25">
      <c r="D484" s="22"/>
    </row>
    <row r="485" spans="4:4" x14ac:dyDescent="0.25">
      <c r="D485" s="22"/>
    </row>
    <row r="486" spans="4:4" x14ac:dyDescent="0.25">
      <c r="D486" s="22"/>
    </row>
    <row r="487" spans="4:4" x14ac:dyDescent="0.25">
      <c r="D487" s="22"/>
    </row>
    <row r="488" spans="4:4" x14ac:dyDescent="0.25">
      <c r="D488" s="22"/>
    </row>
    <row r="489" spans="4:4" x14ac:dyDescent="0.25">
      <c r="D489" s="22"/>
    </row>
    <row r="490" spans="4:4" x14ac:dyDescent="0.25">
      <c r="D490" s="22"/>
    </row>
    <row r="491" spans="4:4" x14ac:dyDescent="0.25">
      <c r="D491" s="22"/>
    </row>
    <row r="492" spans="4:4" x14ac:dyDescent="0.25">
      <c r="D492" s="22"/>
    </row>
    <row r="493" spans="4:4" x14ac:dyDescent="0.25">
      <c r="D493" s="22"/>
    </row>
    <row r="494" spans="4:4" x14ac:dyDescent="0.25">
      <c r="D494" s="22"/>
    </row>
    <row r="495" spans="4:4" x14ac:dyDescent="0.25">
      <c r="D495" s="22"/>
    </row>
    <row r="496" spans="4:4" x14ac:dyDescent="0.25">
      <c r="D496" s="22"/>
    </row>
    <row r="497" spans="4:4" x14ac:dyDescent="0.25">
      <c r="D497" s="22"/>
    </row>
    <row r="498" spans="4:4" x14ac:dyDescent="0.25">
      <c r="D498" s="22"/>
    </row>
    <row r="499" spans="4:4" x14ac:dyDescent="0.25">
      <c r="D499" s="22"/>
    </row>
    <row r="500" spans="4:4" x14ac:dyDescent="0.25">
      <c r="D500" s="22"/>
    </row>
    <row r="501" spans="4:4" x14ac:dyDescent="0.25">
      <c r="D501" s="22"/>
    </row>
    <row r="502" spans="4:4" x14ac:dyDescent="0.25">
      <c r="D502" s="22"/>
    </row>
    <row r="503" spans="4:4" x14ac:dyDescent="0.25">
      <c r="D503" s="22"/>
    </row>
    <row r="504" spans="4:4" x14ac:dyDescent="0.25">
      <c r="D504" s="22"/>
    </row>
    <row r="505" spans="4:4" x14ac:dyDescent="0.25">
      <c r="D505" s="22"/>
    </row>
    <row r="506" spans="4:4" x14ac:dyDescent="0.25">
      <c r="D506" s="22"/>
    </row>
    <row r="507" spans="4:4" x14ac:dyDescent="0.25">
      <c r="D507" s="22"/>
    </row>
    <row r="508" spans="4:4" x14ac:dyDescent="0.25">
      <c r="D508" s="22"/>
    </row>
    <row r="509" spans="4:4" x14ac:dyDescent="0.25">
      <c r="D509" s="22"/>
    </row>
    <row r="510" spans="4:4" x14ac:dyDescent="0.25">
      <c r="D510" s="22"/>
    </row>
    <row r="511" spans="4:4" x14ac:dyDescent="0.25">
      <c r="D511" s="22"/>
    </row>
    <row r="512" spans="4:4" x14ac:dyDescent="0.25">
      <c r="D512" s="22"/>
    </row>
    <row r="513" spans="4:4" x14ac:dyDescent="0.25">
      <c r="D513" s="22"/>
    </row>
    <row r="514" spans="4:4" x14ac:dyDescent="0.25">
      <c r="D514" s="22"/>
    </row>
    <row r="515" spans="4:4" x14ac:dyDescent="0.25">
      <c r="D515" s="22"/>
    </row>
    <row r="516" spans="4:4" x14ac:dyDescent="0.25">
      <c r="D516" s="22"/>
    </row>
    <row r="517" spans="4:4" x14ac:dyDescent="0.25">
      <c r="D517" s="22"/>
    </row>
    <row r="518" spans="4:4" x14ac:dyDescent="0.25">
      <c r="D518" s="22"/>
    </row>
    <row r="519" spans="4:4" x14ac:dyDescent="0.25">
      <c r="D519" s="22"/>
    </row>
    <row r="520" spans="4:4" x14ac:dyDescent="0.25">
      <c r="D520" s="22"/>
    </row>
    <row r="521" spans="4:4" x14ac:dyDescent="0.25">
      <c r="D521" s="22"/>
    </row>
    <row r="522" spans="4:4" x14ac:dyDescent="0.25">
      <c r="D522" s="22"/>
    </row>
    <row r="523" spans="4:4" x14ac:dyDescent="0.25">
      <c r="D523" s="22"/>
    </row>
    <row r="524" spans="4:4" x14ac:dyDescent="0.25">
      <c r="D524" s="22"/>
    </row>
    <row r="525" spans="4:4" x14ac:dyDescent="0.25">
      <c r="D525" s="22"/>
    </row>
    <row r="526" spans="4:4" x14ac:dyDescent="0.25">
      <c r="D526" s="22"/>
    </row>
    <row r="527" spans="4:4" x14ac:dyDescent="0.25">
      <c r="D527" s="22"/>
    </row>
    <row r="528" spans="4:4" x14ac:dyDescent="0.25">
      <c r="D528" s="22"/>
    </row>
    <row r="529" spans="4:4" x14ac:dyDescent="0.25">
      <c r="D529" s="22"/>
    </row>
    <row r="530" spans="4:4" x14ac:dyDescent="0.25">
      <c r="D530" s="22"/>
    </row>
    <row r="531" spans="4:4" x14ac:dyDescent="0.25">
      <c r="D531" s="22"/>
    </row>
    <row r="532" spans="4:4" x14ac:dyDescent="0.25">
      <c r="D532" s="22"/>
    </row>
    <row r="533" spans="4:4" x14ac:dyDescent="0.25">
      <c r="D533" s="22"/>
    </row>
    <row r="534" spans="4:4" x14ac:dyDescent="0.25">
      <c r="D534" s="22"/>
    </row>
    <row r="535" spans="4:4" x14ac:dyDescent="0.25">
      <c r="D535" s="22"/>
    </row>
    <row r="536" spans="4:4" x14ac:dyDescent="0.25">
      <c r="D536" s="22"/>
    </row>
    <row r="537" spans="4:4" x14ac:dyDescent="0.25">
      <c r="D537" s="22"/>
    </row>
    <row r="538" spans="4:4" x14ac:dyDescent="0.25">
      <c r="D538" s="22"/>
    </row>
    <row r="539" spans="4:4" x14ac:dyDescent="0.25">
      <c r="D539" s="22"/>
    </row>
    <row r="540" spans="4:4" x14ac:dyDescent="0.25">
      <c r="D540" s="22"/>
    </row>
    <row r="541" spans="4:4" x14ac:dyDescent="0.25">
      <c r="D541" s="22"/>
    </row>
    <row r="542" spans="4:4" x14ac:dyDescent="0.25">
      <c r="D542" s="22"/>
    </row>
    <row r="543" spans="4:4" x14ac:dyDescent="0.25">
      <c r="D543" s="22"/>
    </row>
    <row r="544" spans="4:4" x14ac:dyDescent="0.25">
      <c r="D544" s="22"/>
    </row>
    <row r="545" spans="4:4" x14ac:dyDescent="0.25">
      <c r="D545" s="22"/>
    </row>
    <row r="546" spans="4:4" x14ac:dyDescent="0.25">
      <c r="D546" s="22"/>
    </row>
    <row r="547" spans="4:4" x14ac:dyDescent="0.25">
      <c r="D547" s="22"/>
    </row>
    <row r="548" spans="4:4" x14ac:dyDescent="0.25">
      <c r="D548" s="22"/>
    </row>
    <row r="549" spans="4:4" x14ac:dyDescent="0.25">
      <c r="D549" s="22"/>
    </row>
    <row r="550" spans="4:4" x14ac:dyDescent="0.25">
      <c r="D550" s="22"/>
    </row>
    <row r="551" spans="4:4" x14ac:dyDescent="0.25">
      <c r="D551" s="22"/>
    </row>
    <row r="552" spans="4:4" x14ac:dyDescent="0.25">
      <c r="D552" s="22"/>
    </row>
    <row r="553" spans="4:4" x14ac:dyDescent="0.25">
      <c r="D553" s="22"/>
    </row>
    <row r="554" spans="4:4" x14ac:dyDescent="0.25">
      <c r="D554" s="22"/>
    </row>
    <row r="555" spans="4:4" x14ac:dyDescent="0.25">
      <c r="D555" s="22"/>
    </row>
    <row r="556" spans="4:4" x14ac:dyDescent="0.25">
      <c r="D556" s="22"/>
    </row>
    <row r="557" spans="4:4" x14ac:dyDescent="0.25">
      <c r="D557" s="22"/>
    </row>
    <row r="558" spans="4:4" x14ac:dyDescent="0.25">
      <c r="D558" s="22"/>
    </row>
    <row r="559" spans="4:4" x14ac:dyDescent="0.25">
      <c r="D559" s="22"/>
    </row>
    <row r="560" spans="4:4" x14ac:dyDescent="0.25">
      <c r="D560" s="22"/>
    </row>
    <row r="561" spans="4:4" x14ac:dyDescent="0.25">
      <c r="D561" s="22"/>
    </row>
    <row r="562" spans="4:4" x14ac:dyDescent="0.25">
      <c r="D562" s="22"/>
    </row>
    <row r="563" spans="4:4" x14ac:dyDescent="0.25">
      <c r="D563" s="22"/>
    </row>
    <row r="564" spans="4:4" x14ac:dyDescent="0.25">
      <c r="D564" s="22"/>
    </row>
    <row r="565" spans="4:4" x14ac:dyDescent="0.25">
      <c r="D565" s="22"/>
    </row>
    <row r="566" spans="4:4" x14ac:dyDescent="0.25">
      <c r="D566" s="22"/>
    </row>
    <row r="567" spans="4:4" x14ac:dyDescent="0.25">
      <c r="D567" s="22"/>
    </row>
    <row r="568" spans="4:4" x14ac:dyDescent="0.25">
      <c r="D568" s="22"/>
    </row>
    <row r="569" spans="4:4" x14ac:dyDescent="0.25">
      <c r="D569" s="22"/>
    </row>
    <row r="570" spans="4:4" x14ac:dyDescent="0.25">
      <c r="D570" s="22"/>
    </row>
    <row r="571" spans="4:4" x14ac:dyDescent="0.25">
      <c r="D571" s="22"/>
    </row>
    <row r="572" spans="4:4" x14ac:dyDescent="0.25">
      <c r="D572" s="22"/>
    </row>
    <row r="573" spans="4:4" x14ac:dyDescent="0.25">
      <c r="D573" s="22"/>
    </row>
    <row r="574" spans="4:4" x14ac:dyDescent="0.25">
      <c r="D574" s="22"/>
    </row>
    <row r="575" spans="4:4" x14ac:dyDescent="0.25">
      <c r="D575" s="22"/>
    </row>
    <row r="576" spans="4:4" x14ac:dyDescent="0.25">
      <c r="D576" s="22"/>
    </row>
    <row r="577" spans="4:4" x14ac:dyDescent="0.25">
      <c r="D577" s="22"/>
    </row>
    <row r="578" spans="4:4" x14ac:dyDescent="0.25">
      <c r="D578" s="22"/>
    </row>
    <row r="579" spans="4:4" x14ac:dyDescent="0.25">
      <c r="D579" s="22"/>
    </row>
    <row r="580" spans="4:4" x14ac:dyDescent="0.25">
      <c r="D580" s="22"/>
    </row>
    <row r="581" spans="4:4" x14ac:dyDescent="0.25">
      <c r="D581" s="22"/>
    </row>
    <row r="582" spans="4:4" x14ac:dyDescent="0.25">
      <c r="D582" s="22"/>
    </row>
    <row r="583" spans="4:4" x14ac:dyDescent="0.25">
      <c r="D583" s="22"/>
    </row>
    <row r="584" spans="4:4" x14ac:dyDescent="0.25">
      <c r="D584" s="22"/>
    </row>
    <row r="585" spans="4:4" x14ac:dyDescent="0.25">
      <c r="D585" s="22"/>
    </row>
    <row r="586" spans="4:4" x14ac:dyDescent="0.25">
      <c r="D586" s="22"/>
    </row>
    <row r="587" spans="4:4" x14ac:dyDescent="0.25">
      <c r="D587" s="22"/>
    </row>
    <row r="588" spans="4:4" x14ac:dyDescent="0.25">
      <c r="D588" s="22"/>
    </row>
    <row r="589" spans="4:4" x14ac:dyDescent="0.25">
      <c r="D589" s="22"/>
    </row>
    <row r="590" spans="4:4" x14ac:dyDescent="0.25">
      <c r="D590" s="22"/>
    </row>
    <row r="591" spans="4:4" x14ac:dyDescent="0.25">
      <c r="D591" s="22"/>
    </row>
    <row r="592" spans="4:4" x14ac:dyDescent="0.25">
      <c r="D592" s="22"/>
    </row>
    <row r="593" spans="4:4" x14ac:dyDescent="0.25">
      <c r="D593" s="22"/>
    </row>
    <row r="594" spans="4:4" x14ac:dyDescent="0.25">
      <c r="D594" s="22"/>
    </row>
    <row r="595" spans="4:4" x14ac:dyDescent="0.25">
      <c r="D595" s="22"/>
    </row>
    <row r="596" spans="4:4" x14ac:dyDescent="0.25">
      <c r="D596" s="22"/>
    </row>
    <row r="597" spans="4:4" x14ac:dyDescent="0.25">
      <c r="D597" s="22"/>
    </row>
    <row r="598" spans="4:4" x14ac:dyDescent="0.25">
      <c r="D598" s="22"/>
    </row>
    <row r="599" spans="4:4" x14ac:dyDescent="0.25">
      <c r="D599" s="22"/>
    </row>
    <row r="600" spans="4:4" x14ac:dyDescent="0.25">
      <c r="D600" s="22"/>
    </row>
    <row r="601" spans="4:4" x14ac:dyDescent="0.25">
      <c r="D601" s="22"/>
    </row>
    <row r="602" spans="4:4" x14ac:dyDescent="0.25">
      <c r="D602" s="22"/>
    </row>
    <row r="603" spans="4:4" x14ac:dyDescent="0.25">
      <c r="D603" s="22"/>
    </row>
    <row r="604" spans="4:4" x14ac:dyDescent="0.25">
      <c r="D604" s="22"/>
    </row>
    <row r="605" spans="4:4" x14ac:dyDescent="0.25">
      <c r="D605" s="22"/>
    </row>
    <row r="606" spans="4:4" x14ac:dyDescent="0.25">
      <c r="D606" s="22"/>
    </row>
    <row r="607" spans="4:4" x14ac:dyDescent="0.25">
      <c r="D607" s="22"/>
    </row>
    <row r="608" spans="4:4" x14ac:dyDescent="0.25">
      <c r="D608" s="22"/>
    </row>
    <row r="609" spans="4:4" x14ac:dyDescent="0.25">
      <c r="D609" s="22"/>
    </row>
    <row r="610" spans="4:4" x14ac:dyDescent="0.25">
      <c r="D610" s="22"/>
    </row>
    <row r="611" spans="4:4" x14ac:dyDescent="0.25">
      <c r="D611" s="22"/>
    </row>
    <row r="612" spans="4:4" x14ac:dyDescent="0.25">
      <c r="D612" s="22"/>
    </row>
    <row r="613" spans="4:4" x14ac:dyDescent="0.25">
      <c r="D613" s="22"/>
    </row>
    <row r="614" spans="4:4" x14ac:dyDescent="0.25">
      <c r="D614" s="22"/>
    </row>
    <row r="615" spans="4:4" x14ac:dyDescent="0.25">
      <c r="D615" s="22"/>
    </row>
    <row r="616" spans="4:4" x14ac:dyDescent="0.25">
      <c r="D616" s="22"/>
    </row>
    <row r="617" spans="4:4" x14ac:dyDescent="0.25">
      <c r="D617" s="22"/>
    </row>
    <row r="618" spans="4:4" x14ac:dyDescent="0.25">
      <c r="D618" s="22"/>
    </row>
    <row r="619" spans="4:4" x14ac:dyDescent="0.25">
      <c r="D619" s="22"/>
    </row>
    <row r="620" spans="4:4" x14ac:dyDescent="0.25">
      <c r="D620" s="22"/>
    </row>
    <row r="621" spans="4:4" x14ac:dyDescent="0.25">
      <c r="D621" s="22"/>
    </row>
    <row r="622" spans="4:4" x14ac:dyDescent="0.25">
      <c r="D622" s="22"/>
    </row>
    <row r="623" spans="4:4" x14ac:dyDescent="0.25">
      <c r="D623" s="22"/>
    </row>
    <row r="624" spans="4:4" x14ac:dyDescent="0.25">
      <c r="D624" s="22"/>
    </row>
    <row r="625" spans="4:4" x14ac:dyDescent="0.25">
      <c r="D625" s="22"/>
    </row>
    <row r="626" spans="4:4" x14ac:dyDescent="0.25">
      <c r="D626" s="22"/>
    </row>
    <row r="627" spans="4:4" x14ac:dyDescent="0.25">
      <c r="D627" s="22"/>
    </row>
    <row r="628" spans="4:4" x14ac:dyDescent="0.25">
      <c r="D628" s="22"/>
    </row>
    <row r="629" spans="4:4" x14ac:dyDescent="0.25">
      <c r="D629" s="22"/>
    </row>
    <row r="630" spans="4:4" x14ac:dyDescent="0.25">
      <c r="D630" s="22"/>
    </row>
    <row r="631" spans="4:4" x14ac:dyDescent="0.25">
      <c r="D631" s="22"/>
    </row>
    <row r="632" spans="4:4" x14ac:dyDescent="0.25">
      <c r="D632" s="22"/>
    </row>
    <row r="633" spans="4:4" x14ac:dyDescent="0.25">
      <c r="D633" s="22"/>
    </row>
    <row r="634" spans="4:4" x14ac:dyDescent="0.25">
      <c r="D634" s="22"/>
    </row>
    <row r="635" spans="4:4" x14ac:dyDescent="0.25">
      <c r="D635" s="22"/>
    </row>
    <row r="636" spans="4:4" x14ac:dyDescent="0.25">
      <c r="D636" s="22"/>
    </row>
    <row r="637" spans="4:4" x14ac:dyDescent="0.25">
      <c r="D637" s="22"/>
    </row>
    <row r="638" spans="4:4" x14ac:dyDescent="0.25">
      <c r="D638" s="22"/>
    </row>
    <row r="639" spans="4:4" x14ac:dyDescent="0.25">
      <c r="D639" s="22"/>
    </row>
    <row r="640" spans="4:4" x14ac:dyDescent="0.25">
      <c r="D640" s="22"/>
    </row>
    <row r="641" spans="4:4" x14ac:dyDescent="0.25">
      <c r="D641" s="22"/>
    </row>
    <row r="642" spans="4:4" x14ac:dyDescent="0.25">
      <c r="D642" s="22"/>
    </row>
    <row r="643" spans="4:4" x14ac:dyDescent="0.25">
      <c r="D643" s="22"/>
    </row>
    <row r="644" spans="4:4" x14ac:dyDescent="0.25">
      <c r="D644" s="22"/>
    </row>
    <row r="645" spans="4:4" x14ac:dyDescent="0.25">
      <c r="D645" s="22"/>
    </row>
    <row r="646" spans="4:4" x14ac:dyDescent="0.25">
      <c r="D646" s="22"/>
    </row>
    <row r="647" spans="4:4" x14ac:dyDescent="0.25">
      <c r="D647" s="22"/>
    </row>
    <row r="648" spans="4:4" x14ac:dyDescent="0.25">
      <c r="D648" s="22"/>
    </row>
    <row r="649" spans="4:4" x14ac:dyDescent="0.25">
      <c r="D649" s="22"/>
    </row>
    <row r="650" spans="4:4" x14ac:dyDescent="0.25">
      <c r="D650" s="22"/>
    </row>
    <row r="651" spans="4:4" x14ac:dyDescent="0.25">
      <c r="D651" s="22"/>
    </row>
    <row r="652" spans="4:4" x14ac:dyDescent="0.25">
      <c r="D652" s="22"/>
    </row>
    <row r="653" spans="4:4" x14ac:dyDescent="0.25">
      <c r="D653" s="22"/>
    </row>
    <row r="654" spans="4:4" x14ac:dyDescent="0.25">
      <c r="D654" s="22"/>
    </row>
    <row r="655" spans="4:4" x14ac:dyDescent="0.25">
      <c r="D655" s="22"/>
    </row>
    <row r="656" spans="4:4" x14ac:dyDescent="0.25">
      <c r="D656" s="22"/>
    </row>
    <row r="657" spans="4:4" x14ac:dyDescent="0.25">
      <c r="D657" s="22"/>
    </row>
    <row r="658" spans="4:4" x14ac:dyDescent="0.25">
      <c r="D658" s="22"/>
    </row>
    <row r="659" spans="4:4" x14ac:dyDescent="0.25">
      <c r="D659" s="22"/>
    </row>
    <row r="660" spans="4:4" x14ac:dyDescent="0.25">
      <c r="D660" s="22"/>
    </row>
    <row r="661" spans="4:4" x14ac:dyDescent="0.25">
      <c r="D661" s="22"/>
    </row>
    <row r="662" spans="4:4" x14ac:dyDescent="0.25">
      <c r="D662" s="22"/>
    </row>
    <row r="663" spans="4:4" x14ac:dyDescent="0.25">
      <c r="D663" s="22"/>
    </row>
    <row r="664" spans="4:4" x14ac:dyDescent="0.25">
      <c r="D664" s="22"/>
    </row>
    <row r="665" spans="4:4" x14ac:dyDescent="0.25">
      <c r="D665" s="22"/>
    </row>
    <row r="666" spans="4:4" x14ac:dyDescent="0.25">
      <c r="D666" s="22"/>
    </row>
    <row r="667" spans="4:4" x14ac:dyDescent="0.25">
      <c r="D667" s="22"/>
    </row>
    <row r="668" spans="4:4" x14ac:dyDescent="0.25">
      <c r="D668" s="22"/>
    </row>
    <row r="669" spans="4:4" x14ac:dyDescent="0.25">
      <c r="D669" s="22"/>
    </row>
    <row r="670" spans="4:4" x14ac:dyDescent="0.25">
      <c r="D670" s="22"/>
    </row>
    <row r="671" spans="4:4" x14ac:dyDescent="0.25">
      <c r="D671" s="22"/>
    </row>
    <row r="672" spans="4:4" x14ac:dyDescent="0.25">
      <c r="D672" s="22"/>
    </row>
    <row r="673" spans="4:4" x14ac:dyDescent="0.25">
      <c r="D673" s="22"/>
    </row>
    <row r="674" spans="4:4" x14ac:dyDescent="0.25">
      <c r="D674" s="22"/>
    </row>
    <row r="675" spans="4:4" x14ac:dyDescent="0.25">
      <c r="D675" s="22"/>
    </row>
    <row r="676" spans="4:4" x14ac:dyDescent="0.25">
      <c r="D676" s="22"/>
    </row>
    <row r="677" spans="4:4" x14ac:dyDescent="0.25">
      <c r="D677" s="22"/>
    </row>
    <row r="678" spans="4:4" x14ac:dyDescent="0.25">
      <c r="D678" s="22"/>
    </row>
    <row r="679" spans="4:4" x14ac:dyDescent="0.25">
      <c r="D679" s="22"/>
    </row>
    <row r="680" spans="4:4" x14ac:dyDescent="0.25">
      <c r="D680" s="22"/>
    </row>
    <row r="681" spans="4:4" x14ac:dyDescent="0.25">
      <c r="D681" s="22"/>
    </row>
    <row r="682" spans="4:4" x14ac:dyDescent="0.25">
      <c r="D682" s="22"/>
    </row>
    <row r="683" spans="4:4" x14ac:dyDescent="0.25">
      <c r="D683" s="22"/>
    </row>
    <row r="684" spans="4:4" x14ac:dyDescent="0.25">
      <c r="D684" s="22"/>
    </row>
    <row r="685" spans="4:4" x14ac:dyDescent="0.25">
      <c r="D685" s="22"/>
    </row>
    <row r="686" spans="4:4" x14ac:dyDescent="0.25">
      <c r="D686" s="22"/>
    </row>
    <row r="687" spans="4:4" x14ac:dyDescent="0.25">
      <c r="D687" s="22"/>
    </row>
    <row r="688" spans="4:4" x14ac:dyDescent="0.25">
      <c r="D688" s="22"/>
    </row>
    <row r="689" spans="4:4" x14ac:dyDescent="0.25">
      <c r="D689" s="22"/>
    </row>
    <row r="690" spans="4:4" x14ac:dyDescent="0.25">
      <c r="D690" s="22"/>
    </row>
    <row r="691" spans="4:4" x14ac:dyDescent="0.25">
      <c r="D691" s="22"/>
    </row>
    <row r="692" spans="4:4" x14ac:dyDescent="0.25">
      <c r="D692" s="22"/>
    </row>
    <row r="693" spans="4:4" x14ac:dyDescent="0.25">
      <c r="D693" s="22"/>
    </row>
    <row r="694" spans="4:4" x14ac:dyDescent="0.25">
      <c r="D694" s="22"/>
    </row>
    <row r="695" spans="4:4" x14ac:dyDescent="0.25">
      <c r="D695" s="22"/>
    </row>
    <row r="696" spans="4:4" x14ac:dyDescent="0.25">
      <c r="D696" s="22"/>
    </row>
    <row r="697" spans="4:4" x14ac:dyDescent="0.25">
      <c r="D697" s="22"/>
    </row>
    <row r="698" spans="4:4" x14ac:dyDescent="0.25">
      <c r="D698" s="22"/>
    </row>
    <row r="699" spans="4:4" x14ac:dyDescent="0.25">
      <c r="D699" s="22"/>
    </row>
    <row r="700" spans="4:4" x14ac:dyDescent="0.25">
      <c r="D700" s="22"/>
    </row>
    <row r="701" spans="4:4" x14ac:dyDescent="0.25">
      <c r="D701" s="22"/>
    </row>
    <row r="702" spans="4:4" x14ac:dyDescent="0.25">
      <c r="D702" s="22"/>
    </row>
    <row r="703" spans="4:4" x14ac:dyDescent="0.25">
      <c r="D703" s="22"/>
    </row>
    <row r="704" spans="4:4" x14ac:dyDescent="0.25">
      <c r="D704" s="22"/>
    </row>
    <row r="705" spans="4:4" x14ac:dyDescent="0.25">
      <c r="D705" s="22"/>
    </row>
    <row r="706" spans="4:4" x14ac:dyDescent="0.25">
      <c r="D706" s="22"/>
    </row>
    <row r="707" spans="4:4" x14ac:dyDescent="0.25">
      <c r="D707" s="22"/>
    </row>
    <row r="708" spans="4:4" x14ac:dyDescent="0.25">
      <c r="D708" s="22"/>
    </row>
    <row r="709" spans="4:4" x14ac:dyDescent="0.25">
      <c r="D709" s="22"/>
    </row>
    <row r="710" spans="4:4" x14ac:dyDescent="0.25">
      <c r="D710" s="22"/>
    </row>
    <row r="711" spans="4:4" x14ac:dyDescent="0.25">
      <c r="D711" s="22"/>
    </row>
    <row r="712" spans="4:4" x14ac:dyDescent="0.25">
      <c r="D712" s="22"/>
    </row>
    <row r="713" spans="4:4" x14ac:dyDescent="0.25">
      <c r="D713" s="22"/>
    </row>
    <row r="714" spans="4:4" x14ac:dyDescent="0.25">
      <c r="D714" s="22"/>
    </row>
    <row r="715" spans="4:4" x14ac:dyDescent="0.25">
      <c r="D715" s="22"/>
    </row>
    <row r="716" spans="4:4" x14ac:dyDescent="0.25">
      <c r="D716" s="22"/>
    </row>
    <row r="717" spans="4:4" x14ac:dyDescent="0.25">
      <c r="D717" s="22"/>
    </row>
    <row r="718" spans="4:4" x14ac:dyDescent="0.25">
      <c r="D718" s="22"/>
    </row>
    <row r="719" spans="4:4" x14ac:dyDescent="0.25">
      <c r="D719" s="22"/>
    </row>
    <row r="720" spans="4:4" x14ac:dyDescent="0.25">
      <c r="D720" s="22"/>
    </row>
    <row r="721" spans="4:4" x14ac:dyDescent="0.25">
      <c r="D721" s="22"/>
    </row>
    <row r="722" spans="4:4" x14ac:dyDescent="0.25">
      <c r="D722" s="22"/>
    </row>
    <row r="723" spans="4:4" x14ac:dyDescent="0.25">
      <c r="D723" s="22"/>
    </row>
    <row r="724" spans="4:4" x14ac:dyDescent="0.25">
      <c r="D724" s="22"/>
    </row>
    <row r="725" spans="4:4" x14ac:dyDescent="0.25">
      <c r="D725" s="22"/>
    </row>
    <row r="726" spans="4:4" x14ac:dyDescent="0.25">
      <c r="D726" s="22"/>
    </row>
    <row r="727" spans="4:4" x14ac:dyDescent="0.25">
      <c r="D727" s="22"/>
    </row>
    <row r="728" spans="4:4" x14ac:dyDescent="0.25">
      <c r="D728" s="22"/>
    </row>
    <row r="729" spans="4:4" x14ac:dyDescent="0.25">
      <c r="D729" s="22"/>
    </row>
    <row r="730" spans="4:4" x14ac:dyDescent="0.25">
      <c r="D730" s="22"/>
    </row>
    <row r="731" spans="4:4" x14ac:dyDescent="0.25">
      <c r="D731" s="22"/>
    </row>
    <row r="732" spans="4:4" x14ac:dyDescent="0.25">
      <c r="D732" s="22"/>
    </row>
    <row r="733" spans="4:4" x14ac:dyDescent="0.25">
      <c r="D733" s="22"/>
    </row>
    <row r="734" spans="4:4" x14ac:dyDescent="0.25">
      <c r="D734" s="22"/>
    </row>
    <row r="735" spans="4:4" x14ac:dyDescent="0.25">
      <c r="D735" s="22"/>
    </row>
    <row r="736" spans="4:4" x14ac:dyDescent="0.25">
      <c r="D736" s="22"/>
    </row>
    <row r="737" spans="4:4" x14ac:dyDescent="0.25">
      <c r="D737" s="22"/>
    </row>
    <row r="738" spans="4:4" x14ac:dyDescent="0.25">
      <c r="D738" s="22"/>
    </row>
    <row r="739" spans="4:4" x14ac:dyDescent="0.25">
      <c r="D739" s="22"/>
    </row>
    <row r="740" spans="4:4" x14ac:dyDescent="0.25">
      <c r="D740" s="22"/>
    </row>
    <row r="741" spans="4:4" x14ac:dyDescent="0.25">
      <c r="D741" s="22"/>
    </row>
    <row r="742" spans="4:4" x14ac:dyDescent="0.25">
      <c r="D742" s="22"/>
    </row>
    <row r="743" spans="4:4" x14ac:dyDescent="0.25">
      <c r="D743" s="22"/>
    </row>
    <row r="744" spans="4:4" x14ac:dyDescent="0.25">
      <c r="D744" s="22"/>
    </row>
    <row r="745" spans="4:4" x14ac:dyDescent="0.25">
      <c r="D745" s="22"/>
    </row>
    <row r="746" spans="4:4" x14ac:dyDescent="0.25">
      <c r="D746" s="22"/>
    </row>
    <row r="747" spans="4:4" x14ac:dyDescent="0.25">
      <c r="D747" s="22"/>
    </row>
    <row r="748" spans="4:4" x14ac:dyDescent="0.25">
      <c r="D748" s="22"/>
    </row>
    <row r="749" spans="4:4" x14ac:dyDescent="0.25">
      <c r="D749" s="22"/>
    </row>
    <row r="750" spans="4:4" x14ac:dyDescent="0.25">
      <c r="D750" s="22"/>
    </row>
    <row r="751" spans="4:4" x14ac:dyDescent="0.25">
      <c r="D751" s="22"/>
    </row>
    <row r="752" spans="4:4" x14ac:dyDescent="0.25">
      <c r="D752" s="22"/>
    </row>
    <row r="753" spans="4:4" x14ac:dyDescent="0.25">
      <c r="D753" s="22"/>
    </row>
    <row r="754" spans="4:4" x14ac:dyDescent="0.25">
      <c r="D754" s="22"/>
    </row>
    <row r="755" spans="4:4" x14ac:dyDescent="0.25">
      <c r="D755" s="22"/>
    </row>
    <row r="756" spans="4:4" x14ac:dyDescent="0.25">
      <c r="D756" s="22"/>
    </row>
    <row r="757" spans="4:4" x14ac:dyDescent="0.25">
      <c r="D757" s="22"/>
    </row>
    <row r="758" spans="4:4" x14ac:dyDescent="0.25">
      <c r="D758" s="22"/>
    </row>
    <row r="759" spans="4:4" x14ac:dyDescent="0.25">
      <c r="D759" s="22"/>
    </row>
    <row r="760" spans="4:4" x14ac:dyDescent="0.25">
      <c r="D760" s="22"/>
    </row>
    <row r="761" spans="4:4" x14ac:dyDescent="0.25">
      <c r="D761" s="22"/>
    </row>
    <row r="762" spans="4:4" x14ac:dyDescent="0.25">
      <c r="D762" s="22"/>
    </row>
    <row r="763" spans="4:4" x14ac:dyDescent="0.25">
      <c r="D763" s="22"/>
    </row>
    <row r="764" spans="4:4" x14ac:dyDescent="0.25">
      <c r="D764" s="22"/>
    </row>
    <row r="765" spans="4:4" x14ac:dyDescent="0.25">
      <c r="D765" s="22"/>
    </row>
    <row r="766" spans="4:4" x14ac:dyDescent="0.25">
      <c r="D766" s="22"/>
    </row>
    <row r="767" spans="4:4" x14ac:dyDescent="0.25">
      <c r="D767" s="22"/>
    </row>
    <row r="768" spans="4:4" x14ac:dyDescent="0.25">
      <c r="D768" s="22"/>
    </row>
    <row r="769" spans="4:4" x14ac:dyDescent="0.25">
      <c r="D769" s="22"/>
    </row>
    <row r="770" spans="4:4" x14ac:dyDescent="0.25">
      <c r="D770" s="22"/>
    </row>
    <row r="771" spans="4:4" x14ac:dyDescent="0.25">
      <c r="D771" s="22"/>
    </row>
    <row r="772" spans="4:4" x14ac:dyDescent="0.25">
      <c r="D772" s="22"/>
    </row>
    <row r="773" spans="4:4" x14ac:dyDescent="0.25">
      <c r="D773" s="22"/>
    </row>
    <row r="774" spans="4:4" x14ac:dyDescent="0.25">
      <c r="D774" s="22"/>
    </row>
    <row r="775" spans="4:4" x14ac:dyDescent="0.25">
      <c r="D775" s="22"/>
    </row>
    <row r="776" spans="4:4" x14ac:dyDescent="0.25">
      <c r="D776" s="22"/>
    </row>
    <row r="777" spans="4:4" x14ac:dyDescent="0.25">
      <c r="D777" s="22"/>
    </row>
    <row r="778" spans="4:4" x14ac:dyDescent="0.25">
      <c r="D778" s="22"/>
    </row>
    <row r="779" spans="4:4" x14ac:dyDescent="0.25">
      <c r="D779" s="22"/>
    </row>
    <row r="780" spans="4:4" x14ac:dyDescent="0.25">
      <c r="D780" s="22"/>
    </row>
    <row r="781" spans="4:4" x14ac:dyDescent="0.25">
      <c r="D781" s="22"/>
    </row>
    <row r="782" spans="4:4" x14ac:dyDescent="0.25">
      <c r="D782" s="22"/>
    </row>
    <row r="783" spans="4:4" x14ac:dyDescent="0.25">
      <c r="D783" s="22"/>
    </row>
    <row r="784" spans="4:4" x14ac:dyDescent="0.25">
      <c r="D784" s="22"/>
    </row>
    <row r="785" spans="4:4" x14ac:dyDescent="0.25">
      <c r="D785" s="22"/>
    </row>
    <row r="786" spans="4:4" x14ac:dyDescent="0.25">
      <c r="D786" s="22"/>
    </row>
    <row r="787" spans="4:4" x14ac:dyDescent="0.25">
      <c r="D787" s="22"/>
    </row>
    <row r="788" spans="4:4" x14ac:dyDescent="0.25">
      <c r="D788" s="22"/>
    </row>
    <row r="789" spans="4:4" x14ac:dyDescent="0.25">
      <c r="D789" s="22"/>
    </row>
    <row r="790" spans="4:4" x14ac:dyDescent="0.25">
      <c r="D790" s="22"/>
    </row>
    <row r="791" spans="4:4" x14ac:dyDescent="0.25">
      <c r="D791" s="22"/>
    </row>
    <row r="792" spans="4:4" x14ac:dyDescent="0.25">
      <c r="D792" s="22"/>
    </row>
    <row r="793" spans="4:4" x14ac:dyDescent="0.25">
      <c r="D793" s="22"/>
    </row>
    <row r="794" spans="4:4" x14ac:dyDescent="0.25">
      <c r="D794" s="22"/>
    </row>
    <row r="795" spans="4:4" x14ac:dyDescent="0.25">
      <c r="D795" s="22"/>
    </row>
    <row r="796" spans="4:4" x14ac:dyDescent="0.25">
      <c r="D796" s="22"/>
    </row>
    <row r="797" spans="4:4" x14ac:dyDescent="0.25">
      <c r="D797" s="22"/>
    </row>
    <row r="798" spans="4:4" x14ac:dyDescent="0.25">
      <c r="D798" s="22"/>
    </row>
    <row r="799" spans="4:4" x14ac:dyDescent="0.25">
      <c r="D799" s="22"/>
    </row>
    <row r="800" spans="4:4" x14ac:dyDescent="0.25">
      <c r="D800" s="22"/>
    </row>
    <row r="801" spans="4:4" x14ac:dyDescent="0.25">
      <c r="D801" s="22"/>
    </row>
    <row r="802" spans="4:4" x14ac:dyDescent="0.25">
      <c r="D802" s="22"/>
    </row>
    <row r="803" spans="4:4" x14ac:dyDescent="0.25">
      <c r="D803" s="22"/>
    </row>
    <row r="804" spans="4:4" x14ac:dyDescent="0.25">
      <c r="D804" s="22"/>
    </row>
    <row r="805" spans="4:4" x14ac:dyDescent="0.25">
      <c r="D805" s="22"/>
    </row>
    <row r="806" spans="4:4" x14ac:dyDescent="0.25">
      <c r="D806" s="22"/>
    </row>
    <row r="807" spans="4:4" x14ac:dyDescent="0.25">
      <c r="D807" s="22"/>
    </row>
    <row r="808" spans="4:4" x14ac:dyDescent="0.25">
      <c r="D808" s="22"/>
    </row>
    <row r="809" spans="4:4" x14ac:dyDescent="0.25">
      <c r="D809" s="22"/>
    </row>
    <row r="810" spans="4:4" x14ac:dyDescent="0.25">
      <c r="D810" s="22"/>
    </row>
    <row r="811" spans="4:4" x14ac:dyDescent="0.25">
      <c r="D811" s="22"/>
    </row>
    <row r="812" spans="4:4" x14ac:dyDescent="0.25">
      <c r="D812" s="22"/>
    </row>
    <row r="813" spans="4:4" x14ac:dyDescent="0.25">
      <c r="D813" s="22"/>
    </row>
    <row r="814" spans="4:4" x14ac:dyDescent="0.25">
      <c r="D814" s="22"/>
    </row>
    <row r="815" spans="4:4" x14ac:dyDescent="0.25">
      <c r="D815" s="22"/>
    </row>
    <row r="816" spans="4:4" x14ac:dyDescent="0.25">
      <c r="D816" s="22"/>
    </row>
    <row r="817" spans="4:4" x14ac:dyDescent="0.25">
      <c r="D817" s="22"/>
    </row>
    <row r="818" spans="4:4" x14ac:dyDescent="0.25">
      <c r="D818" s="22"/>
    </row>
    <row r="819" spans="4:4" x14ac:dyDescent="0.25">
      <c r="D819" s="22"/>
    </row>
    <row r="820" spans="4:4" x14ac:dyDescent="0.25">
      <c r="D820" s="22"/>
    </row>
    <row r="821" spans="4:4" x14ac:dyDescent="0.25">
      <c r="D821" s="22"/>
    </row>
    <row r="822" spans="4:4" x14ac:dyDescent="0.25">
      <c r="D822" s="22"/>
    </row>
    <row r="823" spans="4:4" x14ac:dyDescent="0.25">
      <c r="D823" s="22"/>
    </row>
    <row r="824" spans="4:4" x14ac:dyDescent="0.25">
      <c r="D824" s="22"/>
    </row>
    <row r="825" spans="4:4" x14ac:dyDescent="0.25">
      <c r="D825" s="22"/>
    </row>
    <row r="826" spans="4:4" x14ac:dyDescent="0.25">
      <c r="D826" s="22"/>
    </row>
    <row r="827" spans="4:4" x14ac:dyDescent="0.25">
      <c r="D827" s="22"/>
    </row>
    <row r="828" spans="4:4" x14ac:dyDescent="0.25">
      <c r="D828" s="22"/>
    </row>
    <row r="829" spans="4:4" x14ac:dyDescent="0.25">
      <c r="D829" s="22"/>
    </row>
    <row r="830" spans="4:4" x14ac:dyDescent="0.25">
      <c r="D830" s="22"/>
    </row>
    <row r="831" spans="4:4" x14ac:dyDescent="0.25">
      <c r="D831" s="22"/>
    </row>
    <row r="832" spans="4:4" x14ac:dyDescent="0.25">
      <c r="D832" s="22"/>
    </row>
    <row r="833" spans="4:4" x14ac:dyDescent="0.25">
      <c r="D833" s="22"/>
    </row>
    <row r="834" spans="4:4" x14ac:dyDescent="0.25">
      <c r="D834" s="22"/>
    </row>
    <row r="835" spans="4:4" x14ac:dyDescent="0.25">
      <c r="D835" s="22"/>
    </row>
    <row r="836" spans="4:4" x14ac:dyDescent="0.25">
      <c r="D836" s="22"/>
    </row>
    <row r="837" spans="4:4" x14ac:dyDescent="0.25">
      <c r="D837" s="22"/>
    </row>
    <row r="838" spans="4:4" x14ac:dyDescent="0.25">
      <c r="D838" s="22"/>
    </row>
    <row r="839" spans="4:4" x14ac:dyDescent="0.25">
      <c r="D839" s="22"/>
    </row>
    <row r="840" spans="4:4" x14ac:dyDescent="0.25">
      <c r="D840" s="22"/>
    </row>
    <row r="841" spans="4:4" x14ac:dyDescent="0.25">
      <c r="D841" s="22"/>
    </row>
    <row r="842" spans="4:4" x14ac:dyDescent="0.25">
      <c r="D842" s="22"/>
    </row>
    <row r="843" spans="4:4" x14ac:dyDescent="0.25">
      <c r="D843" s="22"/>
    </row>
    <row r="844" spans="4:4" x14ac:dyDescent="0.25">
      <c r="D844" s="22"/>
    </row>
    <row r="845" spans="4:4" x14ac:dyDescent="0.25">
      <c r="D845" s="22"/>
    </row>
    <row r="846" spans="4:4" x14ac:dyDescent="0.25">
      <c r="D846" s="22"/>
    </row>
    <row r="847" spans="4:4" x14ac:dyDescent="0.25">
      <c r="D847" s="22"/>
    </row>
    <row r="848" spans="4:4" x14ac:dyDescent="0.25">
      <c r="D848" s="22"/>
    </row>
    <row r="849" spans="4:4" x14ac:dyDescent="0.25">
      <c r="D849" s="22"/>
    </row>
    <row r="850" spans="4:4" x14ac:dyDescent="0.25">
      <c r="D850" s="22"/>
    </row>
    <row r="851" spans="4:4" x14ac:dyDescent="0.25">
      <c r="D851" s="22"/>
    </row>
    <row r="852" spans="4:4" x14ac:dyDescent="0.25">
      <c r="D852" s="22"/>
    </row>
    <row r="853" spans="4:4" x14ac:dyDescent="0.25">
      <c r="D853" s="22"/>
    </row>
    <row r="854" spans="4:4" x14ac:dyDescent="0.25">
      <c r="D854" s="22"/>
    </row>
    <row r="855" spans="4:4" x14ac:dyDescent="0.25">
      <c r="D855" s="22"/>
    </row>
    <row r="856" spans="4:4" x14ac:dyDescent="0.25">
      <c r="D856" s="22"/>
    </row>
    <row r="857" spans="4:4" x14ac:dyDescent="0.25">
      <c r="D857" s="22"/>
    </row>
    <row r="858" spans="4:4" x14ac:dyDescent="0.25">
      <c r="D858" s="22"/>
    </row>
    <row r="859" spans="4:4" x14ac:dyDescent="0.25">
      <c r="D859" s="22"/>
    </row>
    <row r="860" spans="4:4" x14ac:dyDescent="0.25">
      <c r="D860" s="22"/>
    </row>
    <row r="861" spans="4:4" x14ac:dyDescent="0.25">
      <c r="D861" s="22"/>
    </row>
    <row r="862" spans="4:4" x14ac:dyDescent="0.25">
      <c r="D862" s="22"/>
    </row>
    <row r="863" spans="4:4" x14ac:dyDescent="0.25">
      <c r="D863" s="22"/>
    </row>
    <row r="864" spans="4:4" x14ac:dyDescent="0.25">
      <c r="D864" s="22"/>
    </row>
    <row r="865" spans="4:4" x14ac:dyDescent="0.25">
      <c r="D865" s="22"/>
    </row>
    <row r="866" spans="4:4" x14ac:dyDescent="0.25">
      <c r="D866" s="22"/>
    </row>
    <row r="867" spans="4:4" x14ac:dyDescent="0.25">
      <c r="D867" s="22"/>
    </row>
    <row r="868" spans="4:4" x14ac:dyDescent="0.25">
      <c r="D868" s="22"/>
    </row>
    <row r="869" spans="4:4" x14ac:dyDescent="0.25">
      <c r="D869" s="22"/>
    </row>
    <row r="870" spans="4:4" x14ac:dyDescent="0.25">
      <c r="D870" s="22"/>
    </row>
    <row r="871" spans="4:4" x14ac:dyDescent="0.25">
      <c r="D871" s="22"/>
    </row>
    <row r="872" spans="4:4" x14ac:dyDescent="0.25">
      <c r="D872" s="22"/>
    </row>
    <row r="873" spans="4:4" x14ac:dyDescent="0.25">
      <c r="D873" s="22"/>
    </row>
    <row r="874" spans="4:4" x14ac:dyDescent="0.25">
      <c r="D874" s="22"/>
    </row>
    <row r="875" spans="4:4" x14ac:dyDescent="0.25">
      <c r="D875" s="22"/>
    </row>
    <row r="876" spans="4:4" x14ac:dyDescent="0.25">
      <c r="D876" s="22"/>
    </row>
    <row r="877" spans="4:4" x14ac:dyDescent="0.25">
      <c r="D877" s="22"/>
    </row>
    <row r="878" spans="4:4" x14ac:dyDescent="0.25">
      <c r="D878" s="22"/>
    </row>
    <row r="879" spans="4:4" x14ac:dyDescent="0.25">
      <c r="D879" s="22"/>
    </row>
    <row r="880" spans="4:4" x14ac:dyDescent="0.25">
      <c r="D880" s="22"/>
    </row>
    <row r="881" spans="4:4" x14ac:dyDescent="0.25">
      <c r="D881" s="22"/>
    </row>
    <row r="882" spans="4:4" x14ac:dyDescent="0.25">
      <c r="D882" s="22"/>
    </row>
    <row r="883" spans="4:4" x14ac:dyDescent="0.25">
      <c r="D883" s="22"/>
    </row>
    <row r="884" spans="4:4" x14ac:dyDescent="0.25">
      <c r="D884" s="22"/>
    </row>
    <row r="885" spans="4:4" x14ac:dyDescent="0.25">
      <c r="D885" s="22"/>
    </row>
    <row r="886" spans="4:4" x14ac:dyDescent="0.25">
      <c r="D886" s="22"/>
    </row>
    <row r="887" spans="4:4" x14ac:dyDescent="0.25">
      <c r="D887" s="22"/>
    </row>
    <row r="888" spans="4:4" x14ac:dyDescent="0.25">
      <c r="D888" s="22"/>
    </row>
    <row r="889" spans="4:4" x14ac:dyDescent="0.25">
      <c r="D889" s="22"/>
    </row>
    <row r="890" spans="4:4" x14ac:dyDescent="0.25">
      <c r="D890" s="22"/>
    </row>
    <row r="891" spans="4:4" x14ac:dyDescent="0.25">
      <c r="D891" s="22"/>
    </row>
    <row r="892" spans="4:4" x14ac:dyDescent="0.25">
      <c r="D892" s="22"/>
    </row>
    <row r="893" spans="4:4" x14ac:dyDescent="0.25">
      <c r="D893" s="22"/>
    </row>
    <row r="894" spans="4:4" x14ac:dyDescent="0.25">
      <c r="D894" s="22"/>
    </row>
    <row r="895" spans="4:4" x14ac:dyDescent="0.25">
      <c r="D895" s="22"/>
    </row>
    <row r="896" spans="4:4" x14ac:dyDescent="0.25">
      <c r="D896" s="22"/>
    </row>
    <row r="897" spans="4:4" x14ac:dyDescent="0.25">
      <c r="D897" s="22"/>
    </row>
    <row r="898" spans="4:4" x14ac:dyDescent="0.25">
      <c r="D898" s="22"/>
    </row>
    <row r="899" spans="4:4" x14ac:dyDescent="0.25">
      <c r="D899" s="22"/>
    </row>
    <row r="900" spans="4:4" x14ac:dyDescent="0.25">
      <c r="D900" s="22"/>
    </row>
    <row r="901" spans="4:4" x14ac:dyDescent="0.25">
      <c r="D901" s="22"/>
    </row>
    <row r="902" spans="4:4" x14ac:dyDescent="0.25">
      <c r="D902" s="22"/>
    </row>
    <row r="903" spans="4:4" x14ac:dyDescent="0.25">
      <c r="D903" s="22"/>
    </row>
    <row r="904" spans="4:4" x14ac:dyDescent="0.25">
      <c r="D904" s="22"/>
    </row>
    <row r="905" spans="4:4" x14ac:dyDescent="0.25">
      <c r="D905" s="22"/>
    </row>
    <row r="906" spans="4:4" x14ac:dyDescent="0.25">
      <c r="D906" s="22"/>
    </row>
    <row r="907" spans="4:4" x14ac:dyDescent="0.25">
      <c r="D907" s="22"/>
    </row>
    <row r="908" spans="4:4" x14ac:dyDescent="0.25">
      <c r="D908" s="22"/>
    </row>
    <row r="909" spans="4:4" x14ac:dyDescent="0.25">
      <c r="D909" s="22"/>
    </row>
    <row r="910" spans="4:4" x14ac:dyDescent="0.25">
      <c r="D910" s="22"/>
    </row>
    <row r="911" spans="4:4" x14ac:dyDescent="0.25">
      <c r="D911" s="22"/>
    </row>
    <row r="912" spans="4:4" x14ac:dyDescent="0.25">
      <c r="D912" s="22"/>
    </row>
    <row r="913" spans="4:4" x14ac:dyDescent="0.25">
      <c r="D913" s="22"/>
    </row>
    <row r="914" spans="4:4" x14ac:dyDescent="0.25">
      <c r="D914" s="22"/>
    </row>
    <row r="915" spans="4:4" x14ac:dyDescent="0.25">
      <c r="D915" s="22"/>
    </row>
    <row r="916" spans="4:4" x14ac:dyDescent="0.25">
      <c r="D916" s="22"/>
    </row>
    <row r="917" spans="4:4" x14ac:dyDescent="0.25">
      <c r="D917" s="22"/>
    </row>
    <row r="918" spans="4:4" x14ac:dyDescent="0.25">
      <c r="D918" s="22"/>
    </row>
    <row r="919" spans="4:4" x14ac:dyDescent="0.25">
      <c r="D919" s="22"/>
    </row>
    <row r="920" spans="4:4" x14ac:dyDescent="0.25">
      <c r="D920" s="22"/>
    </row>
    <row r="921" spans="4:4" x14ac:dyDescent="0.25">
      <c r="D921" s="22"/>
    </row>
    <row r="922" spans="4:4" x14ac:dyDescent="0.25">
      <c r="D922" s="22"/>
    </row>
    <row r="923" spans="4:4" x14ac:dyDescent="0.25">
      <c r="D923" s="22"/>
    </row>
    <row r="924" spans="4:4" x14ac:dyDescent="0.25">
      <c r="D924" s="22"/>
    </row>
    <row r="925" spans="4:4" x14ac:dyDescent="0.25">
      <c r="D925" s="22"/>
    </row>
    <row r="926" spans="4:4" x14ac:dyDescent="0.25">
      <c r="D926" s="22"/>
    </row>
    <row r="927" spans="4:4" x14ac:dyDescent="0.25">
      <c r="D927" s="22"/>
    </row>
    <row r="928" spans="4:4" x14ac:dyDescent="0.25">
      <c r="D928" s="22"/>
    </row>
    <row r="929" spans="4:4" x14ac:dyDescent="0.25">
      <c r="D929" s="22"/>
    </row>
    <row r="930" spans="4:4" x14ac:dyDescent="0.25">
      <c r="D930" s="22"/>
    </row>
    <row r="931" spans="4:4" x14ac:dyDescent="0.25">
      <c r="D931" s="22"/>
    </row>
    <row r="932" spans="4:4" x14ac:dyDescent="0.25">
      <c r="D932" s="22"/>
    </row>
    <row r="933" spans="4:4" x14ac:dyDescent="0.25">
      <c r="D933" s="22"/>
    </row>
    <row r="934" spans="4:4" x14ac:dyDescent="0.25">
      <c r="D934" s="22"/>
    </row>
    <row r="935" spans="4:4" x14ac:dyDescent="0.25">
      <c r="D935" s="22"/>
    </row>
    <row r="936" spans="4:4" x14ac:dyDescent="0.25">
      <c r="D936" s="22"/>
    </row>
    <row r="937" spans="4:4" x14ac:dyDescent="0.25">
      <c r="D937" s="22"/>
    </row>
    <row r="938" spans="4:4" x14ac:dyDescent="0.25">
      <c r="D938" s="22"/>
    </row>
    <row r="939" spans="4:4" x14ac:dyDescent="0.25">
      <c r="D939" s="22"/>
    </row>
    <row r="940" spans="4:4" x14ac:dyDescent="0.25">
      <c r="D940" s="22"/>
    </row>
    <row r="941" spans="4:4" x14ac:dyDescent="0.25">
      <c r="D941" s="22"/>
    </row>
    <row r="942" spans="4:4" x14ac:dyDescent="0.25">
      <c r="D942" s="22"/>
    </row>
    <row r="943" spans="4:4" x14ac:dyDescent="0.25">
      <c r="D943" s="22"/>
    </row>
    <row r="944" spans="4:4" x14ac:dyDescent="0.25">
      <c r="D944" s="22"/>
    </row>
    <row r="945" spans="4:4" x14ac:dyDescent="0.25">
      <c r="D945" s="22"/>
    </row>
    <row r="946" spans="4:4" x14ac:dyDescent="0.25">
      <c r="D946" s="22"/>
    </row>
    <row r="947" spans="4:4" x14ac:dyDescent="0.25">
      <c r="D947" s="22"/>
    </row>
    <row r="948" spans="4:4" x14ac:dyDescent="0.25">
      <c r="D948" s="22"/>
    </row>
    <row r="949" spans="4:4" x14ac:dyDescent="0.25">
      <c r="D949" s="22"/>
    </row>
    <row r="950" spans="4:4" x14ac:dyDescent="0.25">
      <c r="D950" s="22"/>
    </row>
    <row r="951" spans="4:4" x14ac:dyDescent="0.25">
      <c r="D951" s="22"/>
    </row>
    <row r="952" spans="4:4" x14ac:dyDescent="0.25">
      <c r="D952" s="22"/>
    </row>
    <row r="953" spans="4:4" x14ac:dyDescent="0.25">
      <c r="D953" s="22"/>
    </row>
    <row r="954" spans="4:4" x14ac:dyDescent="0.25">
      <c r="D954" s="22"/>
    </row>
    <row r="955" spans="4:4" x14ac:dyDescent="0.25">
      <c r="D955" s="22"/>
    </row>
    <row r="956" spans="4:4" x14ac:dyDescent="0.25">
      <c r="D956" s="22"/>
    </row>
    <row r="957" spans="4:4" x14ac:dyDescent="0.25">
      <c r="D957" s="22"/>
    </row>
    <row r="958" spans="4:4" x14ac:dyDescent="0.25">
      <c r="D958" s="22"/>
    </row>
    <row r="959" spans="4:4" x14ac:dyDescent="0.25">
      <c r="D959" s="22"/>
    </row>
    <row r="960" spans="4:4" x14ac:dyDescent="0.25">
      <c r="D960" s="22"/>
    </row>
    <row r="961" spans="4:4" x14ac:dyDescent="0.25">
      <c r="D961" s="22"/>
    </row>
    <row r="962" spans="4:4" x14ac:dyDescent="0.25">
      <c r="D962" s="22"/>
    </row>
    <row r="963" spans="4:4" x14ac:dyDescent="0.25">
      <c r="D963" s="22"/>
    </row>
    <row r="964" spans="4:4" x14ac:dyDescent="0.25">
      <c r="D964" s="22"/>
    </row>
    <row r="965" spans="4:4" x14ac:dyDescent="0.25">
      <c r="D965" s="22"/>
    </row>
    <row r="966" spans="4:4" x14ac:dyDescent="0.25">
      <c r="D966" s="22"/>
    </row>
    <row r="967" spans="4:4" x14ac:dyDescent="0.25">
      <c r="D967" s="22"/>
    </row>
    <row r="968" spans="4:4" x14ac:dyDescent="0.25">
      <c r="D968" s="22"/>
    </row>
    <row r="969" spans="4:4" x14ac:dyDescent="0.25">
      <c r="D969" s="22"/>
    </row>
    <row r="970" spans="4:4" x14ac:dyDescent="0.25">
      <c r="D970" s="22"/>
    </row>
    <row r="971" spans="4:4" x14ac:dyDescent="0.25">
      <c r="D971" s="22"/>
    </row>
    <row r="972" spans="4:4" x14ac:dyDescent="0.25">
      <c r="D972" s="22"/>
    </row>
    <row r="973" spans="4:4" x14ac:dyDescent="0.25">
      <c r="D973" s="22"/>
    </row>
    <row r="974" spans="4:4" x14ac:dyDescent="0.25">
      <c r="D974" s="22"/>
    </row>
    <row r="975" spans="4:4" x14ac:dyDescent="0.25">
      <c r="D975" s="22"/>
    </row>
    <row r="976" spans="4:4" x14ac:dyDescent="0.25">
      <c r="D976" s="22"/>
    </row>
    <row r="977" spans="4:4" x14ac:dyDescent="0.25">
      <c r="D977" s="22"/>
    </row>
    <row r="978" spans="4:4" x14ac:dyDescent="0.25">
      <c r="D978" s="22"/>
    </row>
    <row r="979" spans="4:4" x14ac:dyDescent="0.25">
      <c r="D979" s="22"/>
    </row>
    <row r="980" spans="4:4" x14ac:dyDescent="0.25">
      <c r="D980" s="22"/>
    </row>
    <row r="981" spans="4:4" x14ac:dyDescent="0.25">
      <c r="D981" s="22"/>
    </row>
    <row r="982" spans="4:4" x14ac:dyDescent="0.25">
      <c r="D982" s="22"/>
    </row>
    <row r="983" spans="4:4" x14ac:dyDescent="0.25">
      <c r="D983" s="22"/>
    </row>
    <row r="984" spans="4:4" x14ac:dyDescent="0.25">
      <c r="D984" s="22"/>
    </row>
    <row r="985" spans="4:4" x14ac:dyDescent="0.25">
      <c r="D985" s="22"/>
    </row>
    <row r="986" spans="4:4" x14ac:dyDescent="0.25">
      <c r="D986" s="22"/>
    </row>
    <row r="987" spans="4:4" x14ac:dyDescent="0.25">
      <c r="D987" s="22"/>
    </row>
    <row r="988" spans="4:4" x14ac:dyDescent="0.25">
      <c r="D988" s="22"/>
    </row>
    <row r="989" spans="4:4" x14ac:dyDescent="0.25">
      <c r="D989" s="22"/>
    </row>
    <row r="990" spans="4:4" x14ac:dyDescent="0.25">
      <c r="D990" s="22"/>
    </row>
    <row r="991" spans="4:4" x14ac:dyDescent="0.25">
      <c r="D991" s="22"/>
    </row>
    <row r="992" spans="4:4" x14ac:dyDescent="0.25">
      <c r="D992" s="22"/>
    </row>
    <row r="993" spans="4:4" x14ac:dyDescent="0.25">
      <c r="D993" s="22"/>
    </row>
    <row r="994" spans="4:4" x14ac:dyDescent="0.25">
      <c r="D994" s="22"/>
    </row>
    <row r="995" spans="4:4" x14ac:dyDescent="0.25">
      <c r="D995" s="22"/>
    </row>
    <row r="996" spans="4:4" x14ac:dyDescent="0.25">
      <c r="D996" s="22"/>
    </row>
    <row r="997" spans="4:4" x14ac:dyDescent="0.25">
      <c r="D997" s="22"/>
    </row>
    <row r="998" spans="4:4" x14ac:dyDescent="0.25">
      <c r="D998" s="22"/>
    </row>
    <row r="999" spans="4:4" x14ac:dyDescent="0.25">
      <c r="D999" s="22"/>
    </row>
    <row r="1000" spans="4:4" x14ac:dyDescent="0.25">
      <c r="D1000" s="22"/>
    </row>
    <row r="1001" spans="4:4" x14ac:dyDescent="0.25">
      <c r="D1001" s="22"/>
    </row>
    <row r="1002" spans="4:4" x14ac:dyDescent="0.25">
      <c r="D1002" s="22"/>
    </row>
    <row r="1003" spans="4:4" x14ac:dyDescent="0.25">
      <c r="D1003" s="22"/>
    </row>
    <row r="1004" spans="4:4" x14ac:dyDescent="0.25">
      <c r="D1004" s="22"/>
    </row>
    <row r="1005" spans="4:4" x14ac:dyDescent="0.25">
      <c r="D1005" s="22"/>
    </row>
    <row r="1006" spans="4:4" x14ac:dyDescent="0.25">
      <c r="D1006" s="22"/>
    </row>
    <row r="1007" spans="4:4" x14ac:dyDescent="0.25">
      <c r="D1007" s="22"/>
    </row>
    <row r="1008" spans="4:4" x14ac:dyDescent="0.25">
      <c r="D1008" s="22"/>
    </row>
    <row r="1009" spans="4:4" x14ac:dyDescent="0.25">
      <c r="D1009" s="22"/>
    </row>
    <row r="1010" spans="4:4" x14ac:dyDescent="0.25">
      <c r="D1010" s="22"/>
    </row>
    <row r="1011" spans="4:4" x14ac:dyDescent="0.25">
      <c r="D1011" s="22"/>
    </row>
    <row r="1012" spans="4:4" x14ac:dyDescent="0.25">
      <c r="D1012" s="22"/>
    </row>
    <row r="1013" spans="4:4" x14ac:dyDescent="0.25">
      <c r="D1013" s="22"/>
    </row>
    <row r="1014" spans="4:4" x14ac:dyDescent="0.25">
      <c r="D1014" s="22"/>
    </row>
    <row r="1015" spans="4:4" x14ac:dyDescent="0.25">
      <c r="D1015" s="22"/>
    </row>
    <row r="1016" spans="4:4" x14ac:dyDescent="0.25">
      <c r="D1016" s="22"/>
    </row>
    <row r="1017" spans="4:4" x14ac:dyDescent="0.25">
      <c r="D1017" s="22"/>
    </row>
    <row r="1018" spans="4:4" x14ac:dyDescent="0.25">
      <c r="D1018" s="22"/>
    </row>
    <row r="1019" spans="4:4" x14ac:dyDescent="0.25">
      <c r="D1019" s="22"/>
    </row>
    <row r="1020" spans="4:4" x14ac:dyDescent="0.25">
      <c r="D1020" s="22"/>
    </row>
    <row r="1021" spans="4:4" x14ac:dyDescent="0.25">
      <c r="D1021" s="22"/>
    </row>
    <row r="1022" spans="4:4" x14ac:dyDescent="0.25">
      <c r="D1022" s="22"/>
    </row>
    <row r="1023" spans="4:4" x14ac:dyDescent="0.25">
      <c r="D1023" s="22"/>
    </row>
    <row r="1024" spans="4:4" x14ac:dyDescent="0.25">
      <c r="D1024" s="22"/>
    </row>
    <row r="1025" spans="4:4" x14ac:dyDescent="0.25">
      <c r="D1025" s="22"/>
    </row>
    <row r="1026" spans="4:4" x14ac:dyDescent="0.25">
      <c r="D1026" s="22"/>
    </row>
    <row r="1027" spans="4:4" x14ac:dyDescent="0.25">
      <c r="D1027" s="22"/>
    </row>
    <row r="1028" spans="4:4" x14ac:dyDescent="0.25">
      <c r="D1028" s="22"/>
    </row>
    <row r="1029" spans="4:4" x14ac:dyDescent="0.25">
      <c r="D1029" s="22"/>
    </row>
    <row r="1030" spans="4:4" x14ac:dyDescent="0.25">
      <c r="D1030" s="22"/>
    </row>
    <row r="1031" spans="4:4" x14ac:dyDescent="0.25">
      <c r="D1031" s="22"/>
    </row>
    <row r="1032" spans="4:4" x14ac:dyDescent="0.25">
      <c r="D1032" s="22"/>
    </row>
    <row r="1033" spans="4:4" x14ac:dyDescent="0.25">
      <c r="D1033" s="22"/>
    </row>
    <row r="1034" spans="4:4" x14ac:dyDescent="0.25">
      <c r="D1034" s="22"/>
    </row>
    <row r="1035" spans="4:4" x14ac:dyDescent="0.25">
      <c r="D1035" s="22"/>
    </row>
    <row r="1036" spans="4:4" x14ac:dyDescent="0.25">
      <c r="D1036" s="22"/>
    </row>
    <row r="1037" spans="4:4" x14ac:dyDescent="0.25">
      <c r="D1037" s="22"/>
    </row>
    <row r="1038" spans="4:4" x14ac:dyDescent="0.25">
      <c r="D1038" s="22"/>
    </row>
    <row r="1039" spans="4:4" x14ac:dyDescent="0.25">
      <c r="D1039" s="22"/>
    </row>
    <row r="1040" spans="4:4" x14ac:dyDescent="0.25">
      <c r="D1040" s="22"/>
    </row>
    <row r="1041" spans="4:4" x14ac:dyDescent="0.25">
      <c r="D1041" s="22"/>
    </row>
    <row r="1042" spans="4:4" x14ac:dyDescent="0.25">
      <c r="D1042" s="22"/>
    </row>
    <row r="1043" spans="4:4" x14ac:dyDescent="0.25">
      <c r="D1043" s="22"/>
    </row>
    <row r="1044" spans="4:4" x14ac:dyDescent="0.25">
      <c r="D1044" s="22"/>
    </row>
    <row r="1045" spans="4:4" x14ac:dyDescent="0.25">
      <c r="D1045" s="22"/>
    </row>
    <row r="1046" spans="4:4" x14ac:dyDescent="0.25">
      <c r="D1046" s="22"/>
    </row>
    <row r="1047" spans="4:4" x14ac:dyDescent="0.25">
      <c r="D1047" s="22"/>
    </row>
    <row r="1048" spans="4:4" x14ac:dyDescent="0.25">
      <c r="D1048" s="22"/>
    </row>
    <row r="1049" spans="4:4" x14ac:dyDescent="0.25">
      <c r="D1049" s="22"/>
    </row>
    <row r="1050" spans="4:4" x14ac:dyDescent="0.25">
      <c r="D1050" s="22"/>
    </row>
    <row r="1051" spans="4:4" x14ac:dyDescent="0.25">
      <c r="D1051" s="22"/>
    </row>
    <row r="1052" spans="4:4" x14ac:dyDescent="0.25">
      <c r="D1052" s="22"/>
    </row>
    <row r="1053" spans="4:4" x14ac:dyDescent="0.25">
      <c r="D1053" s="22"/>
    </row>
    <row r="1054" spans="4:4" x14ac:dyDescent="0.25">
      <c r="D1054" s="22"/>
    </row>
    <row r="1055" spans="4:4" x14ac:dyDescent="0.25">
      <c r="D1055" s="22"/>
    </row>
    <row r="1056" spans="4:4" x14ac:dyDescent="0.25">
      <c r="D1056" s="22"/>
    </row>
    <row r="1057" spans="4:4" x14ac:dyDescent="0.25">
      <c r="D1057" s="22"/>
    </row>
    <row r="1058" spans="4:4" x14ac:dyDescent="0.25">
      <c r="D1058" s="22"/>
    </row>
    <row r="1059" spans="4:4" x14ac:dyDescent="0.25">
      <c r="D1059" s="22"/>
    </row>
    <row r="1060" spans="4:4" x14ac:dyDescent="0.25">
      <c r="D1060" s="22"/>
    </row>
    <row r="1061" spans="4:4" x14ac:dyDescent="0.25">
      <c r="D1061" s="22"/>
    </row>
    <row r="1062" spans="4:4" x14ac:dyDescent="0.25">
      <c r="D1062" s="22"/>
    </row>
    <row r="1063" spans="4:4" x14ac:dyDescent="0.25">
      <c r="D1063" s="22"/>
    </row>
    <row r="1064" spans="4:4" x14ac:dyDescent="0.25">
      <c r="D1064" s="22"/>
    </row>
    <row r="1065" spans="4:4" x14ac:dyDescent="0.25">
      <c r="D1065" s="22"/>
    </row>
    <row r="1066" spans="4:4" x14ac:dyDescent="0.25">
      <c r="D1066" s="22"/>
    </row>
    <row r="1067" spans="4:4" x14ac:dyDescent="0.25">
      <c r="D1067" s="22"/>
    </row>
    <row r="1068" spans="4:4" x14ac:dyDescent="0.25">
      <c r="D1068" s="22"/>
    </row>
    <row r="1069" spans="4:4" x14ac:dyDescent="0.25">
      <c r="D1069" s="22"/>
    </row>
    <row r="1070" spans="4:4" x14ac:dyDescent="0.25">
      <c r="D1070" s="22"/>
    </row>
    <row r="1071" spans="4:4" x14ac:dyDescent="0.25">
      <c r="D1071" s="22"/>
    </row>
    <row r="1072" spans="4:4" x14ac:dyDescent="0.25">
      <c r="D1072" s="22"/>
    </row>
    <row r="1073" spans="4:4" x14ac:dyDescent="0.25">
      <c r="D1073" s="22"/>
    </row>
    <row r="1074" spans="4:4" x14ac:dyDescent="0.25">
      <c r="D1074" s="22"/>
    </row>
    <row r="1075" spans="4:4" x14ac:dyDescent="0.25">
      <c r="D1075" s="22"/>
    </row>
    <row r="1076" spans="4:4" x14ac:dyDescent="0.25">
      <c r="D1076" s="22"/>
    </row>
    <row r="1077" spans="4:4" x14ac:dyDescent="0.25">
      <c r="D1077" s="22"/>
    </row>
    <row r="1078" spans="4:4" x14ac:dyDescent="0.25">
      <c r="D1078" s="22"/>
    </row>
    <row r="1079" spans="4:4" x14ac:dyDescent="0.25">
      <c r="D1079" s="22"/>
    </row>
    <row r="1080" spans="4:4" x14ac:dyDescent="0.25">
      <c r="D1080" s="22"/>
    </row>
    <row r="1081" spans="4:4" x14ac:dyDescent="0.25">
      <c r="D1081" s="22"/>
    </row>
    <row r="1082" spans="4:4" x14ac:dyDescent="0.25">
      <c r="D1082" s="22"/>
    </row>
    <row r="1083" spans="4:4" x14ac:dyDescent="0.25">
      <c r="D1083" s="22"/>
    </row>
    <row r="1084" spans="4:4" x14ac:dyDescent="0.25">
      <c r="D1084" s="22"/>
    </row>
    <row r="1085" spans="4:4" x14ac:dyDescent="0.25">
      <c r="D1085" s="22"/>
    </row>
    <row r="1086" spans="4:4" x14ac:dyDescent="0.25">
      <c r="D1086" s="22"/>
    </row>
    <row r="1087" spans="4:4" x14ac:dyDescent="0.25">
      <c r="D1087" s="22"/>
    </row>
    <row r="1088" spans="4:4" x14ac:dyDescent="0.25">
      <c r="D1088" s="22"/>
    </row>
    <row r="1089" spans="4:4" x14ac:dyDescent="0.25">
      <c r="D1089" s="22"/>
    </row>
    <row r="1090" spans="4:4" x14ac:dyDescent="0.25">
      <c r="D1090" s="22"/>
    </row>
    <row r="1091" spans="4:4" x14ac:dyDescent="0.25">
      <c r="D1091" s="22"/>
    </row>
    <row r="1092" spans="4:4" x14ac:dyDescent="0.25">
      <c r="D1092" s="22"/>
    </row>
    <row r="1093" spans="4:4" x14ac:dyDescent="0.25">
      <c r="D1093" s="22"/>
    </row>
    <row r="1094" spans="4:4" x14ac:dyDescent="0.25">
      <c r="D1094" s="22"/>
    </row>
    <row r="1095" spans="4:4" x14ac:dyDescent="0.25">
      <c r="D1095" s="22"/>
    </row>
    <row r="1096" spans="4:4" x14ac:dyDescent="0.25">
      <c r="D1096" s="22"/>
    </row>
    <row r="1097" spans="4:4" x14ac:dyDescent="0.25">
      <c r="D1097" s="22"/>
    </row>
    <row r="1098" spans="4:4" x14ac:dyDescent="0.25">
      <c r="D1098" s="22"/>
    </row>
    <row r="1099" spans="4:4" x14ac:dyDescent="0.25">
      <c r="D1099" s="22"/>
    </row>
    <row r="1100" spans="4:4" x14ac:dyDescent="0.25">
      <c r="D1100" s="22"/>
    </row>
    <row r="1101" spans="4:4" x14ac:dyDescent="0.25">
      <c r="D1101" s="22"/>
    </row>
    <row r="1102" spans="4:4" x14ac:dyDescent="0.25">
      <c r="D1102" s="22"/>
    </row>
    <row r="1103" spans="4:4" x14ac:dyDescent="0.25">
      <c r="D1103" s="22"/>
    </row>
    <row r="1104" spans="4:4" x14ac:dyDescent="0.25">
      <c r="D1104" s="22"/>
    </row>
    <row r="1105" spans="4:4" x14ac:dyDescent="0.25">
      <c r="D1105" s="22"/>
    </row>
    <row r="1106" spans="4:4" x14ac:dyDescent="0.25">
      <c r="D1106" s="22"/>
    </row>
    <row r="1107" spans="4:4" x14ac:dyDescent="0.25">
      <c r="D1107" s="22"/>
    </row>
    <row r="1108" spans="4:4" x14ac:dyDescent="0.25">
      <c r="D1108" s="22"/>
    </row>
    <row r="1109" spans="4:4" x14ac:dyDescent="0.25">
      <c r="D1109" s="22"/>
    </row>
    <row r="1110" spans="4:4" x14ac:dyDescent="0.25">
      <c r="D1110" s="22"/>
    </row>
    <row r="1111" spans="4:4" x14ac:dyDescent="0.25">
      <c r="D1111" s="22"/>
    </row>
    <row r="1112" spans="4:4" x14ac:dyDescent="0.25">
      <c r="D1112" s="22"/>
    </row>
    <row r="1113" spans="4:4" x14ac:dyDescent="0.25">
      <c r="D1113" s="22"/>
    </row>
    <row r="1114" spans="4:4" x14ac:dyDescent="0.25">
      <c r="D1114" s="22"/>
    </row>
    <row r="1115" spans="4:4" x14ac:dyDescent="0.25">
      <c r="D1115" s="22"/>
    </row>
    <row r="1116" spans="4:4" x14ac:dyDescent="0.25">
      <c r="D1116" s="22"/>
    </row>
    <row r="1117" spans="4:4" x14ac:dyDescent="0.25">
      <c r="D1117" s="22"/>
    </row>
    <row r="1118" spans="4:4" x14ac:dyDescent="0.25">
      <c r="D1118" s="22"/>
    </row>
    <row r="1119" spans="4:4" x14ac:dyDescent="0.25">
      <c r="D1119" s="22"/>
    </row>
    <row r="1120" spans="4:4" x14ac:dyDescent="0.25">
      <c r="D1120" s="22"/>
    </row>
    <row r="1121" spans="4:4" x14ac:dyDescent="0.25">
      <c r="D1121" s="22"/>
    </row>
    <row r="1122" spans="4:4" x14ac:dyDescent="0.25">
      <c r="D1122" s="22"/>
    </row>
    <row r="1123" spans="4:4" x14ac:dyDescent="0.25">
      <c r="D1123" s="22"/>
    </row>
    <row r="1124" spans="4:4" x14ac:dyDescent="0.25">
      <c r="D1124" s="22"/>
    </row>
    <row r="1125" spans="4:4" x14ac:dyDescent="0.25">
      <c r="D1125" s="22"/>
    </row>
    <row r="1126" spans="4:4" x14ac:dyDescent="0.25">
      <c r="D1126" s="22"/>
    </row>
    <row r="1127" spans="4:4" x14ac:dyDescent="0.25">
      <c r="D1127" s="22"/>
    </row>
    <row r="1128" spans="4:4" x14ac:dyDescent="0.25">
      <c r="D1128" s="22"/>
    </row>
    <row r="1129" spans="4:4" x14ac:dyDescent="0.25">
      <c r="D1129" s="22"/>
    </row>
    <row r="1130" spans="4:4" x14ac:dyDescent="0.25">
      <c r="D1130" s="22"/>
    </row>
    <row r="1131" spans="4:4" x14ac:dyDescent="0.25">
      <c r="D1131" s="22"/>
    </row>
    <row r="1132" spans="4:4" x14ac:dyDescent="0.25">
      <c r="D1132" s="22"/>
    </row>
    <row r="1133" spans="4:4" x14ac:dyDescent="0.25">
      <c r="D1133" s="22"/>
    </row>
    <row r="1134" spans="4:4" x14ac:dyDescent="0.25">
      <c r="D1134" s="22"/>
    </row>
    <row r="1135" spans="4:4" x14ac:dyDescent="0.25">
      <c r="D1135" s="22"/>
    </row>
    <row r="1136" spans="4:4" x14ac:dyDescent="0.25">
      <c r="D1136" s="22"/>
    </row>
    <row r="1137" spans="4:4" x14ac:dyDescent="0.25">
      <c r="D1137" s="22"/>
    </row>
    <row r="1138" spans="4:4" x14ac:dyDescent="0.25">
      <c r="D1138" s="22"/>
    </row>
    <row r="1139" spans="4:4" x14ac:dyDescent="0.25">
      <c r="D1139" s="22"/>
    </row>
    <row r="1140" spans="4:4" x14ac:dyDescent="0.25">
      <c r="D1140" s="22"/>
    </row>
    <row r="1141" spans="4:4" x14ac:dyDescent="0.25">
      <c r="D1141" s="22"/>
    </row>
    <row r="1142" spans="4:4" x14ac:dyDescent="0.25">
      <c r="D1142" s="22"/>
    </row>
    <row r="1143" spans="4:4" x14ac:dyDescent="0.25">
      <c r="D1143" s="22"/>
    </row>
    <row r="1144" spans="4:4" x14ac:dyDescent="0.25">
      <c r="D1144" s="22"/>
    </row>
    <row r="1145" spans="4:4" x14ac:dyDescent="0.25">
      <c r="D1145" s="22"/>
    </row>
    <row r="1146" spans="4:4" x14ac:dyDescent="0.25">
      <c r="D1146" s="22"/>
    </row>
    <row r="1147" spans="4:4" x14ac:dyDescent="0.25">
      <c r="D1147" s="22"/>
    </row>
    <row r="1148" spans="4:4" x14ac:dyDescent="0.25">
      <c r="D1148" s="22"/>
    </row>
    <row r="1149" spans="4:4" x14ac:dyDescent="0.25">
      <c r="D1149" s="22"/>
    </row>
    <row r="1150" spans="4:4" x14ac:dyDescent="0.25">
      <c r="D1150" s="22"/>
    </row>
    <row r="1151" spans="4:4" x14ac:dyDescent="0.25">
      <c r="D1151" s="22"/>
    </row>
    <row r="1152" spans="4:4" x14ac:dyDescent="0.25">
      <c r="D1152" s="22"/>
    </row>
    <row r="1153" spans="4:4" x14ac:dyDescent="0.25">
      <c r="D1153" s="22"/>
    </row>
    <row r="1154" spans="4:4" x14ac:dyDescent="0.25">
      <c r="D1154" s="22"/>
    </row>
    <row r="1155" spans="4:4" x14ac:dyDescent="0.25">
      <c r="D1155" s="22"/>
    </row>
    <row r="1156" spans="4:4" x14ac:dyDescent="0.25">
      <c r="D1156" s="22"/>
    </row>
    <row r="1157" spans="4:4" x14ac:dyDescent="0.25">
      <c r="D1157" s="22"/>
    </row>
    <row r="1158" spans="4:4" x14ac:dyDescent="0.25">
      <c r="D1158" s="22"/>
    </row>
    <row r="1159" spans="4:4" x14ac:dyDescent="0.25">
      <c r="D1159" s="22"/>
    </row>
    <row r="1160" spans="4:4" x14ac:dyDescent="0.25">
      <c r="D1160" s="22"/>
    </row>
    <row r="1161" spans="4:4" x14ac:dyDescent="0.25">
      <c r="D1161" s="22"/>
    </row>
    <row r="1162" spans="4:4" x14ac:dyDescent="0.25">
      <c r="D1162" s="22"/>
    </row>
    <row r="1163" spans="4:4" x14ac:dyDescent="0.25">
      <c r="D1163" s="22"/>
    </row>
    <row r="1164" spans="4:4" x14ac:dyDescent="0.25">
      <c r="D1164" s="22"/>
    </row>
    <row r="1165" spans="4:4" x14ac:dyDescent="0.25">
      <c r="D1165" s="22"/>
    </row>
    <row r="1166" spans="4:4" x14ac:dyDescent="0.25">
      <c r="D1166" s="22"/>
    </row>
    <row r="1167" spans="4:4" x14ac:dyDescent="0.25">
      <c r="D1167" s="22"/>
    </row>
    <row r="1168" spans="4:4" x14ac:dyDescent="0.25">
      <c r="D1168" s="22"/>
    </row>
    <row r="1169" spans="4:4" x14ac:dyDescent="0.25">
      <c r="D1169" s="22"/>
    </row>
    <row r="1170" spans="4:4" x14ac:dyDescent="0.25">
      <c r="D1170" s="22"/>
    </row>
    <row r="1171" spans="4:4" x14ac:dyDescent="0.25">
      <c r="D1171" s="22"/>
    </row>
    <row r="1172" spans="4:4" x14ac:dyDescent="0.25">
      <c r="D1172" s="22"/>
    </row>
    <row r="1173" spans="4:4" x14ac:dyDescent="0.25">
      <c r="D1173" s="22"/>
    </row>
    <row r="1174" spans="4:4" x14ac:dyDescent="0.25">
      <c r="D1174" s="22"/>
    </row>
    <row r="1175" spans="4:4" x14ac:dyDescent="0.25">
      <c r="D1175" s="22"/>
    </row>
    <row r="1176" spans="4:4" x14ac:dyDescent="0.25">
      <c r="D1176" s="22"/>
    </row>
    <row r="1177" spans="4:4" x14ac:dyDescent="0.25">
      <c r="D1177" s="22"/>
    </row>
    <row r="1178" spans="4:4" x14ac:dyDescent="0.25">
      <c r="D1178" s="22"/>
    </row>
    <row r="1179" spans="4:4" x14ac:dyDescent="0.25">
      <c r="D1179" s="22"/>
    </row>
    <row r="1180" spans="4:4" x14ac:dyDescent="0.25">
      <c r="D1180" s="22"/>
    </row>
    <row r="1181" spans="4:4" x14ac:dyDescent="0.25">
      <c r="D1181" s="22"/>
    </row>
    <row r="1182" spans="4:4" x14ac:dyDescent="0.25">
      <c r="D1182" s="22"/>
    </row>
    <row r="1183" spans="4:4" x14ac:dyDescent="0.25">
      <c r="D1183" s="22"/>
    </row>
    <row r="1184" spans="4:4" x14ac:dyDescent="0.25">
      <c r="D1184" s="22"/>
    </row>
    <row r="1185" spans="4:4" x14ac:dyDescent="0.25">
      <c r="D1185" s="22"/>
    </row>
    <row r="1186" spans="4:4" x14ac:dyDescent="0.25">
      <c r="D1186" s="22"/>
    </row>
    <row r="1187" spans="4:4" x14ac:dyDescent="0.25">
      <c r="D1187" s="22"/>
    </row>
    <row r="1188" spans="4:4" x14ac:dyDescent="0.25">
      <c r="D1188" s="22"/>
    </row>
    <row r="1189" spans="4:4" x14ac:dyDescent="0.25">
      <c r="D1189" s="22"/>
    </row>
    <row r="1190" spans="4:4" x14ac:dyDescent="0.25">
      <c r="D1190" s="22"/>
    </row>
    <row r="1191" spans="4:4" x14ac:dyDescent="0.25">
      <c r="D1191" s="22"/>
    </row>
    <row r="1192" spans="4:4" x14ac:dyDescent="0.25">
      <c r="D1192" s="22"/>
    </row>
    <row r="1193" spans="4:4" x14ac:dyDescent="0.25">
      <c r="D1193" s="22"/>
    </row>
    <row r="1194" spans="4:4" x14ac:dyDescent="0.25">
      <c r="D1194" s="22"/>
    </row>
    <row r="1195" spans="4:4" x14ac:dyDescent="0.25">
      <c r="D1195" s="22"/>
    </row>
    <row r="1196" spans="4:4" x14ac:dyDescent="0.25">
      <c r="D1196" s="22"/>
    </row>
    <row r="1197" spans="4:4" x14ac:dyDescent="0.25">
      <c r="D1197" s="22"/>
    </row>
    <row r="1198" spans="4:4" x14ac:dyDescent="0.25">
      <c r="D1198" s="22"/>
    </row>
    <row r="1199" spans="4:4" x14ac:dyDescent="0.25">
      <c r="D1199" s="22"/>
    </row>
    <row r="1200" spans="4:4" x14ac:dyDescent="0.25">
      <c r="D1200" s="22"/>
    </row>
    <row r="1201" spans="4:4" x14ac:dyDescent="0.25">
      <c r="D1201" s="22"/>
    </row>
    <row r="1202" spans="4:4" x14ac:dyDescent="0.25">
      <c r="D1202" s="22"/>
    </row>
    <row r="1203" spans="4:4" x14ac:dyDescent="0.25">
      <c r="D1203" s="22"/>
    </row>
    <row r="1204" spans="4:4" x14ac:dyDescent="0.25">
      <c r="D1204" s="22"/>
    </row>
    <row r="1205" spans="4:4" x14ac:dyDescent="0.25">
      <c r="D1205" s="22"/>
    </row>
    <row r="1206" spans="4:4" x14ac:dyDescent="0.25">
      <c r="D1206" s="22"/>
    </row>
    <row r="1207" spans="4:4" x14ac:dyDescent="0.25">
      <c r="D1207" s="22"/>
    </row>
    <row r="1208" spans="4:4" x14ac:dyDescent="0.25">
      <c r="D1208" s="22"/>
    </row>
    <row r="1209" spans="4:4" x14ac:dyDescent="0.25">
      <c r="D1209" s="22"/>
    </row>
    <row r="1210" spans="4:4" x14ac:dyDescent="0.25">
      <c r="D1210" s="22"/>
    </row>
    <row r="1211" spans="4:4" x14ac:dyDescent="0.25">
      <c r="D1211" s="22"/>
    </row>
    <row r="1212" spans="4:4" x14ac:dyDescent="0.25">
      <c r="D1212" s="22"/>
    </row>
    <row r="1213" spans="4:4" x14ac:dyDescent="0.25">
      <c r="D1213" s="22"/>
    </row>
    <row r="1214" spans="4:4" x14ac:dyDescent="0.25">
      <c r="D1214" s="22"/>
    </row>
    <row r="1215" spans="4:4" x14ac:dyDescent="0.25">
      <c r="D1215" s="22"/>
    </row>
    <row r="1216" spans="4:4" x14ac:dyDescent="0.25">
      <c r="D1216" s="22"/>
    </row>
    <row r="1217" spans="4:4" x14ac:dyDescent="0.25">
      <c r="D1217" s="22"/>
    </row>
    <row r="1218" spans="4:4" x14ac:dyDescent="0.25">
      <c r="D1218" s="22"/>
    </row>
    <row r="1219" spans="4:4" x14ac:dyDescent="0.25">
      <c r="D1219" s="22"/>
    </row>
    <row r="1220" spans="4:4" x14ac:dyDescent="0.25">
      <c r="D1220" s="22"/>
    </row>
    <row r="1221" spans="4:4" x14ac:dyDescent="0.25">
      <c r="D1221" s="22"/>
    </row>
    <row r="1222" spans="4:4" x14ac:dyDescent="0.25">
      <c r="D1222" s="22"/>
    </row>
    <row r="1223" spans="4:4" x14ac:dyDescent="0.25">
      <c r="D1223" s="22"/>
    </row>
    <row r="1224" spans="4:4" x14ac:dyDescent="0.25">
      <c r="D1224" s="22"/>
    </row>
    <row r="1225" spans="4:4" x14ac:dyDescent="0.25">
      <c r="D1225" s="22"/>
    </row>
    <row r="1226" spans="4:4" x14ac:dyDescent="0.25">
      <c r="D1226" s="22"/>
    </row>
    <row r="1227" spans="4:4" x14ac:dyDescent="0.25">
      <c r="D1227" s="22"/>
    </row>
    <row r="1228" spans="4:4" x14ac:dyDescent="0.25">
      <c r="D1228" s="22"/>
    </row>
    <row r="1229" spans="4:4" x14ac:dyDescent="0.25">
      <c r="D1229" s="22"/>
    </row>
    <row r="1230" spans="4:4" x14ac:dyDescent="0.25">
      <c r="D1230" s="22"/>
    </row>
    <row r="1231" spans="4:4" x14ac:dyDescent="0.25">
      <c r="D1231" s="22"/>
    </row>
    <row r="1232" spans="4:4" x14ac:dyDescent="0.25">
      <c r="D1232" s="22"/>
    </row>
    <row r="1233" spans="4:4" x14ac:dyDescent="0.25">
      <c r="D1233" s="22"/>
    </row>
    <row r="1234" spans="4:4" x14ac:dyDescent="0.25">
      <c r="D1234" s="22"/>
    </row>
    <row r="1235" spans="4:4" x14ac:dyDescent="0.25">
      <c r="D1235" s="22"/>
    </row>
    <row r="1236" spans="4:4" x14ac:dyDescent="0.25">
      <c r="D1236" s="22"/>
    </row>
    <row r="1237" spans="4:4" x14ac:dyDescent="0.25">
      <c r="D1237" s="22"/>
    </row>
    <row r="1238" spans="4:4" x14ac:dyDescent="0.25">
      <c r="D1238" s="22"/>
    </row>
    <row r="1239" spans="4:4" x14ac:dyDescent="0.25">
      <c r="D1239" s="22"/>
    </row>
    <row r="1240" spans="4:4" x14ac:dyDescent="0.25">
      <c r="D1240" s="22"/>
    </row>
    <row r="1241" spans="4:4" x14ac:dyDescent="0.25">
      <c r="D1241" s="22"/>
    </row>
    <row r="1242" spans="4:4" x14ac:dyDescent="0.25">
      <c r="D1242" s="22"/>
    </row>
    <row r="1243" spans="4:4" x14ac:dyDescent="0.25">
      <c r="D1243" s="22"/>
    </row>
    <row r="1244" spans="4:4" x14ac:dyDescent="0.25">
      <c r="D1244" s="22"/>
    </row>
    <row r="1245" spans="4:4" x14ac:dyDescent="0.25">
      <c r="D1245" s="22"/>
    </row>
    <row r="1246" spans="4:4" x14ac:dyDescent="0.25">
      <c r="D1246" s="22"/>
    </row>
    <row r="1247" spans="4:4" x14ac:dyDescent="0.25">
      <c r="D1247" s="22"/>
    </row>
    <row r="1248" spans="4:4" x14ac:dyDescent="0.25">
      <c r="D1248" s="22"/>
    </row>
    <row r="1249" spans="4:4" x14ac:dyDescent="0.25">
      <c r="D1249" s="22"/>
    </row>
    <row r="1250" spans="4:4" x14ac:dyDescent="0.25">
      <c r="D1250" s="22"/>
    </row>
    <row r="1251" spans="4:4" x14ac:dyDescent="0.25">
      <c r="D1251" s="22"/>
    </row>
    <row r="1252" spans="4:4" x14ac:dyDescent="0.25">
      <c r="D1252" s="22"/>
    </row>
    <row r="1253" spans="4:4" x14ac:dyDescent="0.25">
      <c r="D1253" s="22"/>
    </row>
    <row r="1254" spans="4:4" x14ac:dyDescent="0.25">
      <c r="D1254" s="22"/>
    </row>
    <row r="1255" spans="4:4" x14ac:dyDescent="0.25">
      <c r="D1255" s="22"/>
    </row>
    <row r="1256" spans="4:4" x14ac:dyDescent="0.25">
      <c r="D1256" s="22"/>
    </row>
    <row r="1257" spans="4:4" x14ac:dyDescent="0.25">
      <c r="D1257" s="22"/>
    </row>
    <row r="1258" spans="4:4" x14ac:dyDescent="0.25">
      <c r="D1258" s="22"/>
    </row>
    <row r="1259" spans="4:4" x14ac:dyDescent="0.25">
      <c r="D1259" s="22"/>
    </row>
    <row r="1260" spans="4:4" x14ac:dyDescent="0.25">
      <c r="D1260" s="22"/>
    </row>
    <row r="1261" spans="4:4" x14ac:dyDescent="0.25">
      <c r="D1261" s="22"/>
    </row>
    <row r="1262" spans="4:4" x14ac:dyDescent="0.25">
      <c r="D1262" s="22"/>
    </row>
    <row r="1263" spans="4:4" x14ac:dyDescent="0.25">
      <c r="D1263" s="22"/>
    </row>
    <row r="1264" spans="4:4" x14ac:dyDescent="0.25">
      <c r="D1264" s="22"/>
    </row>
    <row r="1265" spans="4:4" x14ac:dyDescent="0.25">
      <c r="D1265" s="22"/>
    </row>
    <row r="1266" spans="4:4" x14ac:dyDescent="0.25">
      <c r="D1266" s="22"/>
    </row>
    <row r="1267" spans="4:4" x14ac:dyDescent="0.25">
      <c r="D1267" s="22"/>
    </row>
    <row r="1268" spans="4:4" x14ac:dyDescent="0.25">
      <c r="D1268" s="22"/>
    </row>
    <row r="1269" spans="4:4" x14ac:dyDescent="0.25">
      <c r="D1269" s="22"/>
    </row>
    <row r="1270" spans="4:4" x14ac:dyDescent="0.25">
      <c r="D1270" s="22"/>
    </row>
    <row r="1271" spans="4:4" x14ac:dyDescent="0.25">
      <c r="D1271" s="22"/>
    </row>
    <row r="1272" spans="4:4" x14ac:dyDescent="0.25">
      <c r="D1272" s="22"/>
    </row>
    <row r="1273" spans="4:4" x14ac:dyDescent="0.25">
      <c r="D1273" s="22"/>
    </row>
    <row r="1274" spans="4:4" x14ac:dyDescent="0.25">
      <c r="D1274" s="22"/>
    </row>
    <row r="1275" spans="4:4" x14ac:dyDescent="0.25">
      <c r="D1275" s="22"/>
    </row>
    <row r="1276" spans="4:4" x14ac:dyDescent="0.25">
      <c r="D1276" s="22"/>
    </row>
    <row r="1277" spans="4:4" x14ac:dyDescent="0.25">
      <c r="D1277" s="22"/>
    </row>
    <row r="1278" spans="4:4" x14ac:dyDescent="0.25">
      <c r="D1278" s="22"/>
    </row>
    <row r="1279" spans="4:4" x14ac:dyDescent="0.25">
      <c r="D1279" s="22"/>
    </row>
    <row r="1280" spans="4:4" x14ac:dyDescent="0.25">
      <c r="D1280" s="22"/>
    </row>
    <row r="1281" spans="4:4" x14ac:dyDescent="0.25">
      <c r="D1281" s="22"/>
    </row>
    <row r="1282" spans="4:4" x14ac:dyDescent="0.25">
      <c r="D1282" s="22"/>
    </row>
    <row r="1283" spans="4:4" x14ac:dyDescent="0.25">
      <c r="D1283" s="22"/>
    </row>
    <row r="1284" spans="4:4" x14ac:dyDescent="0.25">
      <c r="D1284" s="22"/>
    </row>
    <row r="1285" spans="4:4" x14ac:dyDescent="0.25">
      <c r="D1285" s="22"/>
    </row>
    <row r="1286" spans="4:4" x14ac:dyDescent="0.25">
      <c r="D1286" s="22"/>
    </row>
    <row r="1287" spans="4:4" x14ac:dyDescent="0.25">
      <c r="D1287" s="22"/>
    </row>
    <row r="1288" spans="4:4" x14ac:dyDescent="0.25">
      <c r="D1288" s="22"/>
    </row>
    <row r="1289" spans="4:4" x14ac:dyDescent="0.25">
      <c r="D1289" s="22"/>
    </row>
    <row r="1290" spans="4:4" x14ac:dyDescent="0.25">
      <c r="D1290" s="22"/>
    </row>
    <row r="1291" spans="4:4" x14ac:dyDescent="0.25">
      <c r="D1291" s="22"/>
    </row>
    <row r="1292" spans="4:4" x14ac:dyDescent="0.25">
      <c r="D1292" s="22"/>
    </row>
    <row r="1293" spans="4:4" x14ac:dyDescent="0.25">
      <c r="D1293" s="22"/>
    </row>
    <row r="1294" spans="4:4" x14ac:dyDescent="0.25">
      <c r="D1294" s="22"/>
    </row>
    <row r="1295" spans="4:4" x14ac:dyDescent="0.25">
      <c r="D1295" s="22"/>
    </row>
    <row r="1296" spans="4:4" x14ac:dyDescent="0.25">
      <c r="D1296" s="22"/>
    </row>
    <row r="1297" spans="4:4" x14ac:dyDescent="0.25">
      <c r="D1297" s="22"/>
    </row>
    <row r="1298" spans="4:4" x14ac:dyDescent="0.25">
      <c r="D1298" s="22"/>
    </row>
    <row r="1299" spans="4:4" x14ac:dyDescent="0.25">
      <c r="D1299" s="22"/>
    </row>
    <row r="1300" spans="4:4" x14ac:dyDescent="0.25">
      <c r="D1300" s="22"/>
    </row>
    <row r="1301" spans="4:4" x14ac:dyDescent="0.25">
      <c r="D1301" s="22"/>
    </row>
    <row r="1302" spans="4:4" x14ac:dyDescent="0.25">
      <c r="D1302" s="22"/>
    </row>
    <row r="1303" spans="4:4" x14ac:dyDescent="0.25">
      <c r="D1303" s="22"/>
    </row>
    <row r="1304" spans="4:4" x14ac:dyDescent="0.25">
      <c r="D1304" s="22"/>
    </row>
    <row r="1305" spans="4:4" x14ac:dyDescent="0.25">
      <c r="D1305" s="22"/>
    </row>
    <row r="1306" spans="4:4" x14ac:dyDescent="0.25">
      <c r="D1306" s="22"/>
    </row>
    <row r="1307" spans="4:4" x14ac:dyDescent="0.25">
      <c r="D1307" s="22"/>
    </row>
    <row r="1308" spans="4:4" x14ac:dyDescent="0.25">
      <c r="D1308" s="22"/>
    </row>
    <row r="1309" spans="4:4" x14ac:dyDescent="0.25">
      <c r="D1309" s="22"/>
    </row>
    <row r="1310" spans="4:4" x14ac:dyDescent="0.25">
      <c r="D1310" s="22"/>
    </row>
    <row r="1311" spans="4:4" x14ac:dyDescent="0.25">
      <c r="D1311" s="22"/>
    </row>
    <row r="1312" spans="4:4" x14ac:dyDescent="0.25">
      <c r="D1312" s="22"/>
    </row>
    <row r="1313" spans="4:4" x14ac:dyDescent="0.25">
      <c r="D1313" s="22"/>
    </row>
    <row r="1314" spans="4:4" x14ac:dyDescent="0.25">
      <c r="D1314" s="22"/>
    </row>
    <row r="1315" spans="4:4" x14ac:dyDescent="0.25">
      <c r="D1315" s="22"/>
    </row>
    <row r="1316" spans="4:4" x14ac:dyDescent="0.25">
      <c r="D1316" s="22"/>
    </row>
    <row r="1317" spans="4:4" x14ac:dyDescent="0.25">
      <c r="D1317" s="22"/>
    </row>
    <row r="1318" spans="4:4" x14ac:dyDescent="0.25">
      <c r="D1318" s="22"/>
    </row>
    <row r="1319" spans="4:4" x14ac:dyDescent="0.25">
      <c r="D1319" s="22"/>
    </row>
    <row r="1320" spans="4:4" x14ac:dyDescent="0.25">
      <c r="D1320" s="22"/>
    </row>
    <row r="1321" spans="4:4" x14ac:dyDescent="0.25">
      <c r="D1321" s="22"/>
    </row>
    <row r="1322" spans="4:4" x14ac:dyDescent="0.25">
      <c r="D1322" s="22"/>
    </row>
    <row r="1323" spans="4:4" x14ac:dyDescent="0.25">
      <c r="D1323" s="22"/>
    </row>
    <row r="1324" spans="4:4" x14ac:dyDescent="0.25">
      <c r="D1324" s="22"/>
    </row>
    <row r="1325" spans="4:4" x14ac:dyDescent="0.25">
      <c r="D1325" s="22"/>
    </row>
    <row r="1326" spans="4:4" x14ac:dyDescent="0.25">
      <c r="D1326" s="22"/>
    </row>
    <row r="1327" spans="4:4" x14ac:dyDescent="0.25">
      <c r="D1327" s="22"/>
    </row>
    <row r="1328" spans="4:4" x14ac:dyDescent="0.25">
      <c r="D1328" s="22"/>
    </row>
    <row r="1329" spans="4:4" x14ac:dyDescent="0.25">
      <c r="D1329" s="22"/>
    </row>
    <row r="1330" spans="4:4" x14ac:dyDescent="0.25">
      <c r="D1330" s="22"/>
    </row>
    <row r="1331" spans="4:4" x14ac:dyDescent="0.25">
      <c r="D1331" s="22"/>
    </row>
    <row r="1332" spans="4:4" x14ac:dyDescent="0.25">
      <c r="D1332" s="22"/>
    </row>
    <row r="1333" spans="4:4" x14ac:dyDescent="0.25">
      <c r="D1333" s="22"/>
    </row>
    <row r="1334" spans="4:4" x14ac:dyDescent="0.25">
      <c r="D1334" s="22"/>
    </row>
    <row r="1335" spans="4:4" x14ac:dyDescent="0.25">
      <c r="D1335" s="22"/>
    </row>
    <row r="1336" spans="4:4" x14ac:dyDescent="0.25">
      <c r="D1336" s="22"/>
    </row>
    <row r="1337" spans="4:4" x14ac:dyDescent="0.25">
      <c r="D1337" s="22"/>
    </row>
    <row r="1338" spans="4:4" x14ac:dyDescent="0.25">
      <c r="D1338" s="22"/>
    </row>
    <row r="1339" spans="4:4" x14ac:dyDescent="0.25">
      <c r="D1339" s="22"/>
    </row>
    <row r="1340" spans="4:4" x14ac:dyDescent="0.25">
      <c r="D1340" s="22"/>
    </row>
    <row r="1341" spans="4:4" x14ac:dyDescent="0.25">
      <c r="D1341" s="22"/>
    </row>
    <row r="1342" spans="4:4" x14ac:dyDescent="0.25">
      <c r="D1342" s="22"/>
    </row>
    <row r="1343" spans="4:4" x14ac:dyDescent="0.25">
      <c r="D1343" s="22"/>
    </row>
    <row r="1344" spans="4:4" x14ac:dyDescent="0.25">
      <c r="D1344" s="22"/>
    </row>
    <row r="1345" spans="4:4" x14ac:dyDescent="0.25">
      <c r="D1345" s="22"/>
    </row>
    <row r="1346" spans="4:4" x14ac:dyDescent="0.25">
      <c r="D1346" s="22"/>
    </row>
    <row r="1347" spans="4:4" x14ac:dyDescent="0.25">
      <c r="D1347" s="22"/>
    </row>
    <row r="1348" spans="4:4" x14ac:dyDescent="0.25">
      <c r="D1348" s="22"/>
    </row>
    <row r="1349" spans="4:4" x14ac:dyDescent="0.25">
      <c r="D1349" s="22"/>
    </row>
    <row r="1350" spans="4:4" x14ac:dyDescent="0.25">
      <c r="D1350" s="22"/>
    </row>
    <row r="1351" spans="4:4" x14ac:dyDescent="0.25">
      <c r="D1351" s="22"/>
    </row>
    <row r="1352" spans="4:4" x14ac:dyDescent="0.25">
      <c r="D1352" s="22"/>
    </row>
    <row r="1353" spans="4:4" x14ac:dyDescent="0.25">
      <c r="D1353" s="22"/>
    </row>
    <row r="1354" spans="4:4" x14ac:dyDescent="0.25">
      <c r="D1354" s="22"/>
    </row>
    <row r="1355" spans="4:4" x14ac:dyDescent="0.25">
      <c r="D1355" s="22"/>
    </row>
    <row r="1356" spans="4:4" x14ac:dyDescent="0.25">
      <c r="D1356" s="22"/>
    </row>
    <row r="1357" spans="4:4" x14ac:dyDescent="0.25">
      <c r="D1357" s="22"/>
    </row>
    <row r="1358" spans="4:4" x14ac:dyDescent="0.25">
      <c r="D1358" s="22"/>
    </row>
    <row r="1359" spans="4:4" x14ac:dyDescent="0.25">
      <c r="D1359" s="22"/>
    </row>
    <row r="1360" spans="4:4" x14ac:dyDescent="0.25">
      <c r="D1360" s="22"/>
    </row>
    <row r="1361" spans="4:4" x14ac:dyDescent="0.25">
      <c r="D1361" s="22"/>
    </row>
    <row r="1362" spans="4:4" x14ac:dyDescent="0.25">
      <c r="D1362" s="22"/>
    </row>
    <row r="1363" spans="4:4" x14ac:dyDescent="0.25">
      <c r="D1363" s="22"/>
    </row>
    <row r="1364" spans="4:4" x14ac:dyDescent="0.25">
      <c r="D1364" s="22"/>
    </row>
    <row r="1365" spans="4:4" x14ac:dyDescent="0.25">
      <c r="D1365" s="22"/>
    </row>
    <row r="1366" spans="4:4" x14ac:dyDescent="0.25">
      <c r="D1366" s="22"/>
    </row>
    <row r="1367" spans="4:4" x14ac:dyDescent="0.25">
      <c r="D1367" s="22"/>
    </row>
    <row r="1368" spans="4:4" x14ac:dyDescent="0.25">
      <c r="D1368" s="22"/>
    </row>
    <row r="1369" spans="4:4" x14ac:dyDescent="0.25">
      <c r="D1369" s="22"/>
    </row>
    <row r="1370" spans="4:4" x14ac:dyDescent="0.25">
      <c r="D1370" s="22"/>
    </row>
    <row r="1371" spans="4:4" x14ac:dyDescent="0.25">
      <c r="D1371" s="22"/>
    </row>
    <row r="1372" spans="4:4" x14ac:dyDescent="0.25">
      <c r="D1372" s="22"/>
    </row>
    <row r="1373" spans="4:4" x14ac:dyDescent="0.25">
      <c r="D1373" s="22"/>
    </row>
    <row r="1374" spans="4:4" x14ac:dyDescent="0.25">
      <c r="D1374" s="22"/>
    </row>
    <row r="1375" spans="4:4" x14ac:dyDescent="0.25">
      <c r="D1375" s="22"/>
    </row>
    <row r="1376" spans="4:4" x14ac:dyDescent="0.25">
      <c r="D1376" s="22"/>
    </row>
    <row r="1377" spans="4:4" x14ac:dyDescent="0.25">
      <c r="D1377" s="22"/>
    </row>
    <row r="1378" spans="4:4" x14ac:dyDescent="0.25">
      <c r="D1378" s="22"/>
    </row>
    <row r="1379" spans="4:4" x14ac:dyDescent="0.25">
      <c r="D1379" s="22"/>
    </row>
    <row r="1380" spans="4:4" x14ac:dyDescent="0.25">
      <c r="D1380" s="22"/>
    </row>
    <row r="1381" spans="4:4" x14ac:dyDescent="0.25">
      <c r="D1381" s="22"/>
    </row>
    <row r="1382" spans="4:4" x14ac:dyDescent="0.25">
      <c r="D1382" s="22"/>
    </row>
    <row r="1383" spans="4:4" x14ac:dyDescent="0.25">
      <c r="D1383" s="22"/>
    </row>
    <row r="1384" spans="4:4" x14ac:dyDescent="0.25">
      <c r="D1384" s="22"/>
    </row>
    <row r="1385" spans="4:4" x14ac:dyDescent="0.25">
      <c r="D1385" s="22"/>
    </row>
    <row r="1386" spans="4:4" x14ac:dyDescent="0.25">
      <c r="D1386" s="22"/>
    </row>
    <row r="1387" spans="4:4" x14ac:dyDescent="0.25">
      <c r="D1387" s="22"/>
    </row>
    <row r="1388" spans="4:4" x14ac:dyDescent="0.25">
      <c r="D1388" s="22"/>
    </row>
    <row r="1389" spans="4:4" x14ac:dyDescent="0.25">
      <c r="D1389" s="22"/>
    </row>
    <row r="1390" spans="4:4" x14ac:dyDescent="0.25">
      <c r="D1390" s="22"/>
    </row>
    <row r="1391" spans="4:4" x14ac:dyDescent="0.25">
      <c r="D1391" s="22"/>
    </row>
    <row r="1392" spans="4:4" x14ac:dyDescent="0.25">
      <c r="D1392" s="22"/>
    </row>
    <row r="1393" spans="4:4" x14ac:dyDescent="0.25">
      <c r="D1393" s="22"/>
    </row>
    <row r="1394" spans="4:4" x14ac:dyDescent="0.25">
      <c r="D1394" s="22"/>
    </row>
    <row r="1395" spans="4:4" x14ac:dyDescent="0.25">
      <c r="D1395" s="22"/>
    </row>
    <row r="1396" spans="4:4" x14ac:dyDescent="0.25">
      <c r="D1396" s="22"/>
    </row>
    <row r="1397" spans="4:4" x14ac:dyDescent="0.25">
      <c r="D1397" s="22"/>
    </row>
    <row r="1398" spans="4:4" x14ac:dyDescent="0.25">
      <c r="D1398" s="22"/>
    </row>
    <row r="1399" spans="4:4" x14ac:dyDescent="0.25">
      <c r="D1399" s="22"/>
    </row>
    <row r="1400" spans="4:4" x14ac:dyDescent="0.25">
      <c r="D1400" s="22"/>
    </row>
    <row r="1401" spans="4:4" x14ac:dyDescent="0.25">
      <c r="D1401" s="22"/>
    </row>
    <row r="1402" spans="4:4" x14ac:dyDescent="0.25">
      <c r="D1402" s="22"/>
    </row>
    <row r="1403" spans="4:4" x14ac:dyDescent="0.25">
      <c r="D1403" s="22"/>
    </row>
    <row r="1404" spans="4:4" x14ac:dyDescent="0.25">
      <c r="D1404" s="22"/>
    </row>
    <row r="1405" spans="4:4" x14ac:dyDescent="0.25">
      <c r="D1405" s="22"/>
    </row>
    <row r="1406" spans="4:4" x14ac:dyDescent="0.25">
      <c r="D1406" s="22"/>
    </row>
    <row r="1407" spans="4:4" x14ac:dyDescent="0.25">
      <c r="D1407" s="22"/>
    </row>
    <row r="1408" spans="4:4" x14ac:dyDescent="0.25">
      <c r="D1408" s="22"/>
    </row>
    <row r="1409" spans="4:4" x14ac:dyDescent="0.25">
      <c r="D1409" s="22"/>
    </row>
    <row r="1410" spans="4:4" x14ac:dyDescent="0.25">
      <c r="D1410" s="22"/>
    </row>
    <row r="1411" spans="4:4" x14ac:dyDescent="0.25">
      <c r="D1411" s="22"/>
    </row>
    <row r="1412" spans="4:4" x14ac:dyDescent="0.25">
      <c r="D1412" s="22"/>
    </row>
    <row r="1413" spans="4:4" x14ac:dyDescent="0.25">
      <c r="D1413" s="22"/>
    </row>
    <row r="1414" spans="4:4" x14ac:dyDescent="0.25">
      <c r="D1414" s="22"/>
    </row>
    <row r="1415" spans="4:4" x14ac:dyDescent="0.25">
      <c r="D1415" s="22"/>
    </row>
    <row r="1416" spans="4:4" x14ac:dyDescent="0.25">
      <c r="D1416" s="22"/>
    </row>
    <row r="1417" spans="4:4" x14ac:dyDescent="0.25">
      <c r="D1417" s="22"/>
    </row>
    <row r="1418" spans="4:4" x14ac:dyDescent="0.25">
      <c r="D1418" s="22"/>
    </row>
    <row r="1419" spans="4:4" x14ac:dyDescent="0.25">
      <c r="D1419" s="22"/>
    </row>
    <row r="1420" spans="4:4" x14ac:dyDescent="0.25">
      <c r="D1420" s="22"/>
    </row>
    <row r="1421" spans="4:4" x14ac:dyDescent="0.25">
      <c r="D1421" s="22"/>
    </row>
    <row r="1422" spans="4:4" x14ac:dyDescent="0.25">
      <c r="D1422" s="22"/>
    </row>
    <row r="1423" spans="4:4" x14ac:dyDescent="0.25">
      <c r="D1423" s="22"/>
    </row>
    <row r="1424" spans="4:4" x14ac:dyDescent="0.25">
      <c r="D1424" s="22"/>
    </row>
    <row r="1425" spans="4:4" x14ac:dyDescent="0.25">
      <c r="D1425" s="22"/>
    </row>
    <row r="1426" spans="4:4" x14ac:dyDescent="0.25">
      <c r="D1426" s="22"/>
    </row>
    <row r="1427" spans="4:4" x14ac:dyDescent="0.25">
      <c r="D1427" s="22"/>
    </row>
    <row r="1428" spans="4:4" x14ac:dyDescent="0.25">
      <c r="D1428" s="22"/>
    </row>
    <row r="1429" spans="4:4" x14ac:dyDescent="0.25">
      <c r="D1429" s="22"/>
    </row>
    <row r="1430" spans="4:4" x14ac:dyDescent="0.25">
      <c r="D1430" s="22"/>
    </row>
    <row r="1431" spans="4:4" x14ac:dyDescent="0.25">
      <c r="D1431" s="22"/>
    </row>
    <row r="1432" spans="4:4" x14ac:dyDescent="0.25">
      <c r="D1432" s="22"/>
    </row>
    <row r="1433" spans="4:4" x14ac:dyDescent="0.25">
      <c r="D1433" s="22"/>
    </row>
    <row r="1434" spans="4:4" x14ac:dyDescent="0.25">
      <c r="D1434" s="22"/>
    </row>
    <row r="1435" spans="4:4" x14ac:dyDescent="0.25">
      <c r="D1435" s="22"/>
    </row>
    <row r="1436" spans="4:4" x14ac:dyDescent="0.25">
      <c r="D1436" s="22"/>
    </row>
    <row r="1437" spans="4:4" x14ac:dyDescent="0.25">
      <c r="D1437" s="22"/>
    </row>
    <row r="1438" spans="4:4" x14ac:dyDescent="0.25">
      <c r="D1438" s="22"/>
    </row>
    <row r="1439" spans="4:4" x14ac:dyDescent="0.25">
      <c r="D1439" s="22"/>
    </row>
    <row r="1440" spans="4:4" x14ac:dyDescent="0.25">
      <c r="D1440" s="22"/>
    </row>
    <row r="1441" spans="4:4" x14ac:dyDescent="0.25">
      <c r="D1441" s="22"/>
    </row>
    <row r="1442" spans="4:4" x14ac:dyDescent="0.25">
      <c r="D1442" s="22"/>
    </row>
    <row r="1443" spans="4:4" x14ac:dyDescent="0.25">
      <c r="D1443" s="22"/>
    </row>
    <row r="1444" spans="4:4" x14ac:dyDescent="0.25">
      <c r="D1444" s="22"/>
    </row>
    <row r="1445" spans="4:4" x14ac:dyDescent="0.25">
      <c r="D1445" s="22"/>
    </row>
    <row r="1446" spans="4:4" x14ac:dyDescent="0.25">
      <c r="D1446" s="22"/>
    </row>
    <row r="1447" spans="4:4" x14ac:dyDescent="0.25">
      <c r="D1447" s="22"/>
    </row>
    <row r="1448" spans="4:4" x14ac:dyDescent="0.25">
      <c r="D1448" s="22"/>
    </row>
    <row r="1449" spans="4:4" x14ac:dyDescent="0.25">
      <c r="D1449" s="22"/>
    </row>
    <row r="1450" spans="4:4" x14ac:dyDescent="0.25">
      <c r="D1450" s="22"/>
    </row>
    <row r="1451" spans="4:4" x14ac:dyDescent="0.25">
      <c r="D1451" s="22"/>
    </row>
    <row r="1452" spans="4:4" x14ac:dyDescent="0.25">
      <c r="D1452" s="22"/>
    </row>
    <row r="1453" spans="4:4" x14ac:dyDescent="0.25">
      <c r="D1453" s="22"/>
    </row>
    <row r="1454" spans="4:4" x14ac:dyDescent="0.25">
      <c r="D1454" s="22"/>
    </row>
    <row r="1455" spans="4:4" x14ac:dyDescent="0.25">
      <c r="D1455" s="22"/>
    </row>
    <row r="1456" spans="4:4" x14ac:dyDescent="0.25">
      <c r="D1456" s="22"/>
    </row>
    <row r="1457" spans="4:4" x14ac:dyDescent="0.25">
      <c r="D1457" s="22"/>
    </row>
    <row r="1458" spans="4:4" x14ac:dyDescent="0.25">
      <c r="D1458" s="22"/>
    </row>
    <row r="1459" spans="4:4" x14ac:dyDescent="0.25">
      <c r="D1459" s="22"/>
    </row>
    <row r="1460" spans="4:4" x14ac:dyDescent="0.25">
      <c r="D1460" s="22"/>
    </row>
    <row r="1461" spans="4:4" x14ac:dyDescent="0.25">
      <c r="D1461" s="22"/>
    </row>
    <row r="1462" spans="4:4" x14ac:dyDescent="0.25">
      <c r="D1462" s="22"/>
    </row>
    <row r="1463" spans="4:4" x14ac:dyDescent="0.25">
      <c r="D1463" s="22"/>
    </row>
    <row r="1464" spans="4:4" x14ac:dyDescent="0.25">
      <c r="D1464" s="22"/>
    </row>
    <row r="1465" spans="4:4" x14ac:dyDescent="0.25">
      <c r="D1465" s="22"/>
    </row>
    <row r="1466" spans="4:4" x14ac:dyDescent="0.25">
      <c r="D1466" s="22"/>
    </row>
    <row r="1467" spans="4:4" x14ac:dyDescent="0.25">
      <c r="D1467" s="22"/>
    </row>
    <row r="1468" spans="4:4" x14ac:dyDescent="0.25">
      <c r="D1468" s="22"/>
    </row>
    <row r="1469" spans="4:4" x14ac:dyDescent="0.25">
      <c r="D1469" s="22"/>
    </row>
    <row r="1470" spans="4:4" x14ac:dyDescent="0.25">
      <c r="D1470" s="22"/>
    </row>
    <row r="1471" spans="4:4" x14ac:dyDescent="0.25">
      <c r="D1471" s="22"/>
    </row>
    <row r="1472" spans="4:4" x14ac:dyDescent="0.25">
      <c r="D1472" s="22"/>
    </row>
    <row r="1473" spans="4:4" x14ac:dyDescent="0.25">
      <c r="D1473" s="22"/>
    </row>
    <row r="1474" spans="4:4" x14ac:dyDescent="0.25">
      <c r="D1474" s="22"/>
    </row>
    <row r="1475" spans="4:4" x14ac:dyDescent="0.25">
      <c r="D1475" s="22"/>
    </row>
    <row r="1476" spans="4:4" x14ac:dyDescent="0.25">
      <c r="D1476" s="22"/>
    </row>
    <row r="1477" spans="4:4" x14ac:dyDescent="0.25">
      <c r="D1477" s="22"/>
    </row>
    <row r="1478" spans="4:4" x14ac:dyDescent="0.25">
      <c r="D1478" s="22"/>
    </row>
    <row r="1479" spans="4:4" x14ac:dyDescent="0.25">
      <c r="D1479" s="22"/>
    </row>
    <row r="1480" spans="4:4" x14ac:dyDescent="0.25">
      <c r="D1480" s="22"/>
    </row>
    <row r="1481" spans="4:4" x14ac:dyDescent="0.25">
      <c r="D1481" s="22"/>
    </row>
    <row r="1482" spans="4:4" x14ac:dyDescent="0.25">
      <c r="D1482" s="22"/>
    </row>
    <row r="1483" spans="4:4" x14ac:dyDescent="0.25">
      <c r="D1483" s="22"/>
    </row>
    <row r="1484" spans="4:4" x14ac:dyDescent="0.25">
      <c r="D1484" s="22"/>
    </row>
    <row r="1485" spans="4:4" x14ac:dyDescent="0.25">
      <c r="D1485" s="22"/>
    </row>
    <row r="1486" spans="4:4" x14ac:dyDescent="0.25">
      <c r="D1486" s="22"/>
    </row>
    <row r="1487" spans="4:4" x14ac:dyDescent="0.25">
      <c r="D1487" s="22"/>
    </row>
    <row r="1488" spans="4:4" x14ac:dyDescent="0.25">
      <c r="D1488" s="22"/>
    </row>
    <row r="1489" spans="4:4" x14ac:dyDescent="0.25">
      <c r="D1489" s="22"/>
    </row>
    <row r="1490" spans="4:4" x14ac:dyDescent="0.25">
      <c r="D1490" s="22"/>
    </row>
    <row r="1491" spans="4:4" x14ac:dyDescent="0.25">
      <c r="D1491" s="22"/>
    </row>
    <row r="1492" spans="4:4" x14ac:dyDescent="0.25">
      <c r="D1492" s="22"/>
    </row>
    <row r="1493" spans="4:4" x14ac:dyDescent="0.25">
      <c r="D1493" s="22"/>
    </row>
    <row r="1494" spans="4:4" x14ac:dyDescent="0.25">
      <c r="D1494" s="22"/>
    </row>
    <row r="1495" spans="4:4" x14ac:dyDescent="0.25">
      <c r="D1495" s="22"/>
    </row>
    <row r="1496" spans="4:4" x14ac:dyDescent="0.25">
      <c r="D1496" s="22"/>
    </row>
    <row r="1497" spans="4:4" x14ac:dyDescent="0.25">
      <c r="D1497" s="22"/>
    </row>
    <row r="1498" spans="4:4" x14ac:dyDescent="0.25">
      <c r="D1498" s="22"/>
    </row>
    <row r="1499" spans="4:4" x14ac:dyDescent="0.25">
      <c r="D1499" s="22"/>
    </row>
    <row r="1500" spans="4:4" x14ac:dyDescent="0.25">
      <c r="D1500" s="22"/>
    </row>
    <row r="1501" spans="4:4" x14ac:dyDescent="0.25">
      <c r="D1501" s="22"/>
    </row>
    <row r="1502" spans="4:4" x14ac:dyDescent="0.25">
      <c r="D1502" s="22"/>
    </row>
    <row r="1503" spans="4:4" x14ac:dyDescent="0.25">
      <c r="D1503" s="22"/>
    </row>
    <row r="1504" spans="4:4" x14ac:dyDescent="0.25">
      <c r="D1504" s="22"/>
    </row>
    <row r="1505" spans="4:4" x14ac:dyDescent="0.25">
      <c r="D1505" s="22"/>
    </row>
    <row r="1506" spans="4:4" x14ac:dyDescent="0.25">
      <c r="D1506" s="22"/>
    </row>
    <row r="1507" spans="4:4" x14ac:dyDescent="0.25">
      <c r="D1507" s="22"/>
    </row>
    <row r="1508" spans="4:4" x14ac:dyDescent="0.25">
      <c r="D1508" s="22"/>
    </row>
    <row r="1509" spans="4:4" x14ac:dyDescent="0.25">
      <c r="D1509" s="22"/>
    </row>
    <row r="1510" spans="4:4" x14ac:dyDescent="0.25">
      <c r="D1510" s="22"/>
    </row>
    <row r="1511" spans="4:4" x14ac:dyDescent="0.25">
      <c r="D1511" s="22"/>
    </row>
    <row r="1512" spans="4:4" x14ac:dyDescent="0.25">
      <c r="D1512" s="22"/>
    </row>
    <row r="1513" spans="4:4" x14ac:dyDescent="0.25">
      <c r="D1513" s="22"/>
    </row>
    <row r="1514" spans="4:4" x14ac:dyDescent="0.25">
      <c r="D1514" s="22"/>
    </row>
    <row r="1515" spans="4:4" x14ac:dyDescent="0.25">
      <c r="D1515" s="22"/>
    </row>
    <row r="1516" spans="4:4" x14ac:dyDescent="0.25">
      <c r="D1516" s="22"/>
    </row>
    <row r="1517" spans="4:4" x14ac:dyDescent="0.25">
      <c r="D1517" s="22"/>
    </row>
    <row r="1518" spans="4:4" x14ac:dyDescent="0.25">
      <c r="D1518" s="22"/>
    </row>
    <row r="1519" spans="4:4" x14ac:dyDescent="0.25">
      <c r="D1519" s="22"/>
    </row>
    <row r="1520" spans="4:4" x14ac:dyDescent="0.25">
      <c r="D1520" s="22"/>
    </row>
    <row r="1521" spans="4:4" x14ac:dyDescent="0.25">
      <c r="D1521" s="22"/>
    </row>
    <row r="1522" spans="4:4" x14ac:dyDescent="0.25">
      <c r="D1522" s="22"/>
    </row>
    <row r="1523" spans="4:4" x14ac:dyDescent="0.25">
      <c r="D1523" s="22"/>
    </row>
    <row r="1524" spans="4:4" x14ac:dyDescent="0.25">
      <c r="D1524" s="22"/>
    </row>
    <row r="1525" spans="4:4" x14ac:dyDescent="0.25">
      <c r="D1525" s="22"/>
    </row>
    <row r="1526" spans="4:4" x14ac:dyDescent="0.25">
      <c r="D1526" s="22"/>
    </row>
    <row r="1527" spans="4:4" x14ac:dyDescent="0.25">
      <c r="D1527" s="22"/>
    </row>
    <row r="1528" spans="4:4" x14ac:dyDescent="0.25">
      <c r="D1528" s="22"/>
    </row>
    <row r="1529" spans="4:4" x14ac:dyDescent="0.25">
      <c r="D1529" s="22"/>
    </row>
    <row r="1530" spans="4:4" x14ac:dyDescent="0.25">
      <c r="D1530" s="22"/>
    </row>
    <row r="1531" spans="4:4" x14ac:dyDescent="0.25">
      <c r="D1531" s="22"/>
    </row>
    <row r="1532" spans="4:4" x14ac:dyDescent="0.25">
      <c r="D1532" s="22"/>
    </row>
    <row r="1533" spans="4:4" x14ac:dyDescent="0.25">
      <c r="D1533" s="22"/>
    </row>
    <row r="1534" spans="4:4" x14ac:dyDescent="0.25">
      <c r="D1534" s="22"/>
    </row>
    <row r="1535" spans="4:4" x14ac:dyDescent="0.25">
      <c r="D1535" s="22"/>
    </row>
    <row r="1536" spans="4:4" x14ac:dyDescent="0.25">
      <c r="D1536" s="22"/>
    </row>
    <row r="1537" spans="4:4" x14ac:dyDescent="0.25">
      <c r="D1537" s="22"/>
    </row>
    <row r="1538" spans="4:4" x14ac:dyDescent="0.25">
      <c r="D1538" s="22"/>
    </row>
    <row r="1539" spans="4:4" x14ac:dyDescent="0.25">
      <c r="D1539" s="22"/>
    </row>
    <row r="1540" spans="4:4" x14ac:dyDescent="0.25">
      <c r="D1540" s="22"/>
    </row>
    <row r="1541" spans="4:4" x14ac:dyDescent="0.25">
      <c r="D1541" s="22"/>
    </row>
    <row r="1542" spans="4:4" x14ac:dyDescent="0.25">
      <c r="D1542" s="22"/>
    </row>
    <row r="1543" spans="4:4" x14ac:dyDescent="0.25">
      <c r="D1543" s="22"/>
    </row>
    <row r="1544" spans="4:4" x14ac:dyDescent="0.25">
      <c r="D1544" s="22"/>
    </row>
    <row r="1545" spans="4:4" x14ac:dyDescent="0.25">
      <c r="D1545" s="22"/>
    </row>
  </sheetData>
  <pageMargins left="0.7" right="0.7" top="0.75" bottom="0.75" header="0.3" footer="0.3"/>
  <pageSetup orientation="portrait" r:id="rId1"/>
  <ignoredErrors>
    <ignoredError sqref="D6:D7 E6:G6" formula="1"/>
  </ignoredErrors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92D050"/>
  </sheetPr>
  <dimension ref="A1:Q58"/>
  <sheetViews>
    <sheetView zoomScaleNormal="100" workbookViewId="0">
      <selection activeCell="E1" sqref="E1:E1048576"/>
    </sheetView>
  </sheetViews>
  <sheetFormatPr defaultColWidth="9.140625" defaultRowHeight="15" x14ac:dyDescent="0.25"/>
  <cols>
    <col min="1" max="2" width="9.140625" style="4"/>
    <col min="3" max="3" width="16.42578125" style="4" customWidth="1"/>
    <col min="4" max="4" width="9.5703125" style="4" customWidth="1"/>
    <col min="5" max="5" width="12.85546875" style="4" customWidth="1"/>
    <col min="6" max="6" width="13.85546875" style="4" customWidth="1"/>
    <col min="7" max="7" width="14.28515625" style="4" customWidth="1"/>
    <col min="8" max="16384" width="9.140625" style="4"/>
  </cols>
  <sheetData>
    <row r="1" spans="1:17" ht="45.75" thickBot="1" x14ac:dyDescent="0.3">
      <c r="A1" s="127" t="s">
        <v>27</v>
      </c>
      <c r="B1" s="128" t="s">
        <v>17</v>
      </c>
      <c r="C1" s="128" t="s">
        <v>231</v>
      </c>
      <c r="D1" s="129" t="s">
        <v>19</v>
      </c>
      <c r="E1" s="128" t="s">
        <v>18</v>
      </c>
      <c r="F1" s="130" t="s">
        <v>363</v>
      </c>
      <c r="G1" s="130" t="s">
        <v>364</v>
      </c>
    </row>
    <row r="2" spans="1:17" ht="15.75" x14ac:dyDescent="0.25">
      <c r="A2" s="36">
        <v>2021</v>
      </c>
      <c r="B2" s="25" t="s">
        <v>1</v>
      </c>
      <c r="C2" s="27" t="s">
        <v>359</v>
      </c>
      <c r="D2" s="28" t="s">
        <v>20</v>
      </c>
      <c r="E2" s="122">
        <v>0.48599999999999999</v>
      </c>
      <c r="F2" s="27">
        <v>0</v>
      </c>
      <c r="G2" s="27">
        <v>0</v>
      </c>
    </row>
    <row r="3" spans="1:17" ht="15.75" x14ac:dyDescent="0.25">
      <c r="A3" s="37">
        <v>2025</v>
      </c>
      <c r="B3" s="13" t="s">
        <v>1</v>
      </c>
      <c r="C3" s="40" t="s">
        <v>359</v>
      </c>
      <c r="D3" s="14" t="s">
        <v>20</v>
      </c>
      <c r="E3" s="123">
        <v>0.50800000000000001</v>
      </c>
      <c r="F3" s="40">
        <v>1300</v>
      </c>
      <c r="G3" s="40">
        <v>9400</v>
      </c>
    </row>
    <row r="4" spans="1:17" ht="15.75" x14ac:dyDescent="0.25">
      <c r="A4" s="37">
        <v>2027</v>
      </c>
      <c r="B4" s="13" t="s">
        <v>1</v>
      </c>
      <c r="C4" s="40" t="s">
        <v>359</v>
      </c>
      <c r="D4" s="14" t="s">
        <v>20</v>
      </c>
      <c r="E4" s="123">
        <v>0.52</v>
      </c>
      <c r="F4" s="40">
        <v>1300</v>
      </c>
      <c r="G4" s="40">
        <v>9400</v>
      </c>
    </row>
    <row r="5" spans="1:17" ht="15.75" x14ac:dyDescent="0.25">
      <c r="A5" s="37">
        <v>2030</v>
      </c>
      <c r="B5" s="13" t="s">
        <v>1</v>
      </c>
      <c r="C5" s="40" t="s">
        <v>359</v>
      </c>
      <c r="D5" s="14" t="s">
        <v>20</v>
      </c>
      <c r="E5" s="123">
        <v>0.54</v>
      </c>
      <c r="F5" s="40">
        <v>4000</v>
      </c>
      <c r="G5" s="40">
        <v>9000</v>
      </c>
    </row>
    <row r="6" spans="1:17" ht="15.75" x14ac:dyDescent="0.25">
      <c r="A6" s="37">
        <v>2035</v>
      </c>
      <c r="B6" s="13" t="s">
        <v>1</v>
      </c>
      <c r="C6" s="40" t="s">
        <v>359</v>
      </c>
      <c r="D6" s="14" t="s">
        <v>20</v>
      </c>
      <c r="E6" s="123">
        <v>0.56999999999999995</v>
      </c>
      <c r="F6" s="40">
        <v>6600</v>
      </c>
      <c r="G6" s="40">
        <v>8200</v>
      </c>
    </row>
    <row r="7" spans="1:17" ht="15.75" x14ac:dyDescent="0.25">
      <c r="A7" s="37">
        <v>2050</v>
      </c>
      <c r="B7" s="13" t="s">
        <v>1</v>
      </c>
      <c r="C7" s="40" t="s">
        <v>359</v>
      </c>
      <c r="D7" s="14" t="s">
        <v>20</v>
      </c>
      <c r="E7" s="123">
        <v>0.59</v>
      </c>
      <c r="F7" s="40">
        <v>9000</v>
      </c>
      <c r="G7" s="40">
        <v>6400</v>
      </c>
    </row>
    <row r="8" spans="1:17" ht="15.75" x14ac:dyDescent="0.25">
      <c r="A8" s="37">
        <v>2017</v>
      </c>
      <c r="B8" s="13" t="s">
        <v>0</v>
      </c>
      <c r="C8" s="40" t="s">
        <v>359</v>
      </c>
      <c r="D8" s="14" t="s">
        <v>20</v>
      </c>
      <c r="E8" s="123">
        <v>0.46761999999999998</v>
      </c>
      <c r="F8" s="40">
        <v>0</v>
      </c>
      <c r="G8" s="40">
        <v>0</v>
      </c>
    </row>
    <row r="9" spans="1:17" ht="15.75" x14ac:dyDescent="0.25">
      <c r="A9" s="37">
        <v>2021</v>
      </c>
      <c r="B9" s="13" t="s">
        <v>0</v>
      </c>
      <c r="C9" s="40" t="s">
        <v>359</v>
      </c>
      <c r="D9" s="14" t="s">
        <v>20</v>
      </c>
      <c r="E9" s="123">
        <v>0.46800000000000003</v>
      </c>
      <c r="F9" s="40">
        <v>0</v>
      </c>
      <c r="G9" s="40">
        <v>0</v>
      </c>
    </row>
    <row r="10" spans="1:17" ht="15.75" x14ac:dyDescent="0.25">
      <c r="A10" s="37">
        <v>2025</v>
      </c>
      <c r="B10" s="13" t="s">
        <v>0</v>
      </c>
      <c r="C10" s="40" t="s">
        <v>359</v>
      </c>
      <c r="D10" s="14" t="s">
        <v>20</v>
      </c>
      <c r="E10" s="123">
        <v>0.48499999999999999</v>
      </c>
      <c r="F10" s="40">
        <v>1300</v>
      </c>
      <c r="G10" s="40">
        <v>9400</v>
      </c>
    </row>
    <row r="11" spans="1:17" ht="15.75" x14ac:dyDescent="0.25">
      <c r="A11" s="37">
        <v>2027</v>
      </c>
      <c r="B11" s="13" t="s">
        <v>0</v>
      </c>
      <c r="C11" s="40" t="s">
        <v>359</v>
      </c>
      <c r="D11" s="14" t="s">
        <v>20</v>
      </c>
      <c r="E11" s="123">
        <v>0.495</v>
      </c>
      <c r="F11" s="40">
        <v>1300</v>
      </c>
      <c r="G11" s="40">
        <v>9400</v>
      </c>
    </row>
    <row r="12" spans="1:17" ht="15.75" x14ac:dyDescent="0.25">
      <c r="A12" s="37">
        <v>2030</v>
      </c>
      <c r="B12" s="13" t="s">
        <v>0</v>
      </c>
      <c r="C12" s="40" t="s">
        <v>359</v>
      </c>
      <c r="D12" s="14" t="s">
        <v>20</v>
      </c>
      <c r="E12" s="123">
        <v>0.502</v>
      </c>
      <c r="F12" s="40">
        <v>4000</v>
      </c>
      <c r="G12" s="40">
        <v>9000</v>
      </c>
    </row>
    <row r="13" spans="1:17" ht="15.75" x14ac:dyDescent="0.25">
      <c r="A13" s="37">
        <v>2035</v>
      </c>
      <c r="B13" s="13" t="s">
        <v>0</v>
      </c>
      <c r="C13" s="40" t="s">
        <v>359</v>
      </c>
      <c r="D13" s="14" t="s">
        <v>20</v>
      </c>
      <c r="E13" s="123">
        <v>0.51</v>
      </c>
      <c r="F13" s="40">
        <v>6600</v>
      </c>
      <c r="G13" s="40">
        <v>8200</v>
      </c>
    </row>
    <row r="14" spans="1:17" ht="16.5" thickBot="1" x14ac:dyDescent="0.3">
      <c r="A14" s="38">
        <v>2050</v>
      </c>
      <c r="B14" s="26" t="s">
        <v>0</v>
      </c>
      <c r="C14" s="101" t="s">
        <v>359</v>
      </c>
      <c r="D14" s="29" t="s">
        <v>20</v>
      </c>
      <c r="E14" s="123">
        <v>0.54</v>
      </c>
      <c r="F14" s="101">
        <v>9000</v>
      </c>
      <c r="G14" s="101">
        <v>6400</v>
      </c>
      <c r="P14" s="148"/>
      <c r="Q14" s="148"/>
    </row>
    <row r="15" spans="1:17" ht="15.75" x14ac:dyDescent="0.25">
      <c r="A15" s="36">
        <v>2021</v>
      </c>
      <c r="B15" s="25" t="s">
        <v>1</v>
      </c>
      <c r="C15" s="27" t="s">
        <v>362</v>
      </c>
      <c r="D15" s="28" t="s">
        <v>20</v>
      </c>
      <c r="E15" s="122">
        <v>0.41</v>
      </c>
      <c r="F15" s="27">
        <v>0</v>
      </c>
      <c r="G15" s="27">
        <v>0</v>
      </c>
    </row>
    <row r="16" spans="1:17" ht="15.75" x14ac:dyDescent="0.25">
      <c r="A16" s="37">
        <v>2025</v>
      </c>
      <c r="B16" s="13" t="s">
        <v>1</v>
      </c>
      <c r="C16" s="40" t="s">
        <v>362</v>
      </c>
      <c r="D16" s="14" t="s">
        <v>20</v>
      </c>
      <c r="E16" s="123">
        <v>0.44500000000000001</v>
      </c>
      <c r="F16" s="40">
        <v>650</v>
      </c>
      <c r="G16" s="40">
        <v>465</v>
      </c>
    </row>
    <row r="17" spans="1:16" ht="15.75" x14ac:dyDescent="0.25">
      <c r="A17" s="37">
        <v>2027</v>
      </c>
      <c r="B17" s="13" t="s">
        <v>1</v>
      </c>
      <c r="C17" s="40" t="s">
        <v>362</v>
      </c>
      <c r="D17" s="14" t="s">
        <v>20</v>
      </c>
      <c r="E17" s="123">
        <v>0.46</v>
      </c>
      <c r="F17" s="40">
        <v>650</v>
      </c>
      <c r="G17" s="40">
        <v>465</v>
      </c>
    </row>
    <row r="18" spans="1:16" ht="15.75" x14ac:dyDescent="0.25">
      <c r="A18" s="37">
        <v>2030</v>
      </c>
      <c r="B18" s="13" t="s">
        <v>1</v>
      </c>
      <c r="C18" s="40" t="s">
        <v>362</v>
      </c>
      <c r="D18" s="14" t="s">
        <v>20</v>
      </c>
      <c r="E18" s="123">
        <v>0.46800000000000003</v>
      </c>
      <c r="F18" s="40">
        <v>650</v>
      </c>
      <c r="G18" s="40">
        <v>465</v>
      </c>
    </row>
    <row r="19" spans="1:16" ht="15.75" x14ac:dyDescent="0.25">
      <c r="A19" s="37">
        <v>2035</v>
      </c>
      <c r="B19" s="13" t="s">
        <v>1</v>
      </c>
      <c r="C19" s="40" t="s">
        <v>362</v>
      </c>
      <c r="D19" s="14" t="s">
        <v>20</v>
      </c>
      <c r="E19" s="123">
        <v>0.48</v>
      </c>
      <c r="F19" s="40">
        <v>575</v>
      </c>
      <c r="G19" s="40">
        <v>755</v>
      </c>
      <c r="P19" s="148"/>
    </row>
    <row r="20" spans="1:16" ht="15.75" x14ac:dyDescent="0.25">
      <c r="A20" s="37">
        <v>2050</v>
      </c>
      <c r="B20" s="13" t="s">
        <v>1</v>
      </c>
      <c r="C20" s="40" t="s">
        <v>362</v>
      </c>
      <c r="D20" s="14" t="s">
        <v>20</v>
      </c>
      <c r="E20" s="123">
        <v>0.52</v>
      </c>
      <c r="F20" s="40">
        <v>900</v>
      </c>
      <c r="G20" s="40">
        <v>635</v>
      </c>
    </row>
    <row r="21" spans="1:16" ht="15.75" x14ac:dyDescent="0.25">
      <c r="A21" s="37">
        <v>2017</v>
      </c>
      <c r="B21" s="13" t="s">
        <v>0</v>
      </c>
      <c r="C21" s="40" t="s">
        <v>362</v>
      </c>
      <c r="D21" s="14" t="s">
        <v>20</v>
      </c>
      <c r="E21" s="123">
        <v>0.39</v>
      </c>
      <c r="F21" s="40">
        <v>0</v>
      </c>
      <c r="G21" s="40">
        <v>0</v>
      </c>
    </row>
    <row r="22" spans="1:16" ht="15.75" x14ac:dyDescent="0.25">
      <c r="A22" s="37">
        <v>2021</v>
      </c>
      <c r="B22" s="13" t="s">
        <v>0</v>
      </c>
      <c r="C22" s="40" t="s">
        <v>362</v>
      </c>
      <c r="D22" s="14" t="s">
        <v>20</v>
      </c>
      <c r="E22" s="123">
        <v>0.41</v>
      </c>
      <c r="F22" s="40">
        <v>0</v>
      </c>
      <c r="G22" s="40">
        <v>0</v>
      </c>
    </row>
    <row r="23" spans="1:16" ht="15.75" x14ac:dyDescent="0.25">
      <c r="A23" s="37">
        <v>2025</v>
      </c>
      <c r="B23" s="13" t="s">
        <v>0</v>
      </c>
      <c r="C23" s="40" t="s">
        <v>362</v>
      </c>
      <c r="D23" s="14" t="s">
        <v>20</v>
      </c>
      <c r="E23" s="123">
        <v>0.43</v>
      </c>
      <c r="F23" s="40">
        <v>650</v>
      </c>
      <c r="G23" s="40">
        <v>465</v>
      </c>
      <c r="P23" s="148"/>
    </row>
    <row r="24" spans="1:16" ht="15.75" x14ac:dyDescent="0.25">
      <c r="A24" s="37">
        <v>2027</v>
      </c>
      <c r="B24" s="13" t="s">
        <v>0</v>
      </c>
      <c r="C24" s="40" t="s">
        <v>362</v>
      </c>
      <c r="D24" s="14" t="s">
        <v>20</v>
      </c>
      <c r="E24" s="123">
        <v>0.44</v>
      </c>
      <c r="F24" s="40">
        <v>650</v>
      </c>
      <c r="G24" s="40">
        <v>465</v>
      </c>
      <c r="P24" s="148"/>
    </row>
    <row r="25" spans="1:16" ht="15.75" x14ac:dyDescent="0.25">
      <c r="A25" s="37">
        <v>2030</v>
      </c>
      <c r="B25" s="13" t="s">
        <v>0</v>
      </c>
      <c r="C25" s="40" t="s">
        <v>362</v>
      </c>
      <c r="D25" s="14" t="s">
        <v>20</v>
      </c>
      <c r="E25" s="123">
        <v>0.44800000000000001</v>
      </c>
      <c r="F25" s="40">
        <v>650</v>
      </c>
      <c r="G25" s="40">
        <v>465</v>
      </c>
      <c r="P25" s="148"/>
    </row>
    <row r="26" spans="1:16" ht="15.75" x14ac:dyDescent="0.25">
      <c r="A26" s="37">
        <v>2035</v>
      </c>
      <c r="B26" s="13" t="s">
        <v>0</v>
      </c>
      <c r="C26" s="40" t="s">
        <v>362</v>
      </c>
      <c r="D26" s="14" t="s">
        <v>20</v>
      </c>
      <c r="E26" s="123">
        <v>0.46</v>
      </c>
      <c r="F26" s="40">
        <v>575</v>
      </c>
      <c r="G26" s="40">
        <v>755</v>
      </c>
    </row>
    <row r="27" spans="1:16" ht="16.5" thickBot="1" x14ac:dyDescent="0.3">
      <c r="A27" s="38">
        <v>2050</v>
      </c>
      <c r="B27" s="26" t="s">
        <v>0</v>
      </c>
      <c r="C27" s="101" t="s">
        <v>362</v>
      </c>
      <c r="D27" s="29" t="s">
        <v>20</v>
      </c>
      <c r="E27" s="123">
        <v>0.5</v>
      </c>
      <c r="F27" s="101">
        <v>900</v>
      </c>
      <c r="G27" s="101">
        <v>635</v>
      </c>
    </row>
    <row r="28" spans="1:16" ht="15.75" x14ac:dyDescent="0.25">
      <c r="A28" s="36">
        <v>2021</v>
      </c>
      <c r="B28" s="25" t="s">
        <v>1</v>
      </c>
      <c r="C28" s="27" t="s">
        <v>361</v>
      </c>
      <c r="D28" s="28" t="s">
        <v>20</v>
      </c>
      <c r="E28" s="122">
        <v>0.41</v>
      </c>
      <c r="F28" s="27">
        <v>0</v>
      </c>
      <c r="G28" s="27">
        <v>0</v>
      </c>
    </row>
    <row r="29" spans="1:16" ht="15.75" x14ac:dyDescent="0.25">
      <c r="A29" s="37">
        <v>2025</v>
      </c>
      <c r="B29" s="13" t="s">
        <v>1</v>
      </c>
      <c r="C29" s="40" t="s">
        <v>361</v>
      </c>
      <c r="D29" s="14" t="s">
        <v>20</v>
      </c>
      <c r="E29" s="123">
        <v>0.44500000000000001</v>
      </c>
      <c r="F29" s="40">
        <v>650</v>
      </c>
      <c r="G29" s="40">
        <v>465</v>
      </c>
    </row>
    <row r="30" spans="1:16" ht="15.75" x14ac:dyDescent="0.25">
      <c r="A30" s="37">
        <v>2027</v>
      </c>
      <c r="B30" s="13" t="s">
        <v>1</v>
      </c>
      <c r="C30" s="40" t="s">
        <v>361</v>
      </c>
      <c r="D30" s="14" t="s">
        <v>20</v>
      </c>
      <c r="E30" s="123">
        <v>0.46</v>
      </c>
      <c r="F30" s="40">
        <v>650</v>
      </c>
      <c r="G30" s="40">
        <v>465</v>
      </c>
    </row>
    <row r="31" spans="1:16" ht="15.75" x14ac:dyDescent="0.25">
      <c r="A31" s="37">
        <v>2030</v>
      </c>
      <c r="B31" s="13" t="s">
        <v>1</v>
      </c>
      <c r="C31" s="40" t="s">
        <v>361</v>
      </c>
      <c r="D31" s="14" t="s">
        <v>20</v>
      </c>
      <c r="E31" s="123">
        <v>0.46800000000000003</v>
      </c>
      <c r="F31" s="40">
        <v>650</v>
      </c>
      <c r="G31" s="40">
        <v>465</v>
      </c>
    </row>
    <row r="32" spans="1:16" ht="15.75" x14ac:dyDescent="0.25">
      <c r="A32" s="37">
        <v>2035</v>
      </c>
      <c r="B32" s="13" t="s">
        <v>1</v>
      </c>
      <c r="C32" s="40" t="s">
        <v>361</v>
      </c>
      <c r="D32" s="14" t="s">
        <v>20</v>
      </c>
      <c r="E32" s="123">
        <v>0.48</v>
      </c>
      <c r="F32" s="40">
        <v>575</v>
      </c>
      <c r="G32" s="40">
        <v>755</v>
      </c>
    </row>
    <row r="33" spans="1:8" ht="15.75" x14ac:dyDescent="0.25">
      <c r="A33" s="37">
        <v>2050</v>
      </c>
      <c r="B33" s="13" t="s">
        <v>1</v>
      </c>
      <c r="C33" s="40" t="s">
        <v>361</v>
      </c>
      <c r="D33" s="14" t="s">
        <v>20</v>
      </c>
      <c r="E33" s="123">
        <v>0.52</v>
      </c>
      <c r="F33" s="40">
        <v>900</v>
      </c>
      <c r="G33" s="40">
        <v>635</v>
      </c>
    </row>
    <row r="34" spans="1:8" ht="15.75" x14ac:dyDescent="0.25">
      <c r="A34" s="37">
        <v>2017</v>
      </c>
      <c r="B34" s="13" t="s">
        <v>0</v>
      </c>
      <c r="C34" s="40" t="s">
        <v>361</v>
      </c>
      <c r="D34" s="14" t="s">
        <v>20</v>
      </c>
      <c r="E34" s="123">
        <v>0.39</v>
      </c>
      <c r="F34" s="40">
        <v>0</v>
      </c>
      <c r="G34" s="40">
        <v>0</v>
      </c>
    </row>
    <row r="35" spans="1:8" ht="15.75" x14ac:dyDescent="0.25">
      <c r="A35" s="37">
        <v>2021</v>
      </c>
      <c r="B35" s="13" t="s">
        <v>0</v>
      </c>
      <c r="C35" s="40" t="s">
        <v>361</v>
      </c>
      <c r="D35" s="14" t="s">
        <v>20</v>
      </c>
      <c r="E35" s="123">
        <v>0.41</v>
      </c>
      <c r="F35" s="40">
        <v>0</v>
      </c>
      <c r="G35" s="40">
        <v>0</v>
      </c>
    </row>
    <row r="36" spans="1:8" ht="15.75" x14ac:dyDescent="0.25">
      <c r="A36" s="37">
        <v>2025</v>
      </c>
      <c r="B36" s="13" t="s">
        <v>0</v>
      </c>
      <c r="C36" s="40" t="s">
        <v>361</v>
      </c>
      <c r="D36" s="14" t="s">
        <v>20</v>
      </c>
      <c r="E36" s="123">
        <v>0.43</v>
      </c>
      <c r="F36" s="40">
        <v>650</v>
      </c>
      <c r="G36" s="40">
        <v>465</v>
      </c>
    </row>
    <row r="37" spans="1:8" ht="15.75" x14ac:dyDescent="0.25">
      <c r="A37" s="37">
        <v>2027</v>
      </c>
      <c r="B37" s="13" t="s">
        <v>0</v>
      </c>
      <c r="C37" s="40" t="s">
        <v>361</v>
      </c>
      <c r="D37" s="14" t="s">
        <v>20</v>
      </c>
      <c r="E37" s="123">
        <v>0.44</v>
      </c>
      <c r="F37" s="40">
        <v>650</v>
      </c>
      <c r="G37" s="40">
        <v>465</v>
      </c>
    </row>
    <row r="38" spans="1:8" ht="15.75" x14ac:dyDescent="0.25">
      <c r="A38" s="37">
        <v>2030</v>
      </c>
      <c r="B38" s="13" t="s">
        <v>0</v>
      </c>
      <c r="C38" s="40" t="s">
        <v>361</v>
      </c>
      <c r="D38" s="14" t="s">
        <v>20</v>
      </c>
      <c r="E38" s="123">
        <v>0.44800000000000001</v>
      </c>
      <c r="F38" s="40">
        <v>650</v>
      </c>
      <c r="G38" s="40">
        <v>465</v>
      </c>
    </row>
    <row r="39" spans="1:8" ht="15.75" x14ac:dyDescent="0.25">
      <c r="A39" s="37">
        <v>2035</v>
      </c>
      <c r="B39" s="13" t="s">
        <v>0</v>
      </c>
      <c r="C39" s="40" t="s">
        <v>361</v>
      </c>
      <c r="D39" s="14" t="s">
        <v>20</v>
      </c>
      <c r="E39" s="123">
        <v>0.46</v>
      </c>
      <c r="F39" s="40">
        <v>575</v>
      </c>
      <c r="G39" s="40">
        <v>755</v>
      </c>
    </row>
    <row r="40" spans="1:8" ht="16.5" thickBot="1" x14ac:dyDescent="0.3">
      <c r="A40" s="38">
        <v>2050</v>
      </c>
      <c r="B40" s="26" t="s">
        <v>0</v>
      </c>
      <c r="C40" s="101" t="s">
        <v>361</v>
      </c>
      <c r="D40" s="29" t="s">
        <v>20</v>
      </c>
      <c r="E40" s="123">
        <v>0.5</v>
      </c>
      <c r="F40" s="101">
        <v>900</v>
      </c>
      <c r="G40" s="101">
        <v>635</v>
      </c>
    </row>
    <row r="41" spans="1:8" ht="15.75" x14ac:dyDescent="0.25">
      <c r="A41" s="36">
        <v>2021</v>
      </c>
      <c r="B41" s="25" t="s">
        <v>1</v>
      </c>
      <c r="C41" s="27" t="s">
        <v>360</v>
      </c>
      <c r="D41" s="28" t="s">
        <v>20</v>
      </c>
      <c r="E41" s="122">
        <v>0.48599999999999999</v>
      </c>
      <c r="F41" s="27">
        <v>0</v>
      </c>
      <c r="G41" s="27">
        <v>0</v>
      </c>
    </row>
    <row r="42" spans="1:8" ht="15.75" x14ac:dyDescent="0.25">
      <c r="A42" s="37">
        <v>2025</v>
      </c>
      <c r="B42" s="13" t="s">
        <v>1</v>
      </c>
      <c r="C42" s="40" t="s">
        <v>360</v>
      </c>
      <c r="D42" s="14" t="s">
        <v>20</v>
      </c>
      <c r="E42" s="123">
        <v>0.50800000000000001</v>
      </c>
      <c r="F42" s="40">
        <v>1300</v>
      </c>
      <c r="G42" s="40">
        <v>9400</v>
      </c>
    </row>
    <row r="43" spans="1:8" ht="15.75" x14ac:dyDescent="0.25">
      <c r="A43" s="37">
        <v>2027</v>
      </c>
      <c r="B43" s="13" t="s">
        <v>1</v>
      </c>
      <c r="C43" s="40" t="s">
        <v>360</v>
      </c>
      <c r="D43" s="14" t="s">
        <v>20</v>
      </c>
      <c r="E43" s="123">
        <v>0.52</v>
      </c>
      <c r="F43" s="40">
        <v>1300</v>
      </c>
      <c r="G43" s="40">
        <v>9400</v>
      </c>
    </row>
    <row r="44" spans="1:8" ht="15.75" x14ac:dyDescent="0.25">
      <c r="A44" s="37">
        <v>2030</v>
      </c>
      <c r="B44" s="13" t="s">
        <v>1</v>
      </c>
      <c r="C44" s="40" t="s">
        <v>360</v>
      </c>
      <c r="D44" s="14" t="s">
        <v>20</v>
      </c>
      <c r="E44" s="123">
        <v>0.54</v>
      </c>
      <c r="F44" s="40">
        <v>4000</v>
      </c>
      <c r="G44" s="40">
        <v>9000</v>
      </c>
    </row>
    <row r="45" spans="1:8" ht="15.75" x14ac:dyDescent="0.25">
      <c r="A45" s="37">
        <v>2035</v>
      </c>
      <c r="B45" s="13" t="s">
        <v>1</v>
      </c>
      <c r="C45" s="40" t="s">
        <v>360</v>
      </c>
      <c r="D45" s="14" t="s">
        <v>20</v>
      </c>
      <c r="E45" s="123">
        <v>0.56999999999999995</v>
      </c>
      <c r="F45" s="40">
        <v>6600</v>
      </c>
      <c r="G45" s="40">
        <v>8200</v>
      </c>
    </row>
    <row r="46" spans="1:8" ht="15.75" x14ac:dyDescent="0.25">
      <c r="A46" s="37">
        <v>2050</v>
      </c>
      <c r="B46" s="13" t="s">
        <v>1</v>
      </c>
      <c r="C46" s="40" t="s">
        <v>360</v>
      </c>
      <c r="D46" s="14" t="s">
        <v>20</v>
      </c>
      <c r="E46" s="123">
        <v>0.59</v>
      </c>
      <c r="F46" s="40">
        <v>9000</v>
      </c>
      <c r="G46" s="40">
        <v>6400</v>
      </c>
      <c r="H46" s="124" t="s">
        <v>373</v>
      </c>
    </row>
    <row r="47" spans="1:8" ht="15.75" x14ac:dyDescent="0.25">
      <c r="A47" s="37">
        <v>2017</v>
      </c>
      <c r="B47" s="13" t="s">
        <v>0</v>
      </c>
      <c r="C47" s="40" t="s">
        <v>360</v>
      </c>
      <c r="D47" s="14" t="s">
        <v>20</v>
      </c>
      <c r="E47" s="123">
        <v>0.46761999999999998</v>
      </c>
      <c r="F47" s="40">
        <v>0</v>
      </c>
      <c r="G47" s="40">
        <v>0</v>
      </c>
    </row>
    <row r="48" spans="1:8" ht="15.75" x14ac:dyDescent="0.25">
      <c r="A48" s="37">
        <v>2021</v>
      </c>
      <c r="B48" s="13" t="s">
        <v>0</v>
      </c>
      <c r="C48" s="40" t="s">
        <v>360</v>
      </c>
      <c r="D48" s="14" t="s">
        <v>20</v>
      </c>
      <c r="E48" s="123">
        <v>0.46800000000000003</v>
      </c>
      <c r="F48" s="40">
        <v>0</v>
      </c>
      <c r="G48" s="40">
        <v>0</v>
      </c>
    </row>
    <row r="49" spans="1:7" ht="15.75" x14ac:dyDescent="0.25">
      <c r="A49" s="37">
        <v>2025</v>
      </c>
      <c r="B49" s="13" t="s">
        <v>0</v>
      </c>
      <c r="C49" s="40" t="s">
        <v>360</v>
      </c>
      <c r="D49" s="14" t="s">
        <v>20</v>
      </c>
      <c r="E49" s="123">
        <v>0.48499999999999999</v>
      </c>
      <c r="F49" s="40">
        <v>1300</v>
      </c>
      <c r="G49" s="40">
        <v>9400</v>
      </c>
    </row>
    <row r="50" spans="1:7" ht="15.75" x14ac:dyDescent="0.25">
      <c r="A50" s="37">
        <v>2027</v>
      </c>
      <c r="B50" s="13" t="s">
        <v>0</v>
      </c>
      <c r="C50" s="40" t="s">
        <v>360</v>
      </c>
      <c r="D50" s="14" t="s">
        <v>20</v>
      </c>
      <c r="E50" s="123">
        <v>0.495</v>
      </c>
      <c r="F50" s="40">
        <v>1300</v>
      </c>
      <c r="G50" s="40">
        <v>9400</v>
      </c>
    </row>
    <row r="51" spans="1:7" ht="15.75" x14ac:dyDescent="0.25">
      <c r="A51" s="37">
        <v>2030</v>
      </c>
      <c r="B51" s="13" t="s">
        <v>0</v>
      </c>
      <c r="C51" s="40" t="s">
        <v>360</v>
      </c>
      <c r="D51" s="14" t="s">
        <v>20</v>
      </c>
      <c r="E51" s="123">
        <v>0.502</v>
      </c>
      <c r="F51" s="40">
        <v>4000</v>
      </c>
      <c r="G51" s="40">
        <v>9000</v>
      </c>
    </row>
    <row r="52" spans="1:7" ht="15.75" x14ac:dyDescent="0.25">
      <c r="A52" s="37">
        <v>2035</v>
      </c>
      <c r="B52" s="13" t="s">
        <v>0</v>
      </c>
      <c r="C52" s="40" t="s">
        <v>360</v>
      </c>
      <c r="D52" s="14" t="s">
        <v>20</v>
      </c>
      <c r="E52" s="123">
        <v>0.51</v>
      </c>
      <c r="F52" s="40">
        <v>6600</v>
      </c>
      <c r="G52" s="40">
        <v>8200</v>
      </c>
    </row>
    <row r="53" spans="1:7" ht="16.5" thickBot="1" x14ac:dyDescent="0.3">
      <c r="A53" s="38">
        <v>2050</v>
      </c>
      <c r="B53" s="26" t="s">
        <v>0</v>
      </c>
      <c r="C53" s="101" t="s">
        <v>360</v>
      </c>
      <c r="D53" s="29" t="s">
        <v>20</v>
      </c>
      <c r="E53" s="123">
        <v>0.54</v>
      </c>
      <c r="F53" s="101">
        <v>9000</v>
      </c>
      <c r="G53" s="101">
        <v>6400</v>
      </c>
    </row>
    <row r="54" spans="1:7" ht="15.75" x14ac:dyDescent="0.25">
      <c r="A54" s="135"/>
      <c r="B54" s="136"/>
      <c r="C54" s="137"/>
      <c r="D54" s="138"/>
      <c r="E54" s="139"/>
      <c r="F54" s="140"/>
      <c r="G54" s="140"/>
    </row>
    <row r="55" spans="1:7" ht="15.75" x14ac:dyDescent="0.25">
      <c r="A55" s="135"/>
      <c r="B55" s="136"/>
      <c r="C55" s="137"/>
      <c r="D55" s="138"/>
      <c r="E55" s="139"/>
      <c r="F55" s="140"/>
      <c r="G55" s="140"/>
    </row>
    <row r="56" spans="1:7" ht="15.75" x14ac:dyDescent="0.25">
      <c r="A56" s="135"/>
      <c r="B56" s="136"/>
      <c r="C56" s="137"/>
      <c r="D56" s="138"/>
      <c r="E56" s="139"/>
      <c r="F56" s="140"/>
      <c r="G56" s="140"/>
    </row>
    <row r="57" spans="1:7" ht="15.75" x14ac:dyDescent="0.25">
      <c r="A57" s="135"/>
      <c r="B57" s="136"/>
      <c r="C57" s="137"/>
      <c r="D57" s="138"/>
      <c r="E57" s="139"/>
      <c r="F57" s="140"/>
      <c r="G57" s="140"/>
    </row>
    <row r="58" spans="1:7" ht="15.75" x14ac:dyDescent="0.25">
      <c r="A58" s="141"/>
      <c r="B58" s="142"/>
      <c r="C58" s="137"/>
      <c r="D58" s="143"/>
      <c r="E58" s="144"/>
      <c r="F58" s="145"/>
      <c r="G58" s="145"/>
    </row>
  </sheetData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rgb="FF92D050"/>
  </sheetPr>
  <dimension ref="A1:AS31"/>
  <sheetViews>
    <sheetView zoomScale="96" zoomScaleNormal="96" workbookViewId="0">
      <selection activeCell="A2" sqref="A2:XFD2"/>
    </sheetView>
  </sheetViews>
  <sheetFormatPr defaultColWidth="9.140625" defaultRowHeight="15" x14ac:dyDescent="0.25"/>
  <cols>
    <col min="1" max="1" width="9.140625" style="6"/>
    <col min="2" max="2" width="12.140625" style="6" customWidth="1"/>
    <col min="3" max="3" width="17.85546875" style="6" customWidth="1"/>
    <col min="4" max="4" width="17.28515625" style="6" customWidth="1"/>
    <col min="5" max="5" width="10" style="6" customWidth="1"/>
    <col min="6" max="6" width="18.140625" style="6" customWidth="1"/>
    <col min="7" max="7" width="18.42578125" style="6" customWidth="1"/>
    <col min="8" max="8" width="19.42578125" style="6" customWidth="1"/>
    <col min="9" max="9" width="15.140625" style="6" customWidth="1"/>
    <col min="10" max="18" width="14.28515625" style="6" customWidth="1"/>
    <col min="19" max="20" width="15.28515625" style="6" customWidth="1"/>
    <col min="21" max="21" width="18.5703125" style="6" customWidth="1"/>
    <col min="22" max="27" width="15.28515625" style="6" customWidth="1"/>
    <col min="28" max="36" width="12" style="6" customWidth="1"/>
    <col min="37" max="45" width="13.140625" style="6" customWidth="1"/>
    <col min="46" max="16384" width="9.140625" style="6"/>
  </cols>
  <sheetData>
    <row r="1" spans="1:45" ht="16.5" thickBot="1" x14ac:dyDescent="0.3">
      <c r="A1" s="104" t="s">
        <v>16</v>
      </c>
      <c r="B1" s="105" t="s">
        <v>21</v>
      </c>
      <c r="C1" s="105" t="s">
        <v>231</v>
      </c>
      <c r="D1" s="105" t="s">
        <v>289</v>
      </c>
      <c r="E1" s="105" t="s">
        <v>68</v>
      </c>
      <c r="F1" s="105" t="s">
        <v>10</v>
      </c>
      <c r="G1" s="105" t="s">
        <v>301</v>
      </c>
      <c r="H1" s="105" t="s">
        <v>26</v>
      </c>
      <c r="I1" s="105" t="s">
        <v>203</v>
      </c>
      <c r="J1" s="105" t="s">
        <v>108</v>
      </c>
      <c r="K1" s="105" t="s">
        <v>109</v>
      </c>
      <c r="L1" s="105" t="s">
        <v>110</v>
      </c>
      <c r="M1" s="105" t="s">
        <v>111</v>
      </c>
      <c r="N1" s="105" t="s">
        <v>112</v>
      </c>
      <c r="O1" s="105" t="s">
        <v>113</v>
      </c>
      <c r="P1" s="105" t="s">
        <v>114</v>
      </c>
      <c r="Q1" s="105" t="s">
        <v>115</v>
      </c>
      <c r="R1" s="105" t="s">
        <v>116</v>
      </c>
      <c r="S1" s="105" t="s">
        <v>117</v>
      </c>
      <c r="T1" s="105" t="s">
        <v>118</v>
      </c>
      <c r="U1" s="105" t="s">
        <v>119</v>
      </c>
      <c r="V1" s="105" t="s">
        <v>120</v>
      </c>
      <c r="W1" s="105" t="s">
        <v>121</v>
      </c>
      <c r="X1" s="105" t="s">
        <v>122</v>
      </c>
      <c r="Y1" s="105" t="s">
        <v>123</v>
      </c>
      <c r="Z1" s="105" t="s">
        <v>124</v>
      </c>
      <c r="AA1" s="105" t="s">
        <v>125</v>
      </c>
      <c r="AB1" s="105" t="s">
        <v>126</v>
      </c>
      <c r="AC1" s="105" t="s">
        <v>127</v>
      </c>
      <c r="AD1" s="105" t="s">
        <v>128</v>
      </c>
      <c r="AE1" s="105" t="s">
        <v>129</v>
      </c>
      <c r="AF1" s="105" t="s">
        <v>130</v>
      </c>
      <c r="AG1" s="105" t="s">
        <v>131</v>
      </c>
      <c r="AH1" s="105" t="s">
        <v>132</v>
      </c>
      <c r="AI1" s="105" t="s">
        <v>133</v>
      </c>
      <c r="AJ1" s="105" t="s">
        <v>134</v>
      </c>
      <c r="AK1" s="105" t="s">
        <v>135</v>
      </c>
      <c r="AL1" s="105" t="s">
        <v>136</v>
      </c>
      <c r="AM1" s="105" t="s">
        <v>137</v>
      </c>
      <c r="AN1" s="105" t="s">
        <v>138</v>
      </c>
      <c r="AO1" s="105" t="s">
        <v>139</v>
      </c>
      <c r="AP1" s="105" t="s">
        <v>140</v>
      </c>
      <c r="AQ1" s="105" t="s">
        <v>141</v>
      </c>
      <c r="AR1" s="105" t="s">
        <v>142</v>
      </c>
      <c r="AS1" s="106" t="s">
        <v>143</v>
      </c>
    </row>
    <row r="2" spans="1:45" ht="16.5" customHeight="1" thickBot="1" x14ac:dyDescent="0.3">
      <c r="A2" s="25">
        <v>2</v>
      </c>
      <c r="B2" s="25" t="s">
        <v>286</v>
      </c>
      <c r="C2" s="27" t="s">
        <v>361</v>
      </c>
      <c r="D2" s="25" t="s">
        <v>291</v>
      </c>
      <c r="E2" s="25">
        <v>6</v>
      </c>
      <c r="F2" s="25">
        <v>5</v>
      </c>
      <c r="G2" s="25">
        <v>0.97499999999999998</v>
      </c>
      <c r="H2" s="25">
        <v>0.98</v>
      </c>
      <c r="I2" s="25">
        <v>1</v>
      </c>
      <c r="J2" s="25">
        <v>3.2309999999999999</v>
      </c>
      <c r="K2" s="25">
        <v>1.837</v>
      </c>
      <c r="L2" s="25">
        <v>1.41</v>
      </c>
      <c r="M2" s="25">
        <v>1</v>
      </c>
      <c r="N2" s="25">
        <v>0.81599999999999995</v>
      </c>
      <c r="O2" s="25">
        <v>0.625</v>
      </c>
      <c r="P2" s="25">
        <v>0.625</v>
      </c>
      <c r="Q2" s="25">
        <v>0.625</v>
      </c>
      <c r="R2" s="25">
        <v>0.625</v>
      </c>
      <c r="S2" s="25">
        <v>0.625</v>
      </c>
      <c r="T2" s="25">
        <v>0.625</v>
      </c>
      <c r="U2" s="25">
        <v>0.625</v>
      </c>
      <c r="V2" s="25">
        <v>0.625</v>
      </c>
      <c r="W2" s="25">
        <v>0.625</v>
      </c>
      <c r="X2" s="25">
        <v>0.625</v>
      </c>
      <c r="Y2" s="25">
        <v>0.625</v>
      </c>
      <c r="Z2" s="25">
        <v>0.625</v>
      </c>
      <c r="AA2" s="25">
        <v>0.625</v>
      </c>
      <c r="AB2" s="25">
        <v>0.96</v>
      </c>
      <c r="AC2" s="25">
        <v>0.96</v>
      </c>
      <c r="AD2" s="25">
        <v>0.96</v>
      </c>
      <c r="AE2" s="25">
        <v>0.98</v>
      </c>
      <c r="AF2" s="25">
        <v>0.98</v>
      </c>
      <c r="AG2" s="25">
        <v>0.98</v>
      </c>
      <c r="AH2" s="25">
        <v>0.98</v>
      </c>
      <c r="AI2" s="25">
        <v>0.98</v>
      </c>
      <c r="AJ2" s="25">
        <v>0.98</v>
      </c>
      <c r="AK2" s="25">
        <v>0.98</v>
      </c>
      <c r="AL2" s="25">
        <v>0.98</v>
      </c>
      <c r="AM2" s="25">
        <v>0.98</v>
      </c>
      <c r="AN2" s="25">
        <v>0.98</v>
      </c>
      <c r="AO2" s="25">
        <v>0.98</v>
      </c>
      <c r="AP2" s="25">
        <v>0.98</v>
      </c>
      <c r="AQ2" s="25">
        <v>0.98</v>
      </c>
      <c r="AR2" s="25">
        <v>0.98</v>
      </c>
      <c r="AS2" s="103">
        <v>0.98</v>
      </c>
    </row>
    <row r="3" spans="1:45" ht="16.5" customHeight="1" thickBot="1" x14ac:dyDescent="0.3">
      <c r="A3" s="25">
        <v>3</v>
      </c>
      <c r="B3" s="25" t="s">
        <v>349</v>
      </c>
      <c r="C3" s="27" t="s">
        <v>361</v>
      </c>
      <c r="D3" s="25" t="s">
        <v>294</v>
      </c>
      <c r="E3" s="25">
        <v>6</v>
      </c>
      <c r="F3" s="25">
        <v>3.31</v>
      </c>
      <c r="G3" s="25">
        <v>0.97499999999999998</v>
      </c>
      <c r="H3" s="25">
        <v>0.98</v>
      </c>
      <c r="I3" s="25">
        <v>1</v>
      </c>
      <c r="J3" s="25">
        <v>3.9740000000000002</v>
      </c>
      <c r="K3" s="25">
        <v>2.3180000000000001</v>
      </c>
      <c r="L3" s="25">
        <v>1.516</v>
      </c>
      <c r="M3" s="25">
        <v>1.149</v>
      </c>
      <c r="N3" s="25">
        <v>0.85799999999999998</v>
      </c>
      <c r="O3" s="25">
        <v>0.67400000000000004</v>
      </c>
      <c r="P3" s="25">
        <v>0.625</v>
      </c>
      <c r="Q3" s="25">
        <v>0.625</v>
      </c>
      <c r="R3" s="25">
        <v>0.625</v>
      </c>
      <c r="S3" s="25">
        <v>0.625</v>
      </c>
      <c r="T3" s="25">
        <v>0.625</v>
      </c>
      <c r="U3" s="25">
        <v>0.625</v>
      </c>
      <c r="V3" s="25">
        <v>0.625</v>
      </c>
      <c r="W3" s="25">
        <v>0.625</v>
      </c>
      <c r="X3" s="25">
        <v>0.625</v>
      </c>
      <c r="Y3" s="25">
        <v>0.625</v>
      </c>
      <c r="Z3" s="25">
        <v>0.625</v>
      </c>
      <c r="AA3" s="25">
        <v>0.625</v>
      </c>
      <c r="AB3" s="25">
        <v>0.96</v>
      </c>
      <c r="AC3" s="25">
        <v>0.96</v>
      </c>
      <c r="AD3" s="25">
        <v>0.96</v>
      </c>
      <c r="AE3" s="25">
        <v>0.98</v>
      </c>
      <c r="AF3" s="25">
        <v>0.98</v>
      </c>
      <c r="AG3" s="25">
        <v>0.98</v>
      </c>
      <c r="AH3" s="25">
        <v>0.98</v>
      </c>
      <c r="AI3" s="25">
        <v>0.98</v>
      </c>
      <c r="AJ3" s="25">
        <v>0.98</v>
      </c>
      <c r="AK3" s="25">
        <v>0.98</v>
      </c>
      <c r="AL3" s="25">
        <v>0.98</v>
      </c>
      <c r="AM3" s="25">
        <v>0.98</v>
      </c>
      <c r="AN3" s="25">
        <v>0.98</v>
      </c>
      <c r="AO3" s="25">
        <v>0.98</v>
      </c>
      <c r="AP3" s="25">
        <v>0.98</v>
      </c>
      <c r="AQ3" s="25">
        <v>0.98</v>
      </c>
      <c r="AR3" s="25">
        <v>0.98</v>
      </c>
      <c r="AS3" s="103">
        <v>0.98</v>
      </c>
    </row>
    <row r="4" spans="1:45" ht="16.5" customHeight="1" thickBot="1" x14ac:dyDescent="0.3">
      <c r="A4" s="25">
        <v>3</v>
      </c>
      <c r="B4" s="27" t="s">
        <v>355</v>
      </c>
      <c r="C4" s="27" t="s">
        <v>361</v>
      </c>
      <c r="D4" s="27"/>
      <c r="E4" s="25">
        <v>6</v>
      </c>
      <c r="F4" s="25">
        <v>5</v>
      </c>
      <c r="G4" s="25">
        <v>0.97499999999999998</v>
      </c>
      <c r="H4" s="25">
        <v>0.98</v>
      </c>
      <c r="I4" s="25">
        <v>1</v>
      </c>
      <c r="J4" s="25">
        <v>3.2309999999999999</v>
      </c>
      <c r="K4" s="25">
        <v>1.837</v>
      </c>
      <c r="L4" s="25">
        <v>1.41</v>
      </c>
      <c r="M4" s="25">
        <v>1</v>
      </c>
      <c r="N4" s="25">
        <v>0.81599999999999995</v>
      </c>
      <c r="O4" s="25">
        <v>0.625</v>
      </c>
      <c r="P4" s="25">
        <v>0.625</v>
      </c>
      <c r="Q4" s="25">
        <v>0.625</v>
      </c>
      <c r="R4" s="25">
        <v>0.625</v>
      </c>
      <c r="S4" s="25">
        <v>0.625</v>
      </c>
      <c r="T4" s="25">
        <v>0.625</v>
      </c>
      <c r="U4" s="25">
        <v>0.625</v>
      </c>
      <c r="V4" s="25">
        <v>0.625</v>
      </c>
      <c r="W4" s="25">
        <v>0.625</v>
      </c>
      <c r="X4" s="25">
        <v>0.625</v>
      </c>
      <c r="Y4" s="25">
        <v>0.625</v>
      </c>
      <c r="Z4" s="25">
        <v>0.625</v>
      </c>
      <c r="AA4" s="25">
        <v>0.625</v>
      </c>
      <c r="AB4" s="25">
        <v>0.96</v>
      </c>
      <c r="AC4" s="25">
        <v>0.96</v>
      </c>
      <c r="AD4" s="25">
        <v>0.96</v>
      </c>
      <c r="AE4" s="25">
        <v>0.98</v>
      </c>
      <c r="AF4" s="25">
        <v>0.98</v>
      </c>
      <c r="AG4" s="25">
        <v>0.98</v>
      </c>
      <c r="AH4" s="25">
        <v>0.98</v>
      </c>
      <c r="AI4" s="25">
        <v>0.98</v>
      </c>
      <c r="AJ4" s="25">
        <v>0.98</v>
      </c>
      <c r="AK4" s="25">
        <v>0.98</v>
      </c>
      <c r="AL4" s="25">
        <v>0.98</v>
      </c>
      <c r="AM4" s="25">
        <v>0.98</v>
      </c>
      <c r="AN4" s="25">
        <v>0.98</v>
      </c>
      <c r="AO4" s="25">
        <v>0.98</v>
      </c>
      <c r="AP4" s="25">
        <v>0.98</v>
      </c>
      <c r="AQ4" s="25">
        <v>0.98</v>
      </c>
      <c r="AR4" s="25">
        <v>0.98</v>
      </c>
      <c r="AS4" s="103">
        <v>0.98</v>
      </c>
    </row>
    <row r="5" spans="1:45" ht="16.5" customHeight="1" thickBot="1" x14ac:dyDescent="0.3">
      <c r="A5" s="25">
        <v>3</v>
      </c>
      <c r="B5" s="25" t="s">
        <v>280</v>
      </c>
      <c r="C5" s="27" t="s">
        <v>361</v>
      </c>
      <c r="D5" s="25" t="s">
        <v>292</v>
      </c>
      <c r="E5" s="25">
        <v>7</v>
      </c>
      <c r="F5" s="25">
        <v>4</v>
      </c>
      <c r="G5" s="25">
        <v>0.97499999999999998</v>
      </c>
      <c r="H5" s="25">
        <v>0.98</v>
      </c>
      <c r="I5" s="25">
        <v>1</v>
      </c>
      <c r="J5" s="25">
        <v>4.38</v>
      </c>
      <c r="K5" s="25">
        <v>2.86</v>
      </c>
      <c r="L5" s="25">
        <v>1.92</v>
      </c>
      <c r="M5" s="25">
        <v>1.37</v>
      </c>
      <c r="N5" s="25">
        <v>1</v>
      </c>
      <c r="O5" s="25">
        <v>0.82</v>
      </c>
      <c r="P5" s="25">
        <v>0.73</v>
      </c>
      <c r="Q5" s="25">
        <v>0.625</v>
      </c>
      <c r="R5" s="25">
        <v>0.625</v>
      </c>
      <c r="S5" s="25">
        <v>0.625</v>
      </c>
      <c r="T5" s="25">
        <v>0.625</v>
      </c>
      <c r="U5" s="25">
        <v>0.625</v>
      </c>
      <c r="V5" s="25">
        <v>0.625</v>
      </c>
      <c r="W5" s="25">
        <v>0.625</v>
      </c>
      <c r="X5" s="25">
        <v>0.625</v>
      </c>
      <c r="Y5" s="25">
        <v>0.625</v>
      </c>
      <c r="Z5" s="25">
        <v>0.625</v>
      </c>
      <c r="AA5" s="25">
        <v>0.625</v>
      </c>
      <c r="AB5" s="25">
        <v>0.96</v>
      </c>
      <c r="AC5" s="25">
        <v>0.96</v>
      </c>
      <c r="AD5" s="25">
        <v>0.96</v>
      </c>
      <c r="AE5" s="25">
        <v>0.98</v>
      </c>
      <c r="AF5" s="25">
        <v>0.98</v>
      </c>
      <c r="AG5" s="25">
        <v>0.98</v>
      </c>
      <c r="AH5" s="25">
        <v>0.98</v>
      </c>
      <c r="AI5" s="25">
        <v>0.98</v>
      </c>
      <c r="AJ5" s="25">
        <v>0.98</v>
      </c>
      <c r="AK5" s="25">
        <v>0.98</v>
      </c>
      <c r="AL5" s="25">
        <v>0.98</v>
      </c>
      <c r="AM5" s="25">
        <v>0.98</v>
      </c>
      <c r="AN5" s="25">
        <v>0.98</v>
      </c>
      <c r="AO5" s="25">
        <v>0.98</v>
      </c>
      <c r="AP5" s="25">
        <v>0.98</v>
      </c>
      <c r="AQ5" s="25">
        <v>0.98</v>
      </c>
      <c r="AR5" s="25">
        <v>0.98</v>
      </c>
      <c r="AS5" s="103">
        <v>0.98</v>
      </c>
    </row>
    <row r="6" spans="1:45" ht="16.5" customHeight="1" thickBot="1" x14ac:dyDescent="0.3">
      <c r="A6" s="25">
        <v>3</v>
      </c>
      <c r="B6" s="25" t="s">
        <v>286</v>
      </c>
      <c r="C6" s="27" t="s">
        <v>361</v>
      </c>
      <c r="D6" s="25" t="s">
        <v>292</v>
      </c>
      <c r="E6" s="25">
        <v>7</v>
      </c>
      <c r="F6" s="25">
        <v>4</v>
      </c>
      <c r="G6" s="25">
        <v>0.97499999999999998</v>
      </c>
      <c r="H6" s="25">
        <v>0.98</v>
      </c>
      <c r="I6" s="25">
        <v>1</v>
      </c>
      <c r="J6" s="25">
        <v>4.38</v>
      </c>
      <c r="K6" s="25">
        <v>2.86</v>
      </c>
      <c r="L6" s="25">
        <v>1.92</v>
      </c>
      <c r="M6" s="25">
        <v>1.37</v>
      </c>
      <c r="N6" s="25">
        <v>1</v>
      </c>
      <c r="O6" s="25">
        <v>0.82</v>
      </c>
      <c r="P6" s="25">
        <v>0.73</v>
      </c>
      <c r="Q6" s="25">
        <v>0.625</v>
      </c>
      <c r="R6" s="25">
        <v>0.625</v>
      </c>
      <c r="S6" s="25">
        <v>0.625</v>
      </c>
      <c r="T6" s="25">
        <v>0.625</v>
      </c>
      <c r="U6" s="25">
        <v>0.625</v>
      </c>
      <c r="V6" s="25">
        <v>0.625</v>
      </c>
      <c r="W6" s="25">
        <v>0.625</v>
      </c>
      <c r="X6" s="25">
        <v>0.625</v>
      </c>
      <c r="Y6" s="25">
        <v>0.625</v>
      </c>
      <c r="Z6" s="25">
        <v>0.625</v>
      </c>
      <c r="AA6" s="25">
        <v>0.625</v>
      </c>
      <c r="AB6" s="25">
        <v>0.96</v>
      </c>
      <c r="AC6" s="25">
        <v>0.96</v>
      </c>
      <c r="AD6" s="25">
        <v>0.96</v>
      </c>
      <c r="AE6" s="25">
        <v>0.98</v>
      </c>
      <c r="AF6" s="25">
        <v>0.98</v>
      </c>
      <c r="AG6" s="25">
        <v>0.98</v>
      </c>
      <c r="AH6" s="25">
        <v>0.98</v>
      </c>
      <c r="AI6" s="25">
        <v>0.98</v>
      </c>
      <c r="AJ6" s="25">
        <v>0.98</v>
      </c>
      <c r="AK6" s="25">
        <v>0.98</v>
      </c>
      <c r="AL6" s="25">
        <v>0.98</v>
      </c>
      <c r="AM6" s="25">
        <v>0.98</v>
      </c>
      <c r="AN6" s="25">
        <v>0.98</v>
      </c>
      <c r="AO6" s="25">
        <v>0.98</v>
      </c>
      <c r="AP6" s="25">
        <v>0.98</v>
      </c>
      <c r="AQ6" s="25">
        <v>0.98</v>
      </c>
      <c r="AR6" s="25">
        <v>0.98</v>
      </c>
      <c r="AS6" s="103">
        <v>0.98</v>
      </c>
    </row>
    <row r="7" spans="1:45" ht="16.5" customHeight="1" thickBot="1" x14ac:dyDescent="0.3">
      <c r="A7" s="25">
        <v>4</v>
      </c>
      <c r="B7" s="27" t="s">
        <v>355</v>
      </c>
      <c r="C7" s="27" t="s">
        <v>361</v>
      </c>
      <c r="D7" s="27"/>
      <c r="E7" s="25">
        <v>6</v>
      </c>
      <c r="F7" s="25">
        <v>4.5999999999999996</v>
      </c>
      <c r="G7" s="25">
        <v>0.97499999999999998</v>
      </c>
      <c r="H7" s="25">
        <v>0.98</v>
      </c>
      <c r="I7" s="25">
        <v>1</v>
      </c>
      <c r="J7" s="25">
        <v>3.2309999999999999</v>
      </c>
      <c r="K7" s="25">
        <v>1.837</v>
      </c>
      <c r="L7" s="25">
        <v>1.41</v>
      </c>
      <c r="M7" s="25">
        <v>1</v>
      </c>
      <c r="N7" s="25">
        <v>0.81599999999999995</v>
      </c>
      <c r="O7" s="25">
        <v>0.625</v>
      </c>
      <c r="P7" s="25">
        <v>0.625</v>
      </c>
      <c r="Q7" s="25">
        <v>0.625</v>
      </c>
      <c r="R7" s="25">
        <v>0.625</v>
      </c>
      <c r="S7" s="25">
        <v>0.625</v>
      </c>
      <c r="T7" s="25">
        <v>0.625</v>
      </c>
      <c r="U7" s="25">
        <v>0.625</v>
      </c>
      <c r="V7" s="25">
        <v>0.625</v>
      </c>
      <c r="W7" s="25">
        <v>0.625</v>
      </c>
      <c r="X7" s="25">
        <v>0.625</v>
      </c>
      <c r="Y7" s="25">
        <v>0.625</v>
      </c>
      <c r="Z7" s="25">
        <v>0.625</v>
      </c>
      <c r="AA7" s="25">
        <v>0.625</v>
      </c>
      <c r="AB7" s="25">
        <v>0.96</v>
      </c>
      <c r="AC7" s="25">
        <v>0.96</v>
      </c>
      <c r="AD7" s="25">
        <v>0.96</v>
      </c>
      <c r="AE7" s="25">
        <v>0.98</v>
      </c>
      <c r="AF7" s="25">
        <v>0.98</v>
      </c>
      <c r="AG7" s="25">
        <v>0.98</v>
      </c>
      <c r="AH7" s="25">
        <v>0.98</v>
      </c>
      <c r="AI7" s="25">
        <v>0.98</v>
      </c>
      <c r="AJ7" s="25">
        <v>0.98</v>
      </c>
      <c r="AK7" s="25">
        <v>0.98</v>
      </c>
      <c r="AL7" s="25">
        <v>0.98</v>
      </c>
      <c r="AM7" s="25">
        <v>0.98</v>
      </c>
      <c r="AN7" s="25">
        <v>0.98</v>
      </c>
      <c r="AO7" s="25">
        <v>0.98</v>
      </c>
      <c r="AP7" s="25">
        <v>0.98</v>
      </c>
      <c r="AQ7" s="25">
        <v>0.98</v>
      </c>
      <c r="AR7" s="25">
        <v>0.98</v>
      </c>
      <c r="AS7" s="103">
        <v>0.98</v>
      </c>
    </row>
    <row r="8" spans="1:45" ht="16.5" customHeight="1" thickBot="1" x14ac:dyDescent="0.3">
      <c r="A8" s="25">
        <v>4</v>
      </c>
      <c r="B8" s="25" t="s">
        <v>287</v>
      </c>
      <c r="C8" s="27" t="s">
        <v>361</v>
      </c>
      <c r="D8" s="25" t="s">
        <v>290</v>
      </c>
      <c r="E8" s="25">
        <v>6</v>
      </c>
      <c r="F8" s="25">
        <v>4.5999999999999996</v>
      </c>
      <c r="G8" s="25">
        <v>0.97499999999999998</v>
      </c>
      <c r="H8" s="25">
        <v>0.98</v>
      </c>
      <c r="I8" s="25">
        <v>1</v>
      </c>
      <c r="J8" s="25">
        <v>3.51</v>
      </c>
      <c r="K8" s="25">
        <v>1.9</v>
      </c>
      <c r="L8" s="25">
        <v>1.44</v>
      </c>
      <c r="M8" s="25">
        <v>1</v>
      </c>
      <c r="N8" s="25">
        <v>0.74</v>
      </c>
      <c r="O8" s="25">
        <v>0.64</v>
      </c>
      <c r="P8" s="25">
        <v>0.625</v>
      </c>
      <c r="Q8" s="25">
        <v>0.625</v>
      </c>
      <c r="R8" s="25">
        <v>0.625</v>
      </c>
      <c r="S8" s="25">
        <v>0.625</v>
      </c>
      <c r="T8" s="25">
        <v>0.625</v>
      </c>
      <c r="U8" s="25">
        <v>0.625</v>
      </c>
      <c r="V8" s="25">
        <v>0.625</v>
      </c>
      <c r="W8" s="25">
        <v>0.625</v>
      </c>
      <c r="X8" s="25">
        <v>0.625</v>
      </c>
      <c r="Y8" s="25">
        <v>0.625</v>
      </c>
      <c r="Z8" s="25">
        <v>0.625</v>
      </c>
      <c r="AA8" s="25">
        <v>0.625</v>
      </c>
      <c r="AB8" s="25">
        <v>0.96</v>
      </c>
      <c r="AC8" s="25">
        <v>0.96</v>
      </c>
      <c r="AD8" s="25">
        <v>0.96</v>
      </c>
      <c r="AE8" s="25">
        <v>0.98</v>
      </c>
      <c r="AF8" s="25">
        <v>0.98</v>
      </c>
      <c r="AG8" s="25">
        <v>0.98</v>
      </c>
      <c r="AH8" s="25">
        <v>0.98</v>
      </c>
      <c r="AI8" s="25">
        <v>0.98</v>
      </c>
      <c r="AJ8" s="25">
        <v>0.98</v>
      </c>
      <c r="AK8" s="25">
        <v>0.98</v>
      </c>
      <c r="AL8" s="25">
        <v>0.98</v>
      </c>
      <c r="AM8" s="25">
        <v>0.98</v>
      </c>
      <c r="AN8" s="25">
        <v>0.98</v>
      </c>
      <c r="AO8" s="25">
        <v>0.98</v>
      </c>
      <c r="AP8" s="25">
        <v>0.98</v>
      </c>
      <c r="AQ8" s="25">
        <v>0.98</v>
      </c>
      <c r="AR8" s="25">
        <v>0.98</v>
      </c>
      <c r="AS8" s="103">
        <v>0.98</v>
      </c>
    </row>
    <row r="9" spans="1:45" ht="16.5" customHeight="1" thickBot="1" x14ac:dyDescent="0.3">
      <c r="A9" s="175">
        <v>4</v>
      </c>
      <c r="B9" s="175" t="s">
        <v>377</v>
      </c>
      <c r="C9" s="176" t="s">
        <v>361</v>
      </c>
      <c r="D9" s="175" t="s">
        <v>293</v>
      </c>
      <c r="E9" s="25">
        <v>6</v>
      </c>
      <c r="F9" s="25">
        <v>4.5999999999999996</v>
      </c>
      <c r="G9" s="25">
        <v>0.97499999999999998</v>
      </c>
      <c r="H9" s="25">
        <v>0.98</v>
      </c>
      <c r="I9" s="25">
        <v>1</v>
      </c>
      <c r="J9" s="25">
        <v>3.1</v>
      </c>
      <c r="K9" s="25">
        <v>1.81</v>
      </c>
      <c r="L9" s="25">
        <v>1.41</v>
      </c>
      <c r="M9" s="25">
        <v>1</v>
      </c>
      <c r="N9" s="25">
        <v>0.71</v>
      </c>
      <c r="O9" s="25">
        <v>0.61</v>
      </c>
      <c r="P9" s="25">
        <f>Table13[[#This Row],[Gear Ratio 6]]</f>
        <v>0.61</v>
      </c>
      <c r="Q9" s="25">
        <f>Table13[[#This Row],[Gear Ratio 7]]</f>
        <v>0.61</v>
      </c>
      <c r="R9" s="25">
        <f>Table13[[#This Row],[Gear Ratio 8]]</f>
        <v>0.61</v>
      </c>
      <c r="S9" s="25">
        <f>Table13[[#This Row],[Gear Ratio 9]]</f>
        <v>0.61</v>
      </c>
      <c r="T9" s="25">
        <f>Table13[[#This Row],[Gear Ratio 10]]</f>
        <v>0.61</v>
      </c>
      <c r="U9" s="25">
        <f>Table13[[#This Row],[Gear Ratio 11]]</f>
        <v>0.61</v>
      </c>
      <c r="V9" s="25">
        <f>Table13[[#This Row],[Gear Ratio 12]]</f>
        <v>0.61</v>
      </c>
      <c r="W9" s="25">
        <f>Table13[[#This Row],[Gear Ratio 13]]</f>
        <v>0.61</v>
      </c>
      <c r="X9" s="25">
        <f>Table13[[#This Row],[Gear Ratio 14]]</f>
        <v>0.61</v>
      </c>
      <c r="Y9" s="25">
        <f>Table13[[#This Row],[Gear Ratio 15]]</f>
        <v>0.61</v>
      </c>
      <c r="Z9" s="25">
        <f>Table13[[#This Row],[Gear Ratio 16]]</f>
        <v>0.61</v>
      </c>
      <c r="AA9" s="25">
        <f>Table13[[#This Row],[Gear Ratio 17]]</f>
        <v>0.61</v>
      </c>
      <c r="AB9" s="25">
        <v>0.96</v>
      </c>
      <c r="AC9" s="25">
        <v>0.96</v>
      </c>
      <c r="AD9" s="25">
        <v>0.96</v>
      </c>
      <c r="AE9" s="25">
        <v>0.98</v>
      </c>
      <c r="AF9" s="25">
        <v>0.98</v>
      </c>
      <c r="AG9" s="25">
        <v>0.98</v>
      </c>
      <c r="AH9" s="25">
        <v>0.98</v>
      </c>
      <c r="AI9" s="25">
        <v>0.98</v>
      </c>
      <c r="AJ9" s="25">
        <v>0.98</v>
      </c>
      <c r="AK9" s="25">
        <v>0.98</v>
      </c>
      <c r="AL9" s="25">
        <v>0.98</v>
      </c>
      <c r="AM9" s="25">
        <v>0.98</v>
      </c>
      <c r="AN9" s="25">
        <v>0.98</v>
      </c>
      <c r="AO9" s="25">
        <v>0.98</v>
      </c>
      <c r="AP9" s="25">
        <v>0.98</v>
      </c>
      <c r="AQ9" s="25">
        <v>0.98</v>
      </c>
      <c r="AR9" s="25">
        <v>0.98</v>
      </c>
      <c r="AS9" s="103">
        <v>0.98</v>
      </c>
    </row>
    <row r="10" spans="1:45" ht="16.5" customHeight="1" thickBot="1" x14ac:dyDescent="0.3">
      <c r="A10" s="25">
        <v>5</v>
      </c>
      <c r="B10" s="25" t="s">
        <v>288</v>
      </c>
      <c r="C10" s="27" t="s">
        <v>361</v>
      </c>
      <c r="D10" s="25" t="s">
        <v>290</v>
      </c>
      <c r="E10" s="25">
        <v>6</v>
      </c>
      <c r="F10" s="25">
        <v>4.5999999999999996</v>
      </c>
      <c r="G10" s="25">
        <v>0.97499999999999998</v>
      </c>
      <c r="H10" s="25">
        <v>0.98</v>
      </c>
      <c r="I10" s="25">
        <v>1</v>
      </c>
      <c r="J10" s="25">
        <v>3.51</v>
      </c>
      <c r="K10" s="25">
        <v>1.9</v>
      </c>
      <c r="L10" s="25">
        <v>1.44</v>
      </c>
      <c r="M10" s="25">
        <v>1</v>
      </c>
      <c r="N10" s="25">
        <v>0.74</v>
      </c>
      <c r="O10" s="25">
        <v>0.64</v>
      </c>
      <c r="P10" s="25">
        <v>0.625</v>
      </c>
      <c r="Q10" s="25">
        <v>0.625</v>
      </c>
      <c r="R10" s="25">
        <v>0.625</v>
      </c>
      <c r="S10" s="25">
        <v>0.625</v>
      </c>
      <c r="T10" s="25">
        <v>0.625</v>
      </c>
      <c r="U10" s="25">
        <v>0.625</v>
      </c>
      <c r="V10" s="25">
        <v>0.625</v>
      </c>
      <c r="W10" s="25">
        <v>0.625</v>
      </c>
      <c r="X10" s="25">
        <v>0.625</v>
      </c>
      <c r="Y10" s="25">
        <v>0.625</v>
      </c>
      <c r="Z10" s="25">
        <v>0.625</v>
      </c>
      <c r="AA10" s="25">
        <v>0.625</v>
      </c>
      <c r="AB10" s="25">
        <v>0.96</v>
      </c>
      <c r="AC10" s="25">
        <v>0.96</v>
      </c>
      <c r="AD10" s="25">
        <v>0.96</v>
      </c>
      <c r="AE10" s="25">
        <v>0.98</v>
      </c>
      <c r="AF10" s="25">
        <v>0.98</v>
      </c>
      <c r="AG10" s="25">
        <v>0.98</v>
      </c>
      <c r="AH10" s="25">
        <v>0.98</v>
      </c>
      <c r="AI10" s="25">
        <v>0.98</v>
      </c>
      <c r="AJ10" s="25">
        <v>0.98</v>
      </c>
      <c r="AK10" s="25">
        <v>0.98</v>
      </c>
      <c r="AL10" s="25">
        <v>0.98</v>
      </c>
      <c r="AM10" s="25">
        <v>0.98</v>
      </c>
      <c r="AN10" s="25">
        <v>0.98</v>
      </c>
      <c r="AO10" s="25">
        <v>0.98</v>
      </c>
      <c r="AP10" s="25">
        <v>0.98</v>
      </c>
      <c r="AQ10" s="25">
        <v>0.98</v>
      </c>
      <c r="AR10" s="25">
        <v>0.98</v>
      </c>
      <c r="AS10" s="103">
        <v>0.98</v>
      </c>
    </row>
    <row r="11" spans="1:45" ht="16.5" customHeight="1" thickBot="1" x14ac:dyDescent="0.3">
      <c r="A11" s="25">
        <v>6</v>
      </c>
      <c r="B11" s="25" t="s">
        <v>279</v>
      </c>
      <c r="C11" s="27" t="s">
        <v>361</v>
      </c>
      <c r="D11" s="25" t="s">
        <v>378</v>
      </c>
      <c r="E11" s="25">
        <v>6</v>
      </c>
      <c r="F11" s="25">
        <v>4.88</v>
      </c>
      <c r="G11" s="25">
        <v>0.97499999999999998</v>
      </c>
      <c r="H11" s="25">
        <v>0.98</v>
      </c>
      <c r="I11" s="25">
        <v>1</v>
      </c>
      <c r="J11" s="25">
        <v>4.59</v>
      </c>
      <c r="K11" s="25">
        <v>2.25</v>
      </c>
      <c r="L11" s="25">
        <v>1.54</v>
      </c>
      <c r="M11" s="25">
        <v>1</v>
      </c>
      <c r="N11" s="25">
        <v>0.75</v>
      </c>
      <c r="O11" s="25">
        <v>0.65</v>
      </c>
      <c r="P11" s="25">
        <v>0.625</v>
      </c>
      <c r="Q11" s="25">
        <v>0.625</v>
      </c>
      <c r="R11" s="25">
        <v>0.625</v>
      </c>
      <c r="S11" s="25">
        <v>0.625</v>
      </c>
      <c r="T11" s="25">
        <v>0.625</v>
      </c>
      <c r="U11" s="25">
        <v>0.625</v>
      </c>
      <c r="V11" s="25">
        <v>0.625</v>
      </c>
      <c r="W11" s="25">
        <v>0.625</v>
      </c>
      <c r="X11" s="25">
        <v>0.625</v>
      </c>
      <c r="Y11" s="25">
        <v>0.625</v>
      </c>
      <c r="Z11" s="25">
        <v>0.625</v>
      </c>
      <c r="AA11" s="25">
        <v>0.625</v>
      </c>
      <c r="AB11" s="25">
        <v>0.96</v>
      </c>
      <c r="AC11" s="25">
        <v>0.96</v>
      </c>
      <c r="AD11" s="25">
        <v>0.96</v>
      </c>
      <c r="AE11" s="25">
        <v>0.98</v>
      </c>
      <c r="AF11" s="25">
        <v>0.98</v>
      </c>
      <c r="AG11" s="25">
        <v>0.98</v>
      </c>
      <c r="AH11" s="25">
        <v>0.98</v>
      </c>
      <c r="AI11" s="25">
        <v>0.98</v>
      </c>
      <c r="AJ11" s="25">
        <v>0.98</v>
      </c>
      <c r="AK11" s="25">
        <v>0.98</v>
      </c>
      <c r="AL11" s="25">
        <v>0.98</v>
      </c>
      <c r="AM11" s="25">
        <v>0.98</v>
      </c>
      <c r="AN11" s="25">
        <v>0.98</v>
      </c>
      <c r="AO11" s="25">
        <v>0.98</v>
      </c>
      <c r="AP11" s="25">
        <v>0.98</v>
      </c>
      <c r="AQ11" s="25">
        <v>0.98</v>
      </c>
      <c r="AR11" s="25">
        <v>0.98</v>
      </c>
      <c r="AS11" s="103">
        <v>0.98</v>
      </c>
    </row>
    <row r="12" spans="1:45" ht="16.5" customHeight="1" thickBot="1" x14ac:dyDescent="0.3">
      <c r="A12" s="25">
        <v>6</v>
      </c>
      <c r="B12" s="27" t="s">
        <v>355</v>
      </c>
      <c r="C12" s="27" t="s">
        <v>361</v>
      </c>
      <c r="D12" s="27"/>
      <c r="E12" s="25">
        <v>6</v>
      </c>
      <c r="F12" s="25">
        <v>4.5999999999999996</v>
      </c>
      <c r="G12" s="25">
        <v>0.97499999999999998</v>
      </c>
      <c r="H12" s="25">
        <v>0.98</v>
      </c>
      <c r="I12" s="25">
        <v>1</v>
      </c>
      <c r="J12" s="25">
        <v>3.2309999999999999</v>
      </c>
      <c r="K12" s="25">
        <v>1.837</v>
      </c>
      <c r="L12" s="25">
        <v>1.41</v>
      </c>
      <c r="M12" s="25">
        <v>1</v>
      </c>
      <c r="N12" s="25">
        <v>0.81599999999999995</v>
      </c>
      <c r="O12" s="25">
        <v>0.625</v>
      </c>
      <c r="P12" s="25">
        <v>0.625</v>
      </c>
      <c r="Q12" s="25">
        <v>0.625</v>
      </c>
      <c r="R12" s="25">
        <v>0.625</v>
      </c>
      <c r="S12" s="25">
        <v>0.625</v>
      </c>
      <c r="T12" s="25">
        <v>0.625</v>
      </c>
      <c r="U12" s="25">
        <v>0.625</v>
      </c>
      <c r="V12" s="25">
        <v>0.625</v>
      </c>
      <c r="W12" s="25">
        <v>0.625</v>
      </c>
      <c r="X12" s="25">
        <v>0.625</v>
      </c>
      <c r="Y12" s="25">
        <v>0.625</v>
      </c>
      <c r="Z12" s="25">
        <v>0.625</v>
      </c>
      <c r="AA12" s="25">
        <v>0.625</v>
      </c>
      <c r="AB12" s="25">
        <v>0.96</v>
      </c>
      <c r="AC12" s="25">
        <v>0.96</v>
      </c>
      <c r="AD12" s="25">
        <v>0.96</v>
      </c>
      <c r="AE12" s="25">
        <v>0.98</v>
      </c>
      <c r="AF12" s="25">
        <v>0.98</v>
      </c>
      <c r="AG12" s="25">
        <v>0.98</v>
      </c>
      <c r="AH12" s="25">
        <v>0.98</v>
      </c>
      <c r="AI12" s="25">
        <v>0.98</v>
      </c>
      <c r="AJ12" s="25">
        <v>0.98</v>
      </c>
      <c r="AK12" s="25">
        <v>0.98</v>
      </c>
      <c r="AL12" s="25">
        <v>0.98</v>
      </c>
      <c r="AM12" s="25">
        <v>0.98</v>
      </c>
      <c r="AN12" s="25">
        <v>0.98</v>
      </c>
      <c r="AO12" s="25">
        <v>0.98</v>
      </c>
      <c r="AP12" s="25">
        <v>0.98</v>
      </c>
      <c r="AQ12" s="25">
        <v>0.98</v>
      </c>
      <c r="AR12" s="25">
        <v>0.98</v>
      </c>
      <c r="AS12" s="103">
        <v>0.98</v>
      </c>
    </row>
    <row r="13" spans="1:45" ht="16.5" customHeight="1" thickBot="1" x14ac:dyDescent="0.3">
      <c r="A13" s="175">
        <v>6</v>
      </c>
      <c r="B13" s="176" t="s">
        <v>377</v>
      </c>
      <c r="C13" s="176" t="s">
        <v>361</v>
      </c>
      <c r="D13" s="175" t="s">
        <v>293</v>
      </c>
      <c r="E13" s="25">
        <v>6</v>
      </c>
      <c r="F13" s="25">
        <v>4.5999999999999996</v>
      </c>
      <c r="G13" s="25">
        <v>0.97499999999999998</v>
      </c>
      <c r="H13" s="25">
        <v>0.98</v>
      </c>
      <c r="I13" s="25">
        <v>1</v>
      </c>
      <c r="J13" s="25">
        <v>3.1</v>
      </c>
      <c r="K13" s="25">
        <v>1.81</v>
      </c>
      <c r="L13" s="25">
        <v>1.41</v>
      </c>
      <c r="M13" s="25">
        <v>1</v>
      </c>
      <c r="N13" s="25">
        <v>0.71</v>
      </c>
      <c r="O13" s="25">
        <v>0.61</v>
      </c>
      <c r="P13" s="25">
        <f>Table13[[#This Row],[Gear Ratio 6]]</f>
        <v>0.61</v>
      </c>
      <c r="Q13" s="25">
        <f>Table13[[#This Row],[Gear Ratio 7]]</f>
        <v>0.61</v>
      </c>
      <c r="R13" s="25">
        <v>0.625</v>
      </c>
      <c r="S13" s="25">
        <v>0.625</v>
      </c>
      <c r="T13" s="25">
        <v>0.625</v>
      </c>
      <c r="U13" s="25">
        <v>0.625</v>
      </c>
      <c r="V13" s="25">
        <v>0.625</v>
      </c>
      <c r="W13" s="25">
        <v>0.625</v>
      </c>
      <c r="X13" s="25">
        <v>0.625</v>
      </c>
      <c r="Y13" s="25">
        <v>0.625</v>
      </c>
      <c r="Z13" s="25">
        <v>0.625</v>
      </c>
      <c r="AA13" s="25">
        <v>0.625</v>
      </c>
      <c r="AB13" s="25">
        <v>0.96</v>
      </c>
      <c r="AC13" s="25">
        <v>0.96</v>
      </c>
      <c r="AD13" s="25">
        <v>0.96</v>
      </c>
      <c r="AE13" s="25">
        <v>0.98</v>
      </c>
      <c r="AF13" s="25">
        <v>0.98</v>
      </c>
      <c r="AG13" s="25">
        <v>0.98</v>
      </c>
      <c r="AH13" s="25">
        <v>0.98</v>
      </c>
      <c r="AI13" s="25">
        <v>0.98</v>
      </c>
      <c r="AJ13" s="25">
        <v>0.98</v>
      </c>
      <c r="AK13" s="25">
        <v>0.98</v>
      </c>
      <c r="AL13" s="25">
        <v>0.98</v>
      </c>
      <c r="AM13" s="25">
        <v>0.98</v>
      </c>
      <c r="AN13" s="25">
        <v>0.98</v>
      </c>
      <c r="AO13" s="25">
        <v>0.98</v>
      </c>
      <c r="AP13" s="25">
        <v>0.98</v>
      </c>
      <c r="AQ13" s="25">
        <v>0.98</v>
      </c>
      <c r="AR13" s="25">
        <v>0.98</v>
      </c>
      <c r="AS13" s="103">
        <v>0.98</v>
      </c>
    </row>
    <row r="14" spans="1:45" ht="16.5" customHeight="1" thickBot="1" x14ac:dyDescent="0.3">
      <c r="A14" s="25">
        <v>7</v>
      </c>
      <c r="B14" s="25" t="s">
        <v>227</v>
      </c>
      <c r="C14" s="100" t="s">
        <v>360</v>
      </c>
      <c r="D14" s="100"/>
      <c r="E14" s="25">
        <v>10</v>
      </c>
      <c r="F14" s="25">
        <v>2.6</v>
      </c>
      <c r="G14" s="25">
        <v>0.97499999999999998</v>
      </c>
      <c r="H14" s="25">
        <v>0.98</v>
      </c>
      <c r="I14" s="25">
        <v>3</v>
      </c>
      <c r="J14" s="25">
        <v>12.8</v>
      </c>
      <c r="K14" s="25">
        <v>9.25</v>
      </c>
      <c r="L14" s="25">
        <v>6.76</v>
      </c>
      <c r="M14" s="25">
        <v>4.9000000000000004</v>
      </c>
      <c r="N14" s="25">
        <v>3.58</v>
      </c>
      <c r="O14" s="25">
        <v>2.61</v>
      </c>
      <c r="P14" s="25">
        <v>1.89</v>
      </c>
      <c r="Q14" s="25">
        <v>1.38</v>
      </c>
      <c r="R14" s="25">
        <v>1</v>
      </c>
      <c r="S14" s="25">
        <v>0.73</v>
      </c>
      <c r="T14" s="25">
        <v>1</v>
      </c>
      <c r="U14" s="25">
        <v>1</v>
      </c>
      <c r="V14" s="25">
        <v>1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B14" s="13">
        <v>0.96</v>
      </c>
      <c r="AC14" s="13">
        <v>0.96</v>
      </c>
      <c r="AD14" s="13">
        <v>0.96</v>
      </c>
      <c r="AE14" s="13">
        <v>0.96</v>
      </c>
      <c r="AF14" s="13">
        <v>0.98</v>
      </c>
      <c r="AG14" s="13">
        <v>0.98</v>
      </c>
      <c r="AH14" s="13">
        <v>0.98</v>
      </c>
      <c r="AI14" s="13">
        <v>0.98</v>
      </c>
      <c r="AJ14" s="13">
        <v>0.98</v>
      </c>
      <c r="AK14" s="13">
        <v>0.98</v>
      </c>
      <c r="AL14" s="13">
        <v>0.98</v>
      </c>
      <c r="AM14" s="13">
        <v>0.98</v>
      </c>
      <c r="AN14" s="13">
        <v>0.98</v>
      </c>
      <c r="AO14" s="13">
        <v>0.98</v>
      </c>
      <c r="AP14" s="13">
        <v>0.98</v>
      </c>
      <c r="AQ14" s="13">
        <v>0.98</v>
      </c>
      <c r="AR14" s="13">
        <v>0.98</v>
      </c>
      <c r="AS14" s="41">
        <v>0.98</v>
      </c>
    </row>
    <row r="15" spans="1:45" ht="16.5" customHeight="1" thickBot="1" x14ac:dyDescent="0.3">
      <c r="A15" s="25">
        <v>7</v>
      </c>
      <c r="B15" s="25" t="s">
        <v>280</v>
      </c>
      <c r="C15" s="24" t="s">
        <v>361</v>
      </c>
      <c r="D15" s="25" t="s">
        <v>378</v>
      </c>
      <c r="E15" s="25">
        <v>6</v>
      </c>
      <c r="F15" s="25">
        <v>4.88</v>
      </c>
      <c r="G15" s="25">
        <v>0.97499999999999998</v>
      </c>
      <c r="H15" s="25">
        <v>0.98</v>
      </c>
      <c r="I15" s="25">
        <v>1</v>
      </c>
      <c r="J15" s="25">
        <v>4.59</v>
      </c>
      <c r="K15" s="25">
        <v>2.25</v>
      </c>
      <c r="L15" s="25">
        <v>1.54</v>
      </c>
      <c r="M15" s="25">
        <v>1</v>
      </c>
      <c r="N15" s="25">
        <v>0.75</v>
      </c>
      <c r="O15" s="25">
        <v>0.65</v>
      </c>
      <c r="P15" s="25">
        <v>0.625</v>
      </c>
      <c r="Q15" s="25">
        <v>0.625</v>
      </c>
      <c r="R15" s="25">
        <v>0.625</v>
      </c>
      <c r="S15" s="25">
        <v>0.625</v>
      </c>
      <c r="T15" s="25">
        <v>0.625</v>
      </c>
      <c r="U15" s="25">
        <v>0.625</v>
      </c>
      <c r="V15" s="25">
        <v>0.625</v>
      </c>
      <c r="W15" s="25">
        <v>0.625</v>
      </c>
      <c r="X15" s="25">
        <v>0.625</v>
      </c>
      <c r="Y15" s="25">
        <v>0.625</v>
      </c>
      <c r="Z15" s="25">
        <v>0.625</v>
      </c>
      <c r="AA15" s="25">
        <v>0.625</v>
      </c>
      <c r="AB15" s="25">
        <v>0.96</v>
      </c>
      <c r="AC15" s="25">
        <v>0.96</v>
      </c>
      <c r="AD15" s="25">
        <v>0.96</v>
      </c>
      <c r="AE15" s="25">
        <v>0.98</v>
      </c>
      <c r="AF15" s="25">
        <v>0.98</v>
      </c>
      <c r="AG15" s="25">
        <v>0.98</v>
      </c>
      <c r="AH15" s="25">
        <v>0.98</v>
      </c>
      <c r="AI15" s="25">
        <v>0.98</v>
      </c>
      <c r="AJ15" s="25">
        <v>0.98</v>
      </c>
      <c r="AK15" s="25">
        <v>0.98</v>
      </c>
      <c r="AL15" s="25">
        <v>0.98</v>
      </c>
      <c r="AM15" s="25">
        <v>0.98</v>
      </c>
      <c r="AN15" s="25">
        <v>0.98</v>
      </c>
      <c r="AO15" s="25">
        <v>0.98</v>
      </c>
      <c r="AP15" s="25">
        <v>0.98</v>
      </c>
      <c r="AQ15" s="25">
        <v>0.98</v>
      </c>
      <c r="AR15" s="25">
        <v>0.98</v>
      </c>
      <c r="AS15" s="103">
        <v>0.98</v>
      </c>
    </row>
    <row r="16" spans="1:45" ht="16.5" customHeight="1" thickBot="1" x14ac:dyDescent="0.3">
      <c r="A16" s="25">
        <v>7</v>
      </c>
      <c r="B16" s="27" t="s">
        <v>355</v>
      </c>
      <c r="C16" s="27" t="s">
        <v>361</v>
      </c>
      <c r="D16" s="25" t="s">
        <v>378</v>
      </c>
      <c r="E16" s="25">
        <v>6</v>
      </c>
      <c r="F16" s="25">
        <v>4.88</v>
      </c>
      <c r="G16" s="25">
        <v>0.97499999999999998</v>
      </c>
      <c r="H16" s="25">
        <v>0.98</v>
      </c>
      <c r="I16" s="25">
        <v>1</v>
      </c>
      <c r="J16" s="25">
        <v>4.59</v>
      </c>
      <c r="K16" s="25">
        <v>2.25</v>
      </c>
      <c r="L16" s="25">
        <v>1.54</v>
      </c>
      <c r="M16" s="25">
        <v>1</v>
      </c>
      <c r="N16" s="25">
        <v>0.75</v>
      </c>
      <c r="O16" s="25">
        <v>0.65</v>
      </c>
      <c r="P16" s="25">
        <v>0.625</v>
      </c>
      <c r="Q16" s="25">
        <v>0.625</v>
      </c>
      <c r="R16" s="25">
        <v>0.625</v>
      </c>
      <c r="S16" s="25">
        <v>0.625</v>
      </c>
      <c r="T16" s="25">
        <v>0.625</v>
      </c>
      <c r="U16" s="25">
        <v>0.625</v>
      </c>
      <c r="V16" s="25">
        <v>0.625</v>
      </c>
      <c r="W16" s="25">
        <v>0.625</v>
      </c>
      <c r="X16" s="25">
        <v>0.625</v>
      </c>
      <c r="Y16" s="25">
        <v>0.625</v>
      </c>
      <c r="Z16" s="25">
        <v>0.625</v>
      </c>
      <c r="AA16" s="25">
        <v>0.625</v>
      </c>
      <c r="AB16" s="25">
        <v>0.96</v>
      </c>
      <c r="AC16" s="25">
        <v>0.96</v>
      </c>
      <c r="AD16" s="25">
        <v>0.96</v>
      </c>
      <c r="AE16" s="25">
        <v>0.98</v>
      </c>
      <c r="AF16" s="25">
        <v>0.98</v>
      </c>
      <c r="AG16" s="25">
        <v>0.98</v>
      </c>
      <c r="AH16" s="25">
        <v>0.98</v>
      </c>
      <c r="AI16" s="25">
        <v>0.98</v>
      </c>
      <c r="AJ16" s="25">
        <v>0.98</v>
      </c>
      <c r="AK16" s="25">
        <v>0.98</v>
      </c>
      <c r="AL16" s="25">
        <v>0.98</v>
      </c>
      <c r="AM16" s="25">
        <v>0.98</v>
      </c>
      <c r="AN16" s="25">
        <v>0.98</v>
      </c>
      <c r="AO16" s="25">
        <v>0.98</v>
      </c>
      <c r="AP16" s="25">
        <v>0.98</v>
      </c>
      <c r="AQ16" s="25">
        <v>0.98</v>
      </c>
      <c r="AR16" s="25">
        <v>0.98</v>
      </c>
      <c r="AS16" s="103">
        <v>0.98</v>
      </c>
    </row>
    <row r="17" spans="1:45" ht="16.5" customHeight="1" thickBot="1" x14ac:dyDescent="0.3">
      <c r="A17" s="25">
        <v>7</v>
      </c>
      <c r="B17" s="27" t="s">
        <v>226</v>
      </c>
      <c r="C17" s="27" t="s">
        <v>361</v>
      </c>
      <c r="D17" s="25" t="s">
        <v>378</v>
      </c>
      <c r="E17" s="25">
        <v>6</v>
      </c>
      <c r="F17" s="25">
        <v>4.88</v>
      </c>
      <c r="G17" s="25">
        <v>0.97499999999999998</v>
      </c>
      <c r="H17" s="25">
        <v>0.98</v>
      </c>
      <c r="I17" s="25">
        <v>1</v>
      </c>
      <c r="J17" s="25">
        <v>4.59</v>
      </c>
      <c r="K17" s="25">
        <v>2.25</v>
      </c>
      <c r="L17" s="25">
        <v>1.54</v>
      </c>
      <c r="M17" s="25">
        <v>1</v>
      </c>
      <c r="N17" s="25">
        <v>0.75</v>
      </c>
      <c r="O17" s="25">
        <v>0.65</v>
      </c>
      <c r="P17" s="25">
        <v>0.625</v>
      </c>
      <c r="Q17" s="25">
        <v>0.625</v>
      </c>
      <c r="R17" s="25">
        <v>0.625</v>
      </c>
      <c r="S17" s="25">
        <v>0.625</v>
      </c>
      <c r="T17" s="25">
        <v>0.625</v>
      </c>
      <c r="U17" s="25">
        <v>0.625</v>
      </c>
      <c r="V17" s="25">
        <v>0.625</v>
      </c>
      <c r="W17" s="25">
        <v>0.625</v>
      </c>
      <c r="X17" s="25">
        <v>0.625</v>
      </c>
      <c r="Y17" s="25">
        <v>0.625</v>
      </c>
      <c r="Z17" s="25">
        <v>0.625</v>
      </c>
      <c r="AA17" s="25">
        <v>0.625</v>
      </c>
      <c r="AB17" s="25">
        <v>0.96</v>
      </c>
      <c r="AC17" s="25">
        <v>0.96</v>
      </c>
      <c r="AD17" s="25">
        <v>0.96</v>
      </c>
      <c r="AE17" s="25">
        <v>0.98</v>
      </c>
      <c r="AF17" s="25">
        <v>0.98</v>
      </c>
      <c r="AG17" s="25">
        <v>0.98</v>
      </c>
      <c r="AH17" s="25">
        <v>0.98</v>
      </c>
      <c r="AI17" s="25">
        <v>0.98</v>
      </c>
      <c r="AJ17" s="25">
        <v>0.98</v>
      </c>
      <c r="AK17" s="25">
        <v>0.98</v>
      </c>
      <c r="AL17" s="25">
        <v>0.98</v>
      </c>
      <c r="AM17" s="25">
        <v>0.98</v>
      </c>
      <c r="AN17" s="25">
        <v>0.98</v>
      </c>
      <c r="AO17" s="25">
        <v>0.98</v>
      </c>
      <c r="AP17" s="25">
        <v>0.98</v>
      </c>
      <c r="AQ17" s="25">
        <v>0.98</v>
      </c>
      <c r="AR17" s="25">
        <v>0.98</v>
      </c>
      <c r="AS17" s="103">
        <v>0.98</v>
      </c>
    </row>
    <row r="18" spans="1:45" ht="16.5" customHeight="1" thickBot="1" x14ac:dyDescent="0.3">
      <c r="A18" s="25">
        <v>8</v>
      </c>
      <c r="B18" s="25" t="s">
        <v>227</v>
      </c>
      <c r="C18" s="25" t="s">
        <v>360</v>
      </c>
      <c r="D18" s="25" t="s">
        <v>354</v>
      </c>
      <c r="E18" s="25">
        <v>12</v>
      </c>
      <c r="F18" s="25">
        <v>2.6</v>
      </c>
      <c r="G18" s="25">
        <v>0.97499999999999998</v>
      </c>
      <c r="H18" s="25">
        <v>0.98</v>
      </c>
      <c r="I18" s="25">
        <v>3</v>
      </c>
      <c r="J18" s="25">
        <v>14.43</v>
      </c>
      <c r="K18" s="25">
        <v>11.05</v>
      </c>
      <c r="L18" s="25">
        <v>8.44</v>
      </c>
      <c r="M18" s="25">
        <v>6.46</v>
      </c>
      <c r="N18" s="25">
        <v>4.95</v>
      </c>
      <c r="O18" s="25">
        <v>3.79</v>
      </c>
      <c r="P18" s="25">
        <v>2.91</v>
      </c>
      <c r="Q18" s="25">
        <v>2.23</v>
      </c>
      <c r="R18" s="25">
        <v>1.7</v>
      </c>
      <c r="S18" s="25">
        <v>1.3</v>
      </c>
      <c r="T18" s="25">
        <v>1</v>
      </c>
      <c r="U18" s="25">
        <v>0.77</v>
      </c>
      <c r="V18" s="25">
        <v>0.77</v>
      </c>
      <c r="W18" s="13">
        <v>1</v>
      </c>
      <c r="X18" s="13">
        <v>1</v>
      </c>
      <c r="Y18" s="25">
        <v>1</v>
      </c>
      <c r="Z18" s="25">
        <v>1</v>
      </c>
      <c r="AA18" s="25">
        <v>1</v>
      </c>
      <c r="AB18" s="25">
        <v>0.96</v>
      </c>
      <c r="AC18" s="25">
        <v>0.96</v>
      </c>
      <c r="AD18" s="25">
        <v>0.96</v>
      </c>
      <c r="AE18" s="25">
        <v>0.96</v>
      </c>
      <c r="AF18" s="25">
        <v>0.98</v>
      </c>
      <c r="AG18" s="25">
        <v>0.98</v>
      </c>
      <c r="AH18" s="25">
        <v>0.98</v>
      </c>
      <c r="AI18" s="25">
        <v>0.98</v>
      </c>
      <c r="AJ18" s="25">
        <v>0.98</v>
      </c>
      <c r="AK18" s="25">
        <v>0.98</v>
      </c>
      <c r="AL18" s="25">
        <v>0.98</v>
      </c>
      <c r="AM18" s="25">
        <v>0.98</v>
      </c>
      <c r="AN18" s="25">
        <v>0.98</v>
      </c>
      <c r="AO18" s="25">
        <v>0.98</v>
      </c>
      <c r="AP18" s="25">
        <v>0.98</v>
      </c>
      <c r="AQ18" s="25">
        <v>0.98</v>
      </c>
      <c r="AR18" s="25">
        <v>0.98</v>
      </c>
      <c r="AS18" s="103">
        <v>0.98</v>
      </c>
    </row>
    <row r="19" spans="1:45" ht="16.5" thickBot="1" x14ac:dyDescent="0.3">
      <c r="A19" s="25">
        <v>8</v>
      </c>
      <c r="B19" s="27" t="s">
        <v>338</v>
      </c>
      <c r="C19" s="25" t="s">
        <v>360</v>
      </c>
      <c r="D19" s="27" t="s">
        <v>300</v>
      </c>
      <c r="E19" s="25">
        <v>12</v>
      </c>
      <c r="F19" s="25">
        <v>2.4</v>
      </c>
      <c r="G19" s="25">
        <v>0.97499999999999998</v>
      </c>
      <c r="H19" s="25">
        <v>0.98</v>
      </c>
      <c r="I19" s="25">
        <v>1</v>
      </c>
      <c r="J19" s="25">
        <v>14.93</v>
      </c>
      <c r="K19" s="25">
        <v>11.6454</v>
      </c>
      <c r="L19" s="25">
        <v>9.0834120000000009</v>
      </c>
      <c r="M19" s="25">
        <v>7.085061360000001</v>
      </c>
      <c r="N19" s="25">
        <v>5.5263478608000005</v>
      </c>
      <c r="O19" s="25">
        <v>4.3105513314240005</v>
      </c>
      <c r="P19" s="25">
        <v>3.3622300385107207</v>
      </c>
      <c r="Q19" s="25">
        <v>2.6225394300383624</v>
      </c>
      <c r="R19" s="25">
        <v>2.0455807554299228</v>
      </c>
      <c r="S19" s="25">
        <v>1.5955529892353397</v>
      </c>
      <c r="T19" s="25">
        <v>1.2445313316035651</v>
      </c>
      <c r="U19" s="25">
        <v>1</v>
      </c>
      <c r="V19" s="25">
        <v>0.625</v>
      </c>
      <c r="W19" s="25">
        <v>0.625</v>
      </c>
      <c r="X19" s="25">
        <v>0.625</v>
      </c>
      <c r="Y19" s="25">
        <v>0.625</v>
      </c>
      <c r="Z19" s="25">
        <v>0.625</v>
      </c>
      <c r="AA19" s="25">
        <v>0.625</v>
      </c>
      <c r="AB19" s="25">
        <v>0.96</v>
      </c>
      <c r="AC19" s="25">
        <v>0.96</v>
      </c>
      <c r="AD19" s="25">
        <v>0.96</v>
      </c>
      <c r="AE19" s="25">
        <v>0.98</v>
      </c>
      <c r="AF19" s="25">
        <v>0.98</v>
      </c>
      <c r="AG19" s="25">
        <v>0.98</v>
      </c>
      <c r="AH19" s="25">
        <v>0.98</v>
      </c>
      <c r="AI19" s="25">
        <v>0.98</v>
      </c>
      <c r="AJ19" s="25">
        <v>0.98</v>
      </c>
      <c r="AK19" s="25">
        <v>0.98</v>
      </c>
      <c r="AL19" s="25">
        <v>0.98</v>
      </c>
      <c r="AM19" s="25">
        <v>0.98</v>
      </c>
      <c r="AN19" s="25">
        <v>0.98</v>
      </c>
      <c r="AO19" s="25">
        <v>0.98</v>
      </c>
      <c r="AP19" s="25">
        <v>0.98</v>
      </c>
      <c r="AQ19" s="25">
        <v>0.98</v>
      </c>
      <c r="AR19" s="25">
        <v>0.98</v>
      </c>
      <c r="AS19" s="103">
        <v>0.98</v>
      </c>
    </row>
    <row r="20" spans="1:45" ht="16.5" thickBot="1" x14ac:dyDescent="0.3">
      <c r="A20" s="25">
        <v>8</v>
      </c>
      <c r="B20" s="27" t="s">
        <v>348</v>
      </c>
      <c r="C20" s="25" t="s">
        <v>360</v>
      </c>
      <c r="D20" s="27" t="s">
        <v>300</v>
      </c>
      <c r="E20" s="25">
        <v>12</v>
      </c>
      <c r="F20" s="25">
        <v>2.4</v>
      </c>
      <c r="G20" s="25">
        <v>0.97499999999999998</v>
      </c>
      <c r="H20" s="25">
        <v>0.98</v>
      </c>
      <c r="I20" s="25">
        <v>1</v>
      </c>
      <c r="J20" s="25">
        <v>14.93</v>
      </c>
      <c r="K20" s="25">
        <v>11.6454</v>
      </c>
      <c r="L20" s="25">
        <v>9.0834120000000009</v>
      </c>
      <c r="M20" s="25">
        <v>7.085061360000001</v>
      </c>
      <c r="N20" s="25">
        <v>5.5263478608000005</v>
      </c>
      <c r="O20" s="25">
        <v>4.3105513314240005</v>
      </c>
      <c r="P20" s="25">
        <v>3.3622300385107207</v>
      </c>
      <c r="Q20" s="25">
        <v>2.6225394300383624</v>
      </c>
      <c r="R20" s="25">
        <v>2.0455807554299228</v>
      </c>
      <c r="S20" s="25">
        <v>1.5955529892353397</v>
      </c>
      <c r="T20" s="25">
        <v>1.2445313316035651</v>
      </c>
      <c r="U20" s="25">
        <v>1</v>
      </c>
      <c r="V20" s="25">
        <v>0.625</v>
      </c>
      <c r="W20" s="25">
        <v>0.625</v>
      </c>
      <c r="X20" s="25">
        <v>0.625</v>
      </c>
      <c r="Y20" s="25">
        <v>0.625</v>
      </c>
      <c r="Z20" s="25">
        <v>0.625</v>
      </c>
      <c r="AA20" s="25">
        <v>0.625</v>
      </c>
      <c r="AB20" s="25">
        <v>0.96</v>
      </c>
      <c r="AC20" s="25">
        <v>0.96</v>
      </c>
      <c r="AD20" s="25">
        <v>0.96</v>
      </c>
      <c r="AE20" s="25">
        <v>0.98</v>
      </c>
      <c r="AF20" s="25">
        <v>0.98</v>
      </c>
      <c r="AG20" s="25">
        <v>0.98</v>
      </c>
      <c r="AH20" s="25">
        <v>0.98</v>
      </c>
      <c r="AI20" s="25">
        <v>0.98</v>
      </c>
      <c r="AJ20" s="25">
        <v>0.98</v>
      </c>
      <c r="AK20" s="25">
        <v>0.98</v>
      </c>
      <c r="AL20" s="25">
        <v>0.98</v>
      </c>
      <c r="AM20" s="25">
        <v>0.98</v>
      </c>
      <c r="AN20" s="25">
        <v>0.98</v>
      </c>
      <c r="AO20" s="25">
        <v>0.98</v>
      </c>
      <c r="AP20" s="25">
        <v>0.98</v>
      </c>
      <c r="AQ20" s="25">
        <v>0.98</v>
      </c>
      <c r="AR20" s="25">
        <v>0.98</v>
      </c>
      <c r="AS20" s="103">
        <v>0.98</v>
      </c>
    </row>
    <row r="21" spans="1:45" ht="16.5" thickBot="1" x14ac:dyDescent="0.3">
      <c r="A21" s="25">
        <v>8</v>
      </c>
      <c r="B21" s="27" t="s">
        <v>350</v>
      </c>
      <c r="C21" s="27" t="s">
        <v>362</v>
      </c>
      <c r="D21" s="27" t="s">
        <v>295</v>
      </c>
      <c r="E21" s="25">
        <v>6</v>
      </c>
      <c r="F21" s="25">
        <v>5</v>
      </c>
      <c r="G21" s="25">
        <v>0.97499999999999998</v>
      </c>
      <c r="H21" s="25">
        <v>0.98</v>
      </c>
      <c r="I21" s="25">
        <v>1</v>
      </c>
      <c r="J21" s="25">
        <v>3.49</v>
      </c>
      <c r="K21" s="25">
        <v>2.0299999999999998</v>
      </c>
      <c r="L21" s="25">
        <v>1.47</v>
      </c>
      <c r="M21" s="25">
        <v>1</v>
      </c>
      <c r="N21" s="25">
        <v>0.69</v>
      </c>
      <c r="O21" s="25">
        <v>0.59</v>
      </c>
      <c r="P21" s="25">
        <v>0.625</v>
      </c>
      <c r="Q21" s="25">
        <v>0.625</v>
      </c>
      <c r="R21" s="25">
        <v>0.625</v>
      </c>
      <c r="S21" s="25">
        <v>0.625</v>
      </c>
      <c r="T21" s="25">
        <v>0.625</v>
      </c>
      <c r="U21" s="25">
        <v>0.625</v>
      </c>
      <c r="V21" s="25">
        <v>0.625</v>
      </c>
      <c r="W21" s="25">
        <v>0.625</v>
      </c>
      <c r="X21" s="25">
        <v>0.625</v>
      </c>
      <c r="Y21" s="25">
        <v>0.625</v>
      </c>
      <c r="Z21" s="25">
        <v>0.625</v>
      </c>
      <c r="AA21" s="25">
        <v>0.625</v>
      </c>
      <c r="AB21" s="25">
        <v>0.96</v>
      </c>
      <c r="AC21" s="25">
        <v>0.96</v>
      </c>
      <c r="AD21" s="25">
        <v>0.96</v>
      </c>
      <c r="AE21" s="25">
        <v>0.98</v>
      </c>
      <c r="AF21" s="25">
        <v>0.98</v>
      </c>
      <c r="AG21" s="25">
        <v>0.98</v>
      </c>
      <c r="AH21" s="25">
        <v>0.98</v>
      </c>
      <c r="AI21" s="25">
        <v>0.98</v>
      </c>
      <c r="AJ21" s="25">
        <v>0.98</v>
      </c>
      <c r="AK21" s="25">
        <v>0.98</v>
      </c>
      <c r="AL21" s="25">
        <v>0.98</v>
      </c>
      <c r="AM21" s="25">
        <v>0.98</v>
      </c>
      <c r="AN21" s="25">
        <v>0.98</v>
      </c>
      <c r="AO21" s="25">
        <v>0.98</v>
      </c>
      <c r="AP21" s="25">
        <v>0.98</v>
      </c>
      <c r="AQ21" s="25">
        <v>0.98</v>
      </c>
      <c r="AR21" s="25">
        <v>0.98</v>
      </c>
      <c r="AS21" s="103">
        <v>0.98</v>
      </c>
    </row>
    <row r="22" spans="1:45" ht="16.5" thickBot="1" x14ac:dyDescent="0.3">
      <c r="A22" s="25">
        <v>8</v>
      </c>
      <c r="B22" s="27" t="s">
        <v>281</v>
      </c>
      <c r="C22" s="27" t="s">
        <v>362</v>
      </c>
      <c r="D22" s="27"/>
      <c r="E22" s="25">
        <v>8</v>
      </c>
      <c r="F22" s="25">
        <v>2</v>
      </c>
      <c r="G22" s="25">
        <v>0.97499999999999998</v>
      </c>
      <c r="H22" s="25">
        <v>0.98</v>
      </c>
      <c r="I22" s="25">
        <v>1</v>
      </c>
      <c r="J22" s="25">
        <v>14</v>
      </c>
      <c r="K22" s="25">
        <v>10</v>
      </c>
      <c r="L22" s="25">
        <v>7</v>
      </c>
      <c r="M22" s="25">
        <v>5.5</v>
      </c>
      <c r="N22" s="25">
        <v>3</v>
      </c>
      <c r="O22" s="25">
        <v>2</v>
      </c>
      <c r="P22" s="25">
        <v>1</v>
      </c>
      <c r="Q22" s="25">
        <v>0.625</v>
      </c>
      <c r="R22" s="25">
        <v>0.625</v>
      </c>
      <c r="S22" s="25">
        <v>0.625</v>
      </c>
      <c r="T22" s="25">
        <v>0.625</v>
      </c>
      <c r="U22" s="25">
        <v>0.625</v>
      </c>
      <c r="V22" s="25">
        <v>0.625</v>
      </c>
      <c r="W22" s="25">
        <v>0.625</v>
      </c>
      <c r="X22" s="25">
        <v>0.625</v>
      </c>
      <c r="Y22" s="25">
        <v>0.625</v>
      </c>
      <c r="Z22" s="25">
        <v>0.625</v>
      </c>
      <c r="AA22" s="25">
        <v>0.625</v>
      </c>
      <c r="AB22" s="25">
        <v>0.96</v>
      </c>
      <c r="AC22" s="25">
        <v>0.96</v>
      </c>
      <c r="AD22" s="25">
        <v>0.96</v>
      </c>
      <c r="AE22" s="25">
        <v>0.98</v>
      </c>
      <c r="AF22" s="25">
        <v>0.98</v>
      </c>
      <c r="AG22" s="25">
        <v>0.98</v>
      </c>
      <c r="AH22" s="25">
        <v>0.98</v>
      </c>
      <c r="AI22" s="25">
        <v>0.98</v>
      </c>
      <c r="AJ22" s="25">
        <v>0.98</v>
      </c>
      <c r="AK22" s="25">
        <v>0.98</v>
      </c>
      <c r="AL22" s="25">
        <v>0.98</v>
      </c>
      <c r="AM22" s="25">
        <v>0.98</v>
      </c>
      <c r="AN22" s="25">
        <v>0.98</v>
      </c>
      <c r="AO22" s="25">
        <v>0.98</v>
      </c>
      <c r="AP22" s="25">
        <v>0.98</v>
      </c>
      <c r="AQ22" s="25">
        <v>0.98</v>
      </c>
      <c r="AR22" s="25">
        <v>0.98</v>
      </c>
      <c r="AS22" s="103">
        <v>0.98</v>
      </c>
    </row>
    <row r="23" spans="1:45" ht="16.5" thickBot="1" x14ac:dyDescent="0.3">
      <c r="A23" s="25">
        <v>8</v>
      </c>
      <c r="B23" s="27" t="s">
        <v>275</v>
      </c>
      <c r="C23" s="27" t="s">
        <v>362</v>
      </c>
      <c r="D23" s="27" t="s">
        <v>295</v>
      </c>
      <c r="E23" s="25">
        <v>6</v>
      </c>
      <c r="F23" s="25">
        <v>5</v>
      </c>
      <c r="G23" s="25">
        <v>0.97499999999999998</v>
      </c>
      <c r="H23" s="25">
        <v>0.98</v>
      </c>
      <c r="I23" s="25">
        <v>1</v>
      </c>
      <c r="J23" s="25">
        <v>3.49</v>
      </c>
      <c r="K23" s="25">
        <v>2.0299999999999998</v>
      </c>
      <c r="L23" s="25">
        <v>1.47</v>
      </c>
      <c r="M23" s="25">
        <v>1</v>
      </c>
      <c r="N23" s="25">
        <v>0.69</v>
      </c>
      <c r="O23" s="25">
        <v>0.59</v>
      </c>
      <c r="P23" s="25">
        <v>0.625</v>
      </c>
      <c r="Q23" s="25">
        <v>0.625</v>
      </c>
      <c r="R23" s="25">
        <v>0.625</v>
      </c>
      <c r="S23" s="25">
        <v>0.625</v>
      </c>
      <c r="T23" s="25">
        <v>0.625</v>
      </c>
      <c r="U23" s="25">
        <v>0.625</v>
      </c>
      <c r="V23" s="25">
        <v>0.625</v>
      </c>
      <c r="W23" s="25">
        <v>0.625</v>
      </c>
      <c r="X23" s="25">
        <v>0.625</v>
      </c>
      <c r="Y23" s="25">
        <v>0.625</v>
      </c>
      <c r="Z23" s="25">
        <v>0.625</v>
      </c>
      <c r="AA23" s="25">
        <v>0.625</v>
      </c>
      <c r="AB23" s="25">
        <v>0.96</v>
      </c>
      <c r="AC23" s="25">
        <v>0.96</v>
      </c>
      <c r="AD23" s="25">
        <v>0.96</v>
      </c>
      <c r="AE23" s="25">
        <v>0.98</v>
      </c>
      <c r="AF23" s="25">
        <v>0.98</v>
      </c>
      <c r="AG23" s="25">
        <v>0.98</v>
      </c>
      <c r="AH23" s="25">
        <v>0.98</v>
      </c>
      <c r="AI23" s="25">
        <v>0.98</v>
      </c>
      <c r="AJ23" s="25">
        <v>0.98</v>
      </c>
      <c r="AK23" s="25">
        <v>0.98</v>
      </c>
      <c r="AL23" s="25">
        <v>0.98</v>
      </c>
      <c r="AM23" s="25">
        <v>0.98</v>
      </c>
      <c r="AN23" s="25">
        <v>0.98</v>
      </c>
      <c r="AO23" s="25">
        <v>0.98</v>
      </c>
      <c r="AP23" s="25">
        <v>0.98</v>
      </c>
      <c r="AQ23" s="25">
        <v>0.98</v>
      </c>
      <c r="AR23" s="25">
        <v>0.98</v>
      </c>
      <c r="AS23" s="103">
        <v>0.98</v>
      </c>
    </row>
    <row r="24" spans="1:45" ht="16.5" thickBot="1" x14ac:dyDescent="0.3">
      <c r="A24" s="25">
        <v>8</v>
      </c>
      <c r="B24" s="27" t="s">
        <v>226</v>
      </c>
      <c r="C24" s="27" t="s">
        <v>362</v>
      </c>
      <c r="D24" s="27"/>
      <c r="E24" s="25">
        <v>6</v>
      </c>
      <c r="F24" s="25">
        <v>3.8</v>
      </c>
      <c r="G24" s="25">
        <v>0.97499999999999998</v>
      </c>
      <c r="H24" s="25">
        <v>0.98</v>
      </c>
      <c r="I24" s="25">
        <v>1</v>
      </c>
      <c r="J24" s="25">
        <v>4.59</v>
      </c>
      <c r="K24" s="25">
        <v>2.25</v>
      </c>
      <c r="L24" s="25">
        <v>1.54</v>
      </c>
      <c r="M24" s="25">
        <v>1</v>
      </c>
      <c r="N24" s="25">
        <v>0.75</v>
      </c>
      <c r="O24" s="25">
        <v>0.65</v>
      </c>
      <c r="P24" s="25">
        <v>0.625</v>
      </c>
      <c r="Q24" s="25">
        <v>0.625</v>
      </c>
      <c r="R24" s="25">
        <v>0.625</v>
      </c>
      <c r="S24" s="25">
        <v>0.625</v>
      </c>
      <c r="T24" s="25">
        <v>0.625</v>
      </c>
      <c r="U24" s="25">
        <v>0.625</v>
      </c>
      <c r="V24" s="25">
        <v>0.625</v>
      </c>
      <c r="W24" s="25">
        <v>0.625</v>
      </c>
      <c r="X24" s="25">
        <v>0.625</v>
      </c>
      <c r="Y24" s="25">
        <v>0.625</v>
      </c>
      <c r="Z24" s="25">
        <v>0.625</v>
      </c>
      <c r="AA24" s="25">
        <v>0.625</v>
      </c>
      <c r="AB24" s="25">
        <v>0.96</v>
      </c>
      <c r="AC24" s="25">
        <v>0.96</v>
      </c>
      <c r="AD24" s="25">
        <v>0.96</v>
      </c>
      <c r="AE24" s="25">
        <v>0.96</v>
      </c>
      <c r="AF24" s="25">
        <v>0.98</v>
      </c>
      <c r="AG24" s="25">
        <v>0.98</v>
      </c>
      <c r="AH24" s="25">
        <v>0.98</v>
      </c>
      <c r="AI24" s="25">
        <v>0.98</v>
      </c>
      <c r="AJ24" s="25">
        <v>0.98</v>
      </c>
      <c r="AK24" s="25">
        <v>0.98</v>
      </c>
      <c r="AL24" s="25">
        <v>0.98</v>
      </c>
      <c r="AM24" s="25">
        <v>0.98</v>
      </c>
      <c r="AN24" s="25">
        <v>0.98</v>
      </c>
      <c r="AO24" s="25">
        <v>0.98</v>
      </c>
      <c r="AP24" s="25">
        <v>0.98</v>
      </c>
      <c r="AQ24" s="25">
        <v>0.98</v>
      </c>
      <c r="AR24" s="25">
        <v>0.98</v>
      </c>
      <c r="AS24" s="103">
        <v>0.98</v>
      </c>
    </row>
    <row r="25" spans="1:45" ht="16.5" thickBot="1" x14ac:dyDescent="0.3">
      <c r="A25" s="25">
        <v>8</v>
      </c>
      <c r="B25" s="27" t="s">
        <v>296</v>
      </c>
      <c r="C25" s="25" t="s">
        <v>359</v>
      </c>
      <c r="D25" s="27" t="s">
        <v>300</v>
      </c>
      <c r="E25" s="25">
        <v>10</v>
      </c>
      <c r="F25" s="25">
        <v>2.6</v>
      </c>
      <c r="G25" s="25">
        <v>0.97499999999999998</v>
      </c>
      <c r="H25" s="25">
        <v>0.98</v>
      </c>
      <c r="I25" s="25">
        <v>3</v>
      </c>
      <c r="J25" s="25">
        <v>12.8</v>
      </c>
      <c r="K25" s="25">
        <v>9.25</v>
      </c>
      <c r="L25" s="25">
        <v>6.76</v>
      </c>
      <c r="M25" s="25">
        <v>4.9000000000000004</v>
      </c>
      <c r="N25" s="25">
        <v>3.58</v>
      </c>
      <c r="O25" s="25">
        <v>2.61</v>
      </c>
      <c r="P25" s="25">
        <v>1.89</v>
      </c>
      <c r="Q25" s="25">
        <v>1.38</v>
      </c>
      <c r="R25" s="25">
        <v>1</v>
      </c>
      <c r="S25" s="25">
        <v>0.73</v>
      </c>
      <c r="T25" s="25">
        <v>1</v>
      </c>
      <c r="U25" s="25">
        <v>1</v>
      </c>
      <c r="V25" s="25">
        <v>0.625</v>
      </c>
      <c r="W25" s="25">
        <v>0.625</v>
      </c>
      <c r="X25" s="25">
        <v>0.625</v>
      </c>
      <c r="Y25" s="25">
        <v>0.625</v>
      </c>
      <c r="Z25" s="25">
        <v>0.625</v>
      </c>
      <c r="AA25" s="25">
        <v>0.625</v>
      </c>
      <c r="AB25" s="25">
        <v>0.96</v>
      </c>
      <c r="AC25" s="25">
        <v>0.96</v>
      </c>
      <c r="AD25" s="25">
        <v>0.96</v>
      </c>
      <c r="AE25" s="25">
        <v>0.98</v>
      </c>
      <c r="AF25" s="25">
        <v>0.98</v>
      </c>
      <c r="AG25" s="25">
        <v>0.98</v>
      </c>
      <c r="AH25" s="25">
        <v>0.98</v>
      </c>
      <c r="AI25" s="25">
        <v>0.98</v>
      </c>
      <c r="AJ25" s="25">
        <v>0.98</v>
      </c>
      <c r="AK25" s="25">
        <v>0.98</v>
      </c>
      <c r="AL25" s="25">
        <v>0.98</v>
      </c>
      <c r="AM25" s="25">
        <v>0.98</v>
      </c>
      <c r="AN25" s="25">
        <v>0.98</v>
      </c>
      <c r="AO25" s="25">
        <v>0.98</v>
      </c>
      <c r="AP25" s="25">
        <v>0.98</v>
      </c>
      <c r="AQ25" s="25">
        <v>0.98</v>
      </c>
      <c r="AR25" s="25">
        <v>0.98</v>
      </c>
      <c r="AS25" s="103">
        <v>0.98</v>
      </c>
    </row>
    <row r="26" spans="1:45" ht="16.5" thickBot="1" x14ac:dyDescent="0.3">
      <c r="A26" s="25">
        <v>8</v>
      </c>
      <c r="B26" s="27" t="s">
        <v>299</v>
      </c>
      <c r="C26" s="25" t="s">
        <v>359</v>
      </c>
      <c r="D26" s="27" t="s">
        <v>300</v>
      </c>
      <c r="E26" s="25">
        <v>12</v>
      </c>
      <c r="F26" s="25">
        <v>2.4</v>
      </c>
      <c r="G26" s="25">
        <v>0.97499999999999998</v>
      </c>
      <c r="H26" s="25">
        <v>0.98</v>
      </c>
      <c r="I26" s="25">
        <v>3</v>
      </c>
      <c r="J26" s="25">
        <v>14.93</v>
      </c>
      <c r="K26" s="25">
        <v>11.6454</v>
      </c>
      <c r="L26" s="25">
        <v>9.0834120000000009</v>
      </c>
      <c r="M26" s="25">
        <v>7.085061360000001</v>
      </c>
      <c r="N26" s="25">
        <v>5.5263478608000005</v>
      </c>
      <c r="O26" s="25">
        <v>4.3105513314240005</v>
      </c>
      <c r="P26" s="25">
        <v>3.3622300385107207</v>
      </c>
      <c r="Q26" s="25">
        <v>2.6225394300383624</v>
      </c>
      <c r="R26" s="25">
        <v>2.0455807554299228</v>
      </c>
      <c r="S26" s="25">
        <v>1.5955529892353397</v>
      </c>
      <c r="T26" s="25">
        <v>1.2445313316035651</v>
      </c>
      <c r="U26" s="25">
        <v>1</v>
      </c>
      <c r="V26" s="25">
        <v>0.625</v>
      </c>
      <c r="W26" s="25">
        <v>0.625</v>
      </c>
      <c r="X26" s="25">
        <v>0.625</v>
      </c>
      <c r="Y26" s="25">
        <v>0.625</v>
      </c>
      <c r="Z26" s="25">
        <v>0.625</v>
      </c>
      <c r="AA26" s="25">
        <v>0.625</v>
      </c>
      <c r="AB26" s="25">
        <v>0.96</v>
      </c>
      <c r="AC26" s="25">
        <v>0.96</v>
      </c>
      <c r="AD26" s="25">
        <v>0.96</v>
      </c>
      <c r="AE26" s="25">
        <v>0.98</v>
      </c>
      <c r="AF26" s="25">
        <v>0.98</v>
      </c>
      <c r="AG26" s="25">
        <v>0.98</v>
      </c>
      <c r="AH26" s="25">
        <v>0.98</v>
      </c>
      <c r="AI26" s="25">
        <v>0.98</v>
      </c>
      <c r="AJ26" s="25">
        <v>0.98</v>
      </c>
      <c r="AK26" s="25">
        <v>0.98</v>
      </c>
      <c r="AL26" s="25">
        <v>0.98</v>
      </c>
      <c r="AM26" s="25">
        <v>0.98</v>
      </c>
      <c r="AN26" s="25">
        <v>0.98</v>
      </c>
      <c r="AO26" s="25">
        <v>0.98</v>
      </c>
      <c r="AP26" s="25">
        <v>0.98</v>
      </c>
      <c r="AQ26" s="25">
        <v>0.98</v>
      </c>
      <c r="AR26" s="25">
        <v>0.98</v>
      </c>
      <c r="AS26" s="103">
        <v>0.98</v>
      </c>
    </row>
    <row r="27" spans="1:45" ht="16.5" thickBot="1" x14ac:dyDescent="0.3">
      <c r="A27" s="175">
        <v>8</v>
      </c>
      <c r="B27" s="175" t="s">
        <v>381</v>
      </c>
      <c r="C27" s="188" t="s">
        <v>359</v>
      </c>
      <c r="D27" s="175" t="s">
        <v>354</v>
      </c>
      <c r="E27" s="25">
        <v>12</v>
      </c>
      <c r="F27" s="25">
        <v>2.6</v>
      </c>
      <c r="G27" s="25">
        <v>0.97499999999999998</v>
      </c>
      <c r="H27" s="25">
        <v>0.98</v>
      </c>
      <c r="I27" s="25">
        <v>3</v>
      </c>
      <c r="J27" s="13">
        <v>14.43</v>
      </c>
      <c r="K27" s="13">
        <v>11.05</v>
      </c>
      <c r="L27" s="13">
        <v>8.44</v>
      </c>
      <c r="M27" s="13">
        <v>6.46</v>
      </c>
      <c r="N27" s="13">
        <v>4.95</v>
      </c>
      <c r="O27" s="13">
        <v>3.79</v>
      </c>
      <c r="P27" s="13">
        <v>2.91</v>
      </c>
      <c r="Q27" s="13">
        <v>2.23</v>
      </c>
      <c r="R27" s="13">
        <v>1.7</v>
      </c>
      <c r="S27" s="13">
        <v>1.3</v>
      </c>
      <c r="T27" s="13">
        <v>1</v>
      </c>
      <c r="U27" s="25">
        <v>0.77</v>
      </c>
      <c r="V27" s="25">
        <v>0.77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B27" s="25">
        <v>0.96</v>
      </c>
      <c r="AC27" s="25">
        <v>0.96</v>
      </c>
      <c r="AD27" s="25">
        <v>0.96</v>
      </c>
      <c r="AE27" s="25">
        <v>0.96</v>
      </c>
      <c r="AF27" s="25">
        <v>0.98</v>
      </c>
      <c r="AG27" s="25">
        <v>0.98</v>
      </c>
      <c r="AH27" s="25">
        <v>0.98</v>
      </c>
      <c r="AI27" s="25">
        <v>0.98</v>
      </c>
      <c r="AJ27" s="25">
        <v>0.98</v>
      </c>
      <c r="AK27" s="25">
        <v>0.98</v>
      </c>
      <c r="AL27" s="25">
        <v>0.98</v>
      </c>
      <c r="AM27" s="25">
        <v>0.98</v>
      </c>
      <c r="AN27" s="25">
        <v>0.98</v>
      </c>
      <c r="AO27" s="25">
        <v>0.98</v>
      </c>
      <c r="AP27" s="25">
        <v>0.98</v>
      </c>
      <c r="AQ27" s="25">
        <v>0.98</v>
      </c>
      <c r="AR27" s="25">
        <v>0.98</v>
      </c>
      <c r="AS27" s="103">
        <v>0.98</v>
      </c>
    </row>
    <row r="28" spans="1:45" ht="16.5" customHeight="1" thickBot="1" x14ac:dyDescent="0.3">
      <c r="A28" s="25">
        <v>8</v>
      </c>
      <c r="B28" s="25" t="s">
        <v>380</v>
      </c>
      <c r="C28" s="25" t="s">
        <v>359</v>
      </c>
      <c r="D28" s="25" t="s">
        <v>354</v>
      </c>
      <c r="E28" s="25">
        <v>12</v>
      </c>
      <c r="F28" s="25">
        <v>2.6</v>
      </c>
      <c r="G28" s="25">
        <v>0.97499999999999998</v>
      </c>
      <c r="H28" s="25">
        <v>0.98</v>
      </c>
      <c r="I28" s="25">
        <v>3</v>
      </c>
      <c r="J28" s="13">
        <v>14.43</v>
      </c>
      <c r="K28" s="13">
        <v>11.05</v>
      </c>
      <c r="L28" s="13">
        <v>8.44</v>
      </c>
      <c r="M28" s="13">
        <v>6.46</v>
      </c>
      <c r="N28" s="13">
        <v>4.95</v>
      </c>
      <c r="O28" s="13">
        <v>3.79</v>
      </c>
      <c r="P28" s="13">
        <v>2.91</v>
      </c>
      <c r="Q28" s="13">
        <v>2.23</v>
      </c>
      <c r="R28" s="13">
        <v>1.7</v>
      </c>
      <c r="S28" s="13">
        <v>1.3</v>
      </c>
      <c r="T28" s="13">
        <v>1</v>
      </c>
      <c r="U28" s="13">
        <v>0.77</v>
      </c>
      <c r="V28" s="13">
        <v>0.77</v>
      </c>
      <c r="W28" s="13">
        <v>1</v>
      </c>
      <c r="X28" s="13">
        <v>1</v>
      </c>
      <c r="Y28" s="25">
        <v>1</v>
      </c>
      <c r="Z28" s="25">
        <v>1</v>
      </c>
      <c r="AA28" s="25">
        <v>1</v>
      </c>
      <c r="AB28" s="25">
        <v>0.96</v>
      </c>
      <c r="AC28" s="25">
        <v>0.96</v>
      </c>
      <c r="AD28" s="25">
        <v>0.96</v>
      </c>
      <c r="AE28" s="25">
        <v>0.96</v>
      </c>
      <c r="AF28" s="25">
        <v>0.98</v>
      </c>
      <c r="AG28" s="25">
        <v>0.98</v>
      </c>
      <c r="AH28" s="25">
        <v>0.98</v>
      </c>
      <c r="AI28" s="25">
        <v>0.98</v>
      </c>
      <c r="AJ28" s="25">
        <v>0.98</v>
      </c>
      <c r="AK28" s="25">
        <v>0.98</v>
      </c>
      <c r="AL28" s="25">
        <v>0.98</v>
      </c>
      <c r="AM28" s="25">
        <v>0.98</v>
      </c>
      <c r="AN28" s="25">
        <v>0.98</v>
      </c>
      <c r="AO28" s="25">
        <v>0.98</v>
      </c>
      <c r="AP28" s="25">
        <v>0.98</v>
      </c>
      <c r="AQ28" s="25">
        <v>0.98</v>
      </c>
      <c r="AR28" s="25">
        <v>0.98</v>
      </c>
      <c r="AS28" s="103">
        <v>0.98</v>
      </c>
    </row>
    <row r="29" spans="1:45" ht="16.5" customHeight="1" thickBot="1" x14ac:dyDescent="0.3">
      <c r="A29" s="25">
        <v>8</v>
      </c>
      <c r="B29" s="25" t="s">
        <v>379</v>
      </c>
      <c r="C29" s="25" t="s">
        <v>359</v>
      </c>
      <c r="D29" s="25" t="s">
        <v>354</v>
      </c>
      <c r="E29" s="25">
        <v>12</v>
      </c>
      <c r="F29" s="25">
        <v>2.6</v>
      </c>
      <c r="G29" s="25">
        <v>0.97499999999999998</v>
      </c>
      <c r="H29" s="25">
        <v>0.98</v>
      </c>
      <c r="I29" s="25">
        <v>3</v>
      </c>
      <c r="J29" s="25">
        <v>14.43</v>
      </c>
      <c r="K29" s="25">
        <v>11.05</v>
      </c>
      <c r="L29" s="25">
        <v>8.44</v>
      </c>
      <c r="M29" s="25">
        <v>6.46</v>
      </c>
      <c r="N29" s="25">
        <v>4.95</v>
      </c>
      <c r="O29" s="25">
        <v>3.79</v>
      </c>
      <c r="P29" s="25">
        <v>2.91</v>
      </c>
      <c r="Q29" s="25">
        <v>2.23</v>
      </c>
      <c r="R29" s="25">
        <v>1.7</v>
      </c>
      <c r="S29" s="25">
        <v>1.3</v>
      </c>
      <c r="T29" s="25">
        <v>1</v>
      </c>
      <c r="U29" s="25">
        <v>0.77</v>
      </c>
      <c r="V29" s="25">
        <v>0.77</v>
      </c>
      <c r="W29" s="13">
        <v>1</v>
      </c>
      <c r="X29" s="13">
        <v>1</v>
      </c>
      <c r="Y29" s="25">
        <v>1</v>
      </c>
      <c r="Z29" s="25">
        <v>1</v>
      </c>
      <c r="AA29" s="25">
        <v>1</v>
      </c>
      <c r="AB29" s="25">
        <v>0.96</v>
      </c>
      <c r="AC29" s="25">
        <v>0.96</v>
      </c>
      <c r="AD29" s="25">
        <v>0.96</v>
      </c>
      <c r="AE29" s="25">
        <v>0.96</v>
      </c>
      <c r="AF29" s="25">
        <v>0.98</v>
      </c>
      <c r="AG29" s="25">
        <v>0.98</v>
      </c>
      <c r="AH29" s="25">
        <v>0.98</v>
      </c>
      <c r="AI29" s="25">
        <v>0.98</v>
      </c>
      <c r="AJ29" s="25">
        <v>0.98</v>
      </c>
      <c r="AK29" s="25">
        <v>0.98</v>
      </c>
      <c r="AL29" s="25">
        <v>0.98</v>
      </c>
      <c r="AM29" s="25">
        <v>0.98</v>
      </c>
      <c r="AN29" s="25">
        <v>0.98</v>
      </c>
      <c r="AO29" s="25">
        <v>0.98</v>
      </c>
      <c r="AP29" s="25">
        <v>0.98</v>
      </c>
      <c r="AQ29" s="25">
        <v>0.98</v>
      </c>
      <c r="AR29" s="25">
        <v>0.98</v>
      </c>
      <c r="AS29" s="103">
        <v>0.98</v>
      </c>
    </row>
    <row r="30" spans="1:45" ht="16.5" customHeight="1" thickBot="1" x14ac:dyDescent="0.3">
      <c r="A30" s="25">
        <v>8</v>
      </c>
      <c r="B30" s="25" t="s">
        <v>353</v>
      </c>
      <c r="C30" s="25" t="s">
        <v>360</v>
      </c>
      <c r="D30" s="25" t="s">
        <v>354</v>
      </c>
      <c r="E30" s="25">
        <v>12</v>
      </c>
      <c r="F30" s="25">
        <v>2.6</v>
      </c>
      <c r="G30" s="25">
        <v>0.97499999999999998</v>
      </c>
      <c r="H30" s="25">
        <v>0.98</v>
      </c>
      <c r="I30" s="25">
        <v>3</v>
      </c>
      <c r="J30" s="25">
        <v>14.43</v>
      </c>
      <c r="K30" s="25">
        <v>11.05</v>
      </c>
      <c r="L30" s="25">
        <v>8.44</v>
      </c>
      <c r="M30" s="25">
        <v>6.46</v>
      </c>
      <c r="N30" s="25">
        <v>4.95</v>
      </c>
      <c r="O30" s="25">
        <v>3.79</v>
      </c>
      <c r="P30" s="25">
        <v>2.91</v>
      </c>
      <c r="Q30" s="25">
        <v>2.23</v>
      </c>
      <c r="R30" s="25">
        <v>1.7</v>
      </c>
      <c r="S30" s="25">
        <v>1.3</v>
      </c>
      <c r="T30" s="25">
        <v>1</v>
      </c>
      <c r="U30" s="25">
        <v>0.77</v>
      </c>
      <c r="V30" s="25">
        <v>0.77</v>
      </c>
      <c r="W30" s="13">
        <v>1</v>
      </c>
      <c r="X30" s="13">
        <v>1</v>
      </c>
      <c r="Y30" s="25">
        <v>1</v>
      </c>
      <c r="Z30" s="25">
        <v>1</v>
      </c>
      <c r="AA30" s="25">
        <v>1</v>
      </c>
      <c r="AB30" s="25">
        <v>0.96</v>
      </c>
      <c r="AC30" s="25">
        <v>0.96</v>
      </c>
      <c r="AD30" s="25">
        <v>0.96</v>
      </c>
      <c r="AE30" s="25">
        <v>0.96</v>
      </c>
      <c r="AF30" s="25">
        <v>0.98</v>
      </c>
      <c r="AG30" s="25">
        <v>0.98</v>
      </c>
      <c r="AH30" s="25">
        <v>0.98</v>
      </c>
      <c r="AI30" s="25">
        <v>0.98</v>
      </c>
      <c r="AJ30" s="25">
        <v>0.98</v>
      </c>
      <c r="AK30" s="25">
        <v>0.98</v>
      </c>
      <c r="AL30" s="25">
        <v>0.98</v>
      </c>
      <c r="AM30" s="25">
        <v>0.98</v>
      </c>
      <c r="AN30" s="25">
        <v>0.98</v>
      </c>
      <c r="AO30" s="25">
        <v>0.98</v>
      </c>
      <c r="AP30" s="25">
        <v>0.98</v>
      </c>
      <c r="AQ30" s="25">
        <v>0.98</v>
      </c>
      <c r="AR30" s="25">
        <v>0.98</v>
      </c>
      <c r="AS30" s="103">
        <v>0.98</v>
      </c>
    </row>
    <row r="31" spans="1:45" ht="15.75" x14ac:dyDescent="0.25">
      <c r="A31" s="25">
        <v>8</v>
      </c>
      <c r="B31" s="27" t="s">
        <v>352</v>
      </c>
      <c r="C31" s="25" t="s">
        <v>359</v>
      </c>
      <c r="D31" s="27" t="s">
        <v>300</v>
      </c>
      <c r="E31" s="25">
        <v>12</v>
      </c>
      <c r="F31" s="25">
        <v>2.4</v>
      </c>
      <c r="G31" s="25">
        <v>0.97499999999999998</v>
      </c>
      <c r="H31" s="25">
        <v>0.98</v>
      </c>
      <c r="I31" s="25">
        <v>1</v>
      </c>
      <c r="J31" s="25">
        <v>14.93</v>
      </c>
      <c r="K31" s="25">
        <v>11.6454</v>
      </c>
      <c r="L31" s="25">
        <v>9.0834120000000009</v>
      </c>
      <c r="M31" s="25">
        <v>7.085061360000001</v>
      </c>
      <c r="N31" s="25">
        <v>5.5263478608000005</v>
      </c>
      <c r="O31" s="25">
        <v>4.3105513314240005</v>
      </c>
      <c r="P31" s="25">
        <v>3.3622300385107207</v>
      </c>
      <c r="Q31" s="25">
        <v>2.6225394300383624</v>
      </c>
      <c r="R31" s="25">
        <v>2.0455807554299228</v>
      </c>
      <c r="S31" s="25">
        <v>1.5955529892353397</v>
      </c>
      <c r="T31" s="25">
        <v>1.2445313316035651</v>
      </c>
      <c r="U31" s="25">
        <v>1</v>
      </c>
      <c r="V31" s="25">
        <v>0.625</v>
      </c>
      <c r="W31" s="25">
        <v>0.625</v>
      </c>
      <c r="X31" s="25">
        <v>0.625</v>
      </c>
      <c r="Y31" s="25">
        <v>0.625</v>
      </c>
      <c r="Z31" s="25">
        <v>0.625</v>
      </c>
      <c r="AA31" s="25">
        <v>0.625</v>
      </c>
      <c r="AB31" s="25">
        <v>0.96</v>
      </c>
      <c r="AC31" s="25">
        <v>0.96</v>
      </c>
      <c r="AD31" s="25">
        <v>0.96</v>
      </c>
      <c r="AE31" s="25">
        <v>0.98</v>
      </c>
      <c r="AF31" s="25">
        <v>0.98</v>
      </c>
      <c r="AG31" s="25">
        <v>0.98</v>
      </c>
      <c r="AH31" s="25">
        <v>0.98</v>
      </c>
      <c r="AI31" s="25">
        <v>0.98</v>
      </c>
      <c r="AJ31" s="25">
        <v>0.98</v>
      </c>
      <c r="AK31" s="25">
        <v>0.98</v>
      </c>
      <c r="AL31" s="25">
        <v>0.98</v>
      </c>
      <c r="AM31" s="25">
        <v>0.98</v>
      </c>
      <c r="AN31" s="25">
        <v>0.98</v>
      </c>
      <c r="AO31" s="25">
        <v>0.98</v>
      </c>
      <c r="AP31" s="25">
        <v>0.98</v>
      </c>
      <c r="AQ31" s="25">
        <v>0.98</v>
      </c>
      <c r="AR31" s="25">
        <v>0.98</v>
      </c>
      <c r="AS31" s="103">
        <v>0.98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92D050"/>
  </sheetPr>
  <dimension ref="A1:I56"/>
  <sheetViews>
    <sheetView zoomScale="96" zoomScaleNormal="96" workbookViewId="0">
      <selection activeCell="I18" sqref="I18"/>
    </sheetView>
  </sheetViews>
  <sheetFormatPr defaultColWidth="9.140625" defaultRowHeight="15" x14ac:dyDescent="0.25"/>
  <cols>
    <col min="1" max="1" width="9.140625" style="6"/>
    <col min="2" max="2" width="12.85546875" style="6" bestFit="1" customWidth="1"/>
    <col min="3" max="3" width="12.42578125" style="6" bestFit="1" customWidth="1"/>
    <col min="4" max="16384" width="9.140625" style="6"/>
  </cols>
  <sheetData>
    <row r="1" spans="1:9" ht="63.75" thickBot="1" x14ac:dyDescent="0.3">
      <c r="A1" s="108" t="s">
        <v>16</v>
      </c>
      <c r="B1" s="109" t="s">
        <v>21</v>
      </c>
      <c r="C1" s="109" t="s">
        <v>231</v>
      </c>
      <c r="D1" s="9" t="s">
        <v>271</v>
      </c>
      <c r="E1" s="83" t="s">
        <v>333</v>
      </c>
      <c r="F1" s="79" t="s">
        <v>312</v>
      </c>
      <c r="G1" s="79" t="s">
        <v>313</v>
      </c>
      <c r="H1" s="79" t="s">
        <v>314</v>
      </c>
      <c r="I1" s="79" t="s">
        <v>315</v>
      </c>
    </row>
    <row r="2" spans="1:9" ht="16.5" customHeight="1" thickBot="1" x14ac:dyDescent="0.3">
      <c r="A2" s="25">
        <v>2</v>
      </c>
      <c r="B2" s="25" t="s">
        <v>286</v>
      </c>
      <c r="C2" s="27" t="s">
        <v>361</v>
      </c>
      <c r="D2" s="43">
        <f t="shared" ref="D2:D31" si="0">I2*0.98</f>
        <v>0.37823099999999998</v>
      </c>
      <c r="E2" s="84">
        <v>0</v>
      </c>
      <c r="F2" s="6">
        <v>215</v>
      </c>
      <c r="G2" s="6">
        <v>85</v>
      </c>
      <c r="H2" s="6">
        <v>16</v>
      </c>
      <c r="I2" s="80">
        <f t="shared" ref="I2:I31" si="1">(F2/1000*G2/100)+H2*0.0254*0.5</f>
        <v>0.38595000000000002</v>
      </c>
    </row>
    <row r="3" spans="1:9" ht="19.5" customHeight="1" thickBot="1" x14ac:dyDescent="0.3">
      <c r="A3" s="25">
        <v>3</v>
      </c>
      <c r="B3" s="25" t="s">
        <v>349</v>
      </c>
      <c r="C3" s="27" t="s">
        <v>361</v>
      </c>
      <c r="D3" s="44">
        <f t="shared" si="0"/>
        <v>0.393372</v>
      </c>
      <c r="E3" s="115">
        <v>0</v>
      </c>
      <c r="F3" s="111">
        <v>265</v>
      </c>
      <c r="G3" s="111">
        <v>70</v>
      </c>
      <c r="H3" s="111">
        <v>17</v>
      </c>
      <c r="I3" s="112">
        <f t="shared" si="1"/>
        <v>0.40139999999999998</v>
      </c>
    </row>
    <row r="4" spans="1:9" ht="16.5" customHeight="1" thickBot="1" x14ac:dyDescent="0.3">
      <c r="A4" s="25">
        <v>3</v>
      </c>
      <c r="B4" s="27" t="s">
        <v>355</v>
      </c>
      <c r="C4" s="27" t="s">
        <v>361</v>
      </c>
      <c r="D4" s="44">
        <f t="shared" si="0"/>
        <v>0.37823099999999998</v>
      </c>
      <c r="E4" s="115">
        <v>0</v>
      </c>
      <c r="F4" s="113">
        <v>215</v>
      </c>
      <c r="G4" s="113">
        <v>85</v>
      </c>
      <c r="H4" s="113">
        <v>16</v>
      </c>
      <c r="I4" s="114">
        <f t="shared" si="1"/>
        <v>0.38595000000000002</v>
      </c>
    </row>
    <row r="5" spans="1:9" ht="16.5" customHeight="1" thickBot="1" x14ac:dyDescent="0.3">
      <c r="A5" s="25">
        <v>3</v>
      </c>
      <c r="B5" s="25" t="s">
        <v>280</v>
      </c>
      <c r="C5" s="27" t="s">
        <v>361</v>
      </c>
      <c r="D5" s="44">
        <f t="shared" si="0"/>
        <v>0.37823099999999998</v>
      </c>
      <c r="E5" s="115">
        <v>0</v>
      </c>
      <c r="F5" s="111">
        <v>215</v>
      </c>
      <c r="G5" s="111">
        <v>85</v>
      </c>
      <c r="H5" s="111">
        <v>16</v>
      </c>
      <c r="I5" s="112">
        <f t="shared" si="1"/>
        <v>0.38595000000000002</v>
      </c>
    </row>
    <row r="6" spans="1:9" ht="16.5" customHeight="1" thickBot="1" x14ac:dyDescent="0.3">
      <c r="A6" s="25">
        <v>3</v>
      </c>
      <c r="B6" s="25" t="s">
        <v>286</v>
      </c>
      <c r="C6" s="27" t="s">
        <v>361</v>
      </c>
      <c r="D6" s="44">
        <f t="shared" si="0"/>
        <v>0.37823099999999998</v>
      </c>
      <c r="E6" s="115">
        <v>0</v>
      </c>
      <c r="F6" s="113">
        <v>215</v>
      </c>
      <c r="G6" s="113">
        <v>85</v>
      </c>
      <c r="H6" s="113">
        <v>16</v>
      </c>
      <c r="I6" s="114">
        <f t="shared" si="1"/>
        <v>0.38595000000000002</v>
      </c>
    </row>
    <row r="7" spans="1:9" ht="16.5" customHeight="1" thickBot="1" x14ac:dyDescent="0.3">
      <c r="A7" s="25">
        <v>4</v>
      </c>
      <c r="B7" s="27" t="s">
        <v>355</v>
      </c>
      <c r="C7" s="27" t="s">
        <v>361</v>
      </c>
      <c r="D7" s="44">
        <f t="shared" si="0"/>
        <v>0.39704699999999998</v>
      </c>
      <c r="E7" s="115">
        <v>0</v>
      </c>
      <c r="F7" s="113">
        <v>225</v>
      </c>
      <c r="G7" s="113">
        <v>70</v>
      </c>
      <c r="H7" s="113">
        <v>19.5</v>
      </c>
      <c r="I7" s="114">
        <f t="shared" si="1"/>
        <v>0.40515000000000001</v>
      </c>
    </row>
    <row r="8" spans="1:9" ht="16.5" customHeight="1" thickBot="1" x14ac:dyDescent="0.3">
      <c r="A8" s="25">
        <v>4</v>
      </c>
      <c r="B8" s="25" t="s">
        <v>287</v>
      </c>
      <c r="C8" s="27" t="s">
        <v>361</v>
      </c>
      <c r="D8" s="44">
        <f t="shared" si="0"/>
        <v>0.39704699999999998</v>
      </c>
      <c r="E8" s="115">
        <v>0</v>
      </c>
      <c r="F8" s="111">
        <v>225</v>
      </c>
      <c r="G8" s="111">
        <v>70</v>
      </c>
      <c r="H8" s="111">
        <v>19.5</v>
      </c>
      <c r="I8" s="112">
        <f t="shared" si="1"/>
        <v>0.40515000000000001</v>
      </c>
    </row>
    <row r="9" spans="1:9" ht="19.5" customHeight="1" thickBot="1" x14ac:dyDescent="0.3">
      <c r="A9" s="25">
        <v>4</v>
      </c>
      <c r="B9" s="25" t="s">
        <v>377</v>
      </c>
      <c r="C9" s="27" t="s">
        <v>361</v>
      </c>
      <c r="D9" s="44">
        <f t="shared" si="0"/>
        <v>0.39704699999999998</v>
      </c>
      <c r="E9" s="115">
        <v>0</v>
      </c>
      <c r="F9" s="177">
        <v>225</v>
      </c>
      <c r="G9" s="177">
        <v>70</v>
      </c>
      <c r="H9" s="177">
        <v>19.5</v>
      </c>
      <c r="I9" s="178">
        <f t="shared" si="1"/>
        <v>0.40515000000000001</v>
      </c>
    </row>
    <row r="10" spans="1:9" ht="19.5" customHeight="1" thickBot="1" x14ac:dyDescent="0.3">
      <c r="A10" s="25">
        <v>5</v>
      </c>
      <c r="B10" s="25" t="s">
        <v>288</v>
      </c>
      <c r="C10" s="27" t="s">
        <v>361</v>
      </c>
      <c r="D10" s="44">
        <f t="shared" si="0"/>
        <v>0.41076699999999994</v>
      </c>
      <c r="E10" s="115">
        <v>0</v>
      </c>
      <c r="F10" s="111">
        <v>245</v>
      </c>
      <c r="G10" s="111">
        <v>70</v>
      </c>
      <c r="H10" s="111">
        <v>19.5</v>
      </c>
      <c r="I10" s="112">
        <f t="shared" si="1"/>
        <v>0.41914999999999997</v>
      </c>
    </row>
    <row r="11" spans="1:9" ht="19.5" customHeight="1" thickBot="1" x14ac:dyDescent="0.3">
      <c r="A11" s="25">
        <v>6</v>
      </c>
      <c r="B11" s="25" t="s">
        <v>279</v>
      </c>
      <c r="C11" s="27" t="s">
        <v>361</v>
      </c>
      <c r="D11" s="44">
        <f t="shared" si="0"/>
        <v>0.49686000000000002</v>
      </c>
      <c r="E11" s="115">
        <v>0</v>
      </c>
      <c r="F11" s="111">
        <v>295</v>
      </c>
      <c r="G11" s="111">
        <v>75</v>
      </c>
      <c r="H11" s="111">
        <v>22.5</v>
      </c>
      <c r="I11" s="112">
        <f t="shared" si="1"/>
        <v>0.50700000000000001</v>
      </c>
    </row>
    <row r="12" spans="1:9" ht="19.5" customHeight="1" thickBot="1" x14ac:dyDescent="0.3">
      <c r="A12" s="25">
        <v>6</v>
      </c>
      <c r="B12" s="27" t="s">
        <v>355</v>
      </c>
      <c r="C12" s="27" t="s">
        <v>361</v>
      </c>
      <c r="D12" s="44">
        <f t="shared" si="0"/>
        <v>0.44810499999999998</v>
      </c>
      <c r="E12" s="115">
        <v>0</v>
      </c>
      <c r="F12" s="113">
        <v>245</v>
      </c>
      <c r="G12" s="113">
        <v>70</v>
      </c>
      <c r="H12" s="113">
        <v>22.5</v>
      </c>
      <c r="I12" s="114">
        <f t="shared" ref="I12" si="2">(F12/1000*G12/100)+H12*0.0254*0.5</f>
        <v>0.45724999999999999</v>
      </c>
    </row>
    <row r="13" spans="1:9" ht="16.5" customHeight="1" thickBot="1" x14ac:dyDescent="0.3">
      <c r="A13" s="25">
        <v>6</v>
      </c>
      <c r="B13" s="27" t="s">
        <v>377</v>
      </c>
      <c r="C13" s="27" t="s">
        <v>361</v>
      </c>
      <c r="D13" s="44">
        <f t="shared" si="0"/>
        <v>0.44810499999999998</v>
      </c>
      <c r="E13" s="115">
        <v>0</v>
      </c>
      <c r="F13" s="113">
        <v>245</v>
      </c>
      <c r="G13" s="113">
        <v>70</v>
      </c>
      <c r="H13" s="113">
        <v>22.5</v>
      </c>
      <c r="I13" s="114">
        <f t="shared" si="1"/>
        <v>0.45724999999999999</v>
      </c>
    </row>
    <row r="14" spans="1:9" ht="16.5" customHeight="1" thickBot="1" x14ac:dyDescent="0.3">
      <c r="A14" s="25">
        <v>7</v>
      </c>
      <c r="B14" s="25" t="s">
        <v>227</v>
      </c>
      <c r="C14" s="102" t="s">
        <v>360</v>
      </c>
      <c r="D14" s="33">
        <f t="shared" si="0"/>
        <v>0.49686000000000002</v>
      </c>
      <c r="E14" s="110">
        <v>0</v>
      </c>
      <c r="F14" s="111">
        <v>295</v>
      </c>
      <c r="G14" s="111">
        <v>75</v>
      </c>
      <c r="H14" s="111">
        <v>22.5</v>
      </c>
      <c r="I14" s="112">
        <f t="shared" si="1"/>
        <v>0.50700000000000001</v>
      </c>
    </row>
    <row r="15" spans="1:9" ht="16.5" customHeight="1" thickBot="1" x14ac:dyDescent="0.3">
      <c r="A15" s="25">
        <v>7</v>
      </c>
      <c r="B15" s="25" t="s">
        <v>280</v>
      </c>
      <c r="C15" s="99" t="s">
        <v>361</v>
      </c>
      <c r="D15" s="44">
        <f t="shared" si="0"/>
        <v>0.51601900000000012</v>
      </c>
      <c r="E15" s="115">
        <v>0</v>
      </c>
      <c r="F15" s="113">
        <v>280</v>
      </c>
      <c r="G15" s="113">
        <v>86</v>
      </c>
      <c r="H15" s="113">
        <v>22.5</v>
      </c>
      <c r="I15" s="114">
        <f t="shared" si="1"/>
        <v>0.52655000000000007</v>
      </c>
    </row>
    <row r="16" spans="1:9" ht="16.5" customHeight="1" thickBot="1" x14ac:dyDescent="0.3">
      <c r="A16" s="25">
        <v>7</v>
      </c>
      <c r="B16" s="27" t="s">
        <v>355</v>
      </c>
      <c r="C16" s="99" t="s">
        <v>361</v>
      </c>
      <c r="D16" s="44">
        <f t="shared" si="0"/>
        <v>0.49686000000000002</v>
      </c>
      <c r="E16" s="110">
        <v>0</v>
      </c>
      <c r="F16" s="113">
        <v>295</v>
      </c>
      <c r="G16" s="113">
        <v>75</v>
      </c>
      <c r="H16" s="113">
        <v>22.5</v>
      </c>
      <c r="I16" s="114">
        <f t="shared" si="1"/>
        <v>0.50700000000000001</v>
      </c>
    </row>
    <row r="17" spans="1:9" ht="16.5" customHeight="1" thickBot="1" x14ac:dyDescent="0.3">
      <c r="A17" s="25">
        <v>7</v>
      </c>
      <c r="B17" s="27" t="s">
        <v>226</v>
      </c>
      <c r="C17" s="27" t="s">
        <v>361</v>
      </c>
      <c r="D17" s="44">
        <f t="shared" si="0"/>
        <v>0.49686000000000002</v>
      </c>
      <c r="E17" s="115">
        <v>0</v>
      </c>
      <c r="F17" s="111">
        <v>295</v>
      </c>
      <c r="G17" s="111">
        <v>75</v>
      </c>
      <c r="H17" s="111">
        <v>22.5</v>
      </c>
      <c r="I17" s="112">
        <f t="shared" si="1"/>
        <v>0.50700000000000001</v>
      </c>
    </row>
    <row r="18" spans="1:9" ht="19.5" customHeight="1" thickBot="1" x14ac:dyDescent="0.3">
      <c r="A18" s="25">
        <v>8</v>
      </c>
      <c r="B18" s="25" t="s">
        <v>227</v>
      </c>
      <c r="C18" s="25" t="s">
        <v>360</v>
      </c>
      <c r="D18" s="33">
        <f t="shared" si="0"/>
        <v>0.49686000000000002</v>
      </c>
      <c r="E18" s="110">
        <v>0</v>
      </c>
      <c r="F18" s="111">
        <v>295</v>
      </c>
      <c r="G18" s="111">
        <v>75</v>
      </c>
      <c r="H18" s="111">
        <v>22.5</v>
      </c>
      <c r="I18" s="112">
        <f t="shared" si="1"/>
        <v>0.50700000000000001</v>
      </c>
    </row>
    <row r="19" spans="1:9" ht="16.5" customHeight="1" thickBot="1" x14ac:dyDescent="0.3">
      <c r="A19" s="25">
        <v>8</v>
      </c>
      <c r="B19" s="27" t="s">
        <v>338</v>
      </c>
      <c r="C19" s="25" t="s">
        <v>360</v>
      </c>
      <c r="D19" s="33">
        <f t="shared" si="0"/>
        <v>0.49686000000000002</v>
      </c>
      <c r="E19" s="110">
        <v>0</v>
      </c>
      <c r="F19" s="111">
        <v>295</v>
      </c>
      <c r="G19" s="111">
        <v>75</v>
      </c>
      <c r="H19" s="111">
        <v>22.5</v>
      </c>
      <c r="I19" s="112">
        <f t="shared" si="1"/>
        <v>0.50700000000000001</v>
      </c>
    </row>
    <row r="20" spans="1:9" ht="16.5" customHeight="1" thickBot="1" x14ac:dyDescent="0.3">
      <c r="A20" s="25">
        <v>8</v>
      </c>
      <c r="B20" s="27" t="s">
        <v>348</v>
      </c>
      <c r="C20" s="25" t="s">
        <v>360</v>
      </c>
      <c r="D20" s="33">
        <f t="shared" si="0"/>
        <v>0.49686000000000002</v>
      </c>
      <c r="E20" s="110">
        <v>0</v>
      </c>
      <c r="F20" s="111">
        <v>295</v>
      </c>
      <c r="G20" s="111">
        <v>75</v>
      </c>
      <c r="H20" s="111">
        <v>22.5</v>
      </c>
      <c r="I20" s="112">
        <f t="shared" si="1"/>
        <v>0.50700000000000001</v>
      </c>
    </row>
    <row r="21" spans="1:9" ht="16.5" customHeight="1" thickBot="1" x14ac:dyDescent="0.3">
      <c r="A21" s="25">
        <v>8</v>
      </c>
      <c r="B21" s="27" t="s">
        <v>350</v>
      </c>
      <c r="C21" s="27" t="s">
        <v>362</v>
      </c>
      <c r="D21" s="33">
        <f t="shared" si="0"/>
        <v>0.48950999999999995</v>
      </c>
      <c r="E21" s="110">
        <v>0</v>
      </c>
      <c r="F21" s="111">
        <v>285</v>
      </c>
      <c r="G21" s="111">
        <v>75</v>
      </c>
      <c r="H21" s="111">
        <v>22.5</v>
      </c>
      <c r="I21" s="112">
        <f t="shared" si="1"/>
        <v>0.49949999999999994</v>
      </c>
    </row>
    <row r="22" spans="1:9" ht="16.5" customHeight="1" thickBot="1" x14ac:dyDescent="0.3">
      <c r="A22" s="25">
        <v>8</v>
      </c>
      <c r="B22" s="27" t="s">
        <v>281</v>
      </c>
      <c r="C22" s="27" t="s">
        <v>362</v>
      </c>
      <c r="D22" s="33">
        <f t="shared" si="0"/>
        <v>0.48950999999999995</v>
      </c>
      <c r="E22" s="110">
        <v>0</v>
      </c>
      <c r="F22" s="111">
        <v>285</v>
      </c>
      <c r="G22" s="111">
        <v>75</v>
      </c>
      <c r="H22" s="111">
        <v>22.5</v>
      </c>
      <c r="I22" s="112">
        <f t="shared" si="1"/>
        <v>0.49949999999999994</v>
      </c>
    </row>
    <row r="23" spans="1:9" ht="16.5" customHeight="1" thickBot="1" x14ac:dyDescent="0.3">
      <c r="A23" s="25">
        <v>8</v>
      </c>
      <c r="B23" s="27" t="s">
        <v>275</v>
      </c>
      <c r="C23" s="27" t="s">
        <v>362</v>
      </c>
      <c r="D23" s="33">
        <f t="shared" si="0"/>
        <v>0.48950999999999995</v>
      </c>
      <c r="E23" s="110">
        <v>0</v>
      </c>
      <c r="F23" s="111">
        <v>285</v>
      </c>
      <c r="G23" s="111">
        <v>75</v>
      </c>
      <c r="H23" s="111">
        <v>22.5</v>
      </c>
      <c r="I23" s="112">
        <f t="shared" si="1"/>
        <v>0.49949999999999994</v>
      </c>
    </row>
    <row r="24" spans="1:9" ht="16.5" customHeight="1" thickBot="1" x14ac:dyDescent="0.3">
      <c r="A24" s="25">
        <v>8</v>
      </c>
      <c r="B24" s="27" t="s">
        <v>226</v>
      </c>
      <c r="C24" s="27" t="s">
        <v>362</v>
      </c>
      <c r="D24" s="33">
        <f t="shared" si="0"/>
        <v>0.48950999999999995</v>
      </c>
      <c r="E24" s="110">
        <v>0</v>
      </c>
      <c r="F24" s="111">
        <v>285</v>
      </c>
      <c r="G24" s="111">
        <v>75</v>
      </c>
      <c r="H24" s="111">
        <v>22.5</v>
      </c>
      <c r="I24" s="112">
        <f t="shared" si="1"/>
        <v>0.49949999999999994</v>
      </c>
    </row>
    <row r="25" spans="1:9" ht="16.5" customHeight="1" thickBot="1" x14ac:dyDescent="0.3">
      <c r="A25" s="25">
        <v>8</v>
      </c>
      <c r="B25" s="27" t="s">
        <v>296</v>
      </c>
      <c r="C25" s="25" t="s">
        <v>359</v>
      </c>
      <c r="D25" s="33">
        <f t="shared" si="0"/>
        <v>0.49686000000000002</v>
      </c>
      <c r="E25" s="110">
        <v>0</v>
      </c>
      <c r="F25" s="111">
        <v>295</v>
      </c>
      <c r="G25" s="111">
        <v>75</v>
      </c>
      <c r="H25" s="111">
        <v>22.5</v>
      </c>
      <c r="I25" s="112">
        <f t="shared" si="1"/>
        <v>0.50700000000000001</v>
      </c>
    </row>
    <row r="26" spans="1:9" ht="16.5" customHeight="1" thickBot="1" x14ac:dyDescent="0.3">
      <c r="A26" s="25">
        <v>8</v>
      </c>
      <c r="B26" s="27" t="s">
        <v>299</v>
      </c>
      <c r="C26" s="25" t="s">
        <v>359</v>
      </c>
      <c r="D26" s="33">
        <f t="shared" si="0"/>
        <v>0.49686000000000002</v>
      </c>
      <c r="E26" s="110">
        <v>0</v>
      </c>
      <c r="F26" s="111">
        <v>295</v>
      </c>
      <c r="G26" s="111">
        <v>75</v>
      </c>
      <c r="H26" s="111">
        <v>22.5</v>
      </c>
      <c r="I26" s="112">
        <f t="shared" si="1"/>
        <v>0.50700000000000001</v>
      </c>
    </row>
    <row r="27" spans="1:9" ht="16.5" customHeight="1" thickBot="1" x14ac:dyDescent="0.3">
      <c r="A27" s="25">
        <v>8</v>
      </c>
      <c r="B27" s="25" t="s">
        <v>227</v>
      </c>
      <c r="C27" s="25" t="s">
        <v>359</v>
      </c>
      <c r="D27" s="33">
        <f t="shared" si="0"/>
        <v>0.49686000000000002</v>
      </c>
      <c r="E27" s="110">
        <v>0</v>
      </c>
      <c r="F27" s="111">
        <v>295</v>
      </c>
      <c r="G27" s="111">
        <v>75</v>
      </c>
      <c r="H27" s="111">
        <v>22.5</v>
      </c>
      <c r="I27" s="112">
        <f t="shared" si="1"/>
        <v>0.50700000000000001</v>
      </c>
    </row>
    <row r="28" spans="1:9" ht="16.5" customHeight="1" thickBot="1" x14ac:dyDescent="0.3">
      <c r="A28" s="25">
        <v>8</v>
      </c>
      <c r="B28" s="25" t="s">
        <v>381</v>
      </c>
      <c r="C28" s="102" t="s">
        <v>359</v>
      </c>
      <c r="D28" s="33">
        <f t="shared" si="0"/>
        <v>0.49686000000000002</v>
      </c>
      <c r="E28" s="110">
        <v>0</v>
      </c>
      <c r="F28" s="111">
        <v>295</v>
      </c>
      <c r="G28" s="111">
        <v>75</v>
      </c>
      <c r="H28" s="111">
        <v>22.5</v>
      </c>
      <c r="I28" s="112">
        <f t="shared" si="1"/>
        <v>0.50700000000000001</v>
      </c>
    </row>
    <row r="29" spans="1:9" ht="16.5" customHeight="1" thickBot="1" x14ac:dyDescent="0.3">
      <c r="A29" s="25">
        <v>8</v>
      </c>
      <c r="B29" s="25" t="s">
        <v>380</v>
      </c>
      <c r="C29" s="102" t="s">
        <v>359</v>
      </c>
      <c r="D29" s="33">
        <f t="shared" si="0"/>
        <v>0.49686000000000002</v>
      </c>
      <c r="E29" s="110">
        <v>0</v>
      </c>
      <c r="F29" s="111">
        <v>295</v>
      </c>
      <c r="G29" s="111">
        <v>75</v>
      </c>
      <c r="H29" s="111">
        <v>22.5</v>
      </c>
      <c r="I29" s="112">
        <f t="shared" si="1"/>
        <v>0.50700000000000001</v>
      </c>
    </row>
    <row r="30" spans="1:9" ht="16.5" customHeight="1" thickBot="1" x14ac:dyDescent="0.3">
      <c r="A30" s="25">
        <v>8</v>
      </c>
      <c r="B30" s="25" t="s">
        <v>379</v>
      </c>
      <c r="C30" s="25" t="s">
        <v>359</v>
      </c>
      <c r="D30" s="33">
        <f t="shared" si="0"/>
        <v>0.49686000000000002</v>
      </c>
      <c r="E30" s="110">
        <v>0</v>
      </c>
      <c r="F30" s="111">
        <v>295</v>
      </c>
      <c r="G30" s="111">
        <v>75</v>
      </c>
      <c r="H30" s="111">
        <v>22.5</v>
      </c>
      <c r="I30" s="112">
        <f t="shared" si="1"/>
        <v>0.50700000000000001</v>
      </c>
    </row>
    <row r="31" spans="1:9" ht="16.5" customHeight="1" x14ac:dyDescent="0.25">
      <c r="A31" s="25">
        <v>8</v>
      </c>
      <c r="B31" s="25" t="s">
        <v>353</v>
      </c>
      <c r="C31" s="25" t="s">
        <v>360</v>
      </c>
      <c r="D31" s="33">
        <f t="shared" si="0"/>
        <v>0.49686000000000002</v>
      </c>
      <c r="E31" s="110">
        <v>0</v>
      </c>
      <c r="F31" s="111">
        <v>295</v>
      </c>
      <c r="G31" s="111">
        <v>75</v>
      </c>
      <c r="H31" s="111">
        <v>22.5</v>
      </c>
      <c r="I31" s="112">
        <f t="shared" si="1"/>
        <v>0.50700000000000001</v>
      </c>
    </row>
    <row r="32" spans="1:9" ht="16.5" customHeight="1" x14ac:dyDescent="0.25">
      <c r="A32"/>
      <c r="B32"/>
      <c r="C32"/>
      <c r="D32"/>
      <c r="E32"/>
      <c r="F32"/>
      <c r="G32"/>
      <c r="H32"/>
      <c r="I32"/>
    </row>
    <row r="33" spans="1:9" ht="16.5" customHeight="1" x14ac:dyDescent="0.25">
      <c r="A33"/>
      <c r="B33"/>
      <c r="C33"/>
      <c r="D33"/>
      <c r="E33"/>
      <c r="F33"/>
      <c r="G33"/>
      <c r="H33"/>
      <c r="I33"/>
    </row>
    <row r="34" spans="1:9" ht="16.5" customHeight="1" x14ac:dyDescent="0.25">
      <c r="A34"/>
      <c r="B34"/>
      <c r="C34"/>
      <c r="D34"/>
      <c r="E34"/>
      <c r="F34"/>
      <c r="G34"/>
      <c r="H34"/>
      <c r="I34"/>
    </row>
    <row r="35" spans="1:9" ht="16.5" customHeight="1" x14ac:dyDescent="0.25">
      <c r="A35"/>
      <c r="B35"/>
      <c r="C35"/>
      <c r="D35"/>
      <c r="E35"/>
      <c r="F35"/>
      <c r="G35"/>
      <c r="H35"/>
      <c r="I35"/>
    </row>
    <row r="36" spans="1:9" ht="19.5" customHeight="1" x14ac:dyDescent="0.25">
      <c r="A36"/>
      <c r="B36"/>
      <c r="C36"/>
      <c r="D36"/>
      <c r="E36"/>
      <c r="F36"/>
      <c r="G36"/>
      <c r="H36"/>
      <c r="I36"/>
    </row>
    <row r="37" spans="1:9" ht="16.5" customHeight="1" x14ac:dyDescent="0.25">
      <c r="A37"/>
      <c r="B37"/>
      <c r="C37"/>
      <c r="D37"/>
      <c r="E37"/>
      <c r="F37"/>
      <c r="G37"/>
      <c r="H37"/>
      <c r="I37"/>
    </row>
    <row r="38" spans="1:9" ht="16.5" customHeight="1" x14ac:dyDescent="0.25"/>
    <row r="39" spans="1:9" ht="16.5" customHeight="1" x14ac:dyDescent="0.25"/>
    <row r="40" spans="1:9" ht="16.5" customHeight="1" x14ac:dyDescent="0.25"/>
    <row r="41" spans="1:9" ht="16.5" customHeight="1" x14ac:dyDescent="0.25"/>
    <row r="42" spans="1:9" ht="16.5" customHeight="1" x14ac:dyDescent="0.25"/>
    <row r="43" spans="1:9" ht="16.5" customHeight="1" x14ac:dyDescent="0.25"/>
    <row r="44" spans="1:9" ht="16.5" customHeight="1" x14ac:dyDescent="0.25"/>
    <row r="45" spans="1:9" ht="16.5" customHeight="1" x14ac:dyDescent="0.25"/>
    <row r="46" spans="1:9" ht="16.5" customHeight="1" x14ac:dyDescent="0.25"/>
    <row r="47" spans="1:9" ht="19.5" customHeight="1" x14ac:dyDescent="0.25"/>
    <row r="48" spans="1:9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92D050"/>
  </sheetPr>
  <dimension ref="A1:X16"/>
  <sheetViews>
    <sheetView zoomScale="106" zoomScaleNormal="106" workbookViewId="0">
      <selection activeCell="M12" sqref="M12"/>
    </sheetView>
  </sheetViews>
  <sheetFormatPr defaultColWidth="9.140625" defaultRowHeight="15" x14ac:dyDescent="0.25"/>
  <cols>
    <col min="1" max="1" width="7.28515625" style="39" customWidth="1"/>
    <col min="2" max="2" width="8.28515625" style="39" customWidth="1"/>
    <col min="3" max="3" width="9.85546875" style="39" bestFit="1" customWidth="1"/>
    <col min="4" max="5" width="14" style="39" customWidth="1"/>
    <col min="6" max="8" width="10.7109375" style="39" customWidth="1"/>
    <col min="9" max="9" width="11.140625" style="39" customWidth="1"/>
    <col min="10" max="10" width="10.7109375" style="39" customWidth="1"/>
    <col min="11" max="11" width="9.85546875" style="39" bestFit="1" customWidth="1"/>
    <col min="12" max="23" width="9.140625" style="39"/>
    <col min="24" max="24" width="9.140625" style="39" hidden="1" customWidth="1"/>
    <col min="25" max="25" width="25.28515625" style="39" customWidth="1"/>
    <col min="26" max="16384" width="9.140625" style="39"/>
  </cols>
  <sheetData>
    <row r="1" spans="1:19" s="60" customFormat="1" ht="126" x14ac:dyDescent="0.25">
      <c r="A1" s="56" t="s">
        <v>27</v>
      </c>
      <c r="B1" s="57" t="s">
        <v>282</v>
      </c>
      <c r="C1" s="58" t="s">
        <v>17</v>
      </c>
      <c r="D1" s="58" t="s">
        <v>37</v>
      </c>
      <c r="E1" s="58" t="s">
        <v>38</v>
      </c>
      <c r="F1" s="58" t="s">
        <v>283</v>
      </c>
      <c r="G1" s="58" t="s">
        <v>404</v>
      </c>
      <c r="H1" s="58" t="s">
        <v>405</v>
      </c>
      <c r="I1" s="58" t="s">
        <v>39</v>
      </c>
      <c r="J1" s="58" t="s">
        <v>382</v>
      </c>
      <c r="K1" s="59" t="s">
        <v>42</v>
      </c>
      <c r="L1" s="58" t="s">
        <v>374</v>
      </c>
    </row>
    <row r="2" spans="1:19" ht="15.75" x14ac:dyDescent="0.25">
      <c r="A2" s="61">
        <v>2021</v>
      </c>
      <c r="B2" s="61">
        <f>Table8[[#This Row],[Year]]-5</f>
        <v>2016</v>
      </c>
      <c r="C2" s="61" t="s">
        <v>1</v>
      </c>
      <c r="D2" s="62">
        <f>1000/0.29</f>
        <v>3448.2758620689656</v>
      </c>
      <c r="E2" s="62">
        <v>1400</v>
      </c>
      <c r="F2" s="62">
        <v>321.39999999999998</v>
      </c>
      <c r="G2" s="125">
        <v>0.93</v>
      </c>
      <c r="H2" s="125">
        <v>0.97</v>
      </c>
      <c r="I2" s="125">
        <f>Table8[[#This Row],[inverter efficiency]]*Table8[[#This Row],[Electric machine peak eff]]</f>
        <v>0.90210000000000001</v>
      </c>
      <c r="J2" s="61">
        <v>22</v>
      </c>
      <c r="K2" s="61">
        <v>50</v>
      </c>
      <c r="L2" s="126">
        <v>0.97</v>
      </c>
    </row>
    <row r="3" spans="1:19" ht="15.75" x14ac:dyDescent="0.25">
      <c r="A3" s="179">
        <v>2025</v>
      </c>
      <c r="B3" s="179">
        <f>Table8[[#This Row],[Year]]-5</f>
        <v>2020</v>
      </c>
      <c r="C3" s="61" t="s">
        <v>1</v>
      </c>
      <c r="D3" s="62">
        <v>3600</v>
      </c>
      <c r="E3" s="62">
        <v>2570</v>
      </c>
      <c r="F3" s="62">
        <v>175</v>
      </c>
      <c r="G3" s="125">
        <v>0.95</v>
      </c>
      <c r="H3" s="125">
        <v>0.97</v>
      </c>
      <c r="I3" s="125">
        <f>Table8[[#This Row],[inverter efficiency]]*Table8[[#This Row],[Electric machine peak eff]]</f>
        <v>0.92149999999999999</v>
      </c>
      <c r="J3" s="61">
        <v>18</v>
      </c>
      <c r="K3" s="61">
        <v>30</v>
      </c>
      <c r="L3" s="61">
        <v>0.98</v>
      </c>
    </row>
    <row r="4" spans="1:19" ht="15.75" x14ac:dyDescent="0.25">
      <c r="A4" s="61">
        <v>2027</v>
      </c>
      <c r="B4" s="61">
        <f>Table8[[#This Row],[Year]]-5</f>
        <v>2022</v>
      </c>
      <c r="C4" s="61" t="s">
        <v>1</v>
      </c>
      <c r="D4" s="62">
        <f>1000/0.23</f>
        <v>4347.826086956522</v>
      </c>
      <c r="E4" s="62">
        <v>3500</v>
      </c>
      <c r="F4" s="62">
        <v>175</v>
      </c>
      <c r="G4" s="125">
        <v>0.95499999999999996</v>
      </c>
      <c r="H4" s="125">
        <v>0.97</v>
      </c>
      <c r="I4" s="125">
        <f>Table8[[#This Row],[inverter efficiency]]*Table8[[#This Row],[Electric machine peak eff]]</f>
        <v>0.9263499999999999</v>
      </c>
      <c r="J4" s="61">
        <v>15</v>
      </c>
      <c r="K4" s="61">
        <v>25</v>
      </c>
      <c r="L4" s="61">
        <v>0.98250000000000004</v>
      </c>
    </row>
    <row r="5" spans="1:19" ht="15.75" x14ac:dyDescent="0.25">
      <c r="A5" s="179">
        <v>2030</v>
      </c>
      <c r="B5" s="179">
        <f>Table8[[#This Row],[Year]]-5</f>
        <v>2025</v>
      </c>
      <c r="C5" s="61" t="s">
        <v>1</v>
      </c>
      <c r="D5" s="62">
        <v>5000</v>
      </c>
      <c r="E5" s="62">
        <v>4500</v>
      </c>
      <c r="F5" s="62">
        <v>175</v>
      </c>
      <c r="G5" s="125">
        <v>0.96</v>
      </c>
      <c r="H5" s="125">
        <v>0.98</v>
      </c>
      <c r="I5" s="125">
        <f>Table8[[#This Row],[inverter efficiency]]*Table8[[#This Row],[Electric machine peak eff]]</f>
        <v>0.94079999999999997</v>
      </c>
      <c r="J5" s="61">
        <v>13.3</v>
      </c>
      <c r="K5" s="61">
        <v>20</v>
      </c>
      <c r="L5" s="61">
        <v>0.98499999999999999</v>
      </c>
    </row>
    <row r="6" spans="1:19" ht="15.75" x14ac:dyDescent="0.25">
      <c r="A6" s="61">
        <v>2035</v>
      </c>
      <c r="B6" s="61">
        <f>Table8[[#This Row],[Year]]-5</f>
        <v>2030</v>
      </c>
      <c r="C6" s="61" t="s">
        <v>1</v>
      </c>
      <c r="D6" s="62">
        <f>1000/0.18</f>
        <v>5555.5555555555557</v>
      </c>
      <c r="E6" s="62">
        <v>6000</v>
      </c>
      <c r="F6" s="62">
        <v>175</v>
      </c>
      <c r="G6" s="125">
        <v>0.97</v>
      </c>
      <c r="H6" s="125">
        <v>0.99</v>
      </c>
      <c r="I6" s="125">
        <f>Table8[[#This Row],[inverter efficiency]]*Table8[[#This Row],[Electric machine peak eff]]</f>
        <v>0.96029999999999993</v>
      </c>
      <c r="J6" s="61">
        <v>10</v>
      </c>
      <c r="K6" s="61">
        <v>15</v>
      </c>
      <c r="L6" s="61">
        <v>0.98499999999999999</v>
      </c>
    </row>
    <row r="7" spans="1:19" ht="15.75" x14ac:dyDescent="0.25">
      <c r="A7" s="61">
        <v>2050</v>
      </c>
      <c r="B7" s="61">
        <f>Table8[[#This Row],[Year]]-5</f>
        <v>2045</v>
      </c>
      <c r="C7" s="61" t="s">
        <v>1</v>
      </c>
      <c r="D7" s="62">
        <f>1000/0.08</f>
        <v>12500</v>
      </c>
      <c r="E7" s="62">
        <v>12000</v>
      </c>
      <c r="F7" s="62">
        <v>22</v>
      </c>
      <c r="G7" s="125">
        <v>0.98</v>
      </c>
      <c r="H7" s="125">
        <v>0.99</v>
      </c>
      <c r="I7" s="125">
        <f>Table8[[#This Row],[inverter efficiency]]*Table8[[#This Row],[Electric machine peak eff]]</f>
        <v>0.97019999999999995</v>
      </c>
      <c r="J7" s="61">
        <v>6</v>
      </c>
      <c r="K7" s="61">
        <v>8.89</v>
      </c>
      <c r="L7" s="61">
        <v>0.98499999999999999</v>
      </c>
    </row>
    <row r="8" spans="1:19" ht="15.75" x14ac:dyDescent="0.25">
      <c r="A8" s="61">
        <v>2017</v>
      </c>
      <c r="B8" s="61">
        <f>Table8[[#This Row],[Year]]-5</f>
        <v>2012</v>
      </c>
      <c r="C8" s="61" t="s">
        <v>0</v>
      </c>
      <c r="D8" s="62">
        <v>3000</v>
      </c>
      <c r="E8" s="62">
        <v>933</v>
      </c>
      <c r="F8" s="62">
        <v>482</v>
      </c>
      <c r="G8" s="125">
        <v>0.93</v>
      </c>
      <c r="H8" s="125">
        <v>0.97</v>
      </c>
      <c r="I8" s="125">
        <f>Table8[[#This Row],[inverter efficiency]]*Table8[[#This Row],[Electric machine peak eff]]</f>
        <v>0.90210000000000001</v>
      </c>
      <c r="J8" s="61">
        <v>30</v>
      </c>
      <c r="K8" s="61">
        <v>100</v>
      </c>
      <c r="L8" s="126">
        <v>0.97</v>
      </c>
    </row>
    <row r="9" spans="1:19" ht="15.75" x14ac:dyDescent="0.25">
      <c r="A9" s="61">
        <v>2021</v>
      </c>
      <c r="B9" s="61">
        <f>Table8[[#This Row],[Year]]-5</f>
        <v>2016</v>
      </c>
      <c r="C9" s="61" t="s">
        <v>0</v>
      </c>
      <c r="D9" s="62">
        <v>3448</v>
      </c>
      <c r="E9" s="62">
        <v>933</v>
      </c>
      <c r="F9" s="62">
        <v>482</v>
      </c>
      <c r="G9" s="125">
        <v>0.93</v>
      </c>
      <c r="H9" s="125">
        <v>0.97</v>
      </c>
      <c r="I9" s="125">
        <f>Table8[[#This Row],[inverter efficiency]]*Table8[[#This Row],[Electric machine peak eff]]</f>
        <v>0.90210000000000001</v>
      </c>
      <c r="J9" s="61">
        <v>27</v>
      </c>
      <c r="K9" s="61">
        <v>75</v>
      </c>
      <c r="L9" s="126">
        <v>0.97</v>
      </c>
    </row>
    <row r="10" spans="1:19" ht="15.75" x14ac:dyDescent="0.25">
      <c r="A10" s="179">
        <v>2025</v>
      </c>
      <c r="B10" s="179">
        <f>Table8[[#This Row],[Year]]-5</f>
        <v>2020</v>
      </c>
      <c r="C10" s="61" t="s">
        <v>0</v>
      </c>
      <c r="D10" s="62">
        <v>3700</v>
      </c>
      <c r="E10" s="62">
        <v>1713</v>
      </c>
      <c r="F10" s="62">
        <v>262</v>
      </c>
      <c r="G10" s="125">
        <v>0.94</v>
      </c>
      <c r="H10" s="125">
        <v>0.97</v>
      </c>
      <c r="I10" s="125">
        <f>Table8[[#This Row],[inverter efficiency]]*Table8[[#This Row],[Electric machine peak eff]]</f>
        <v>0.91179999999999994</v>
      </c>
      <c r="J10" s="61">
        <v>23</v>
      </c>
      <c r="K10" s="61">
        <v>50</v>
      </c>
      <c r="L10" s="61">
        <v>0.97</v>
      </c>
    </row>
    <row r="11" spans="1:19" ht="15.75" x14ac:dyDescent="0.25">
      <c r="A11" s="61">
        <v>2027</v>
      </c>
      <c r="B11" s="61">
        <f>Table8[[#This Row],[Year]]-5</f>
        <v>2022</v>
      </c>
      <c r="C11" s="61" t="s">
        <v>0</v>
      </c>
      <c r="D11" s="62">
        <v>3900</v>
      </c>
      <c r="E11" s="62">
        <v>2400</v>
      </c>
      <c r="F11" s="62">
        <v>262</v>
      </c>
      <c r="G11" s="125">
        <v>0.94</v>
      </c>
      <c r="H11" s="125">
        <v>0.97</v>
      </c>
      <c r="I11" s="125">
        <f>Table8[[#This Row],[inverter efficiency]]*Table8[[#This Row],[Electric machine peak eff]]</f>
        <v>0.91179999999999994</v>
      </c>
      <c r="J11" s="61">
        <v>21</v>
      </c>
      <c r="K11" s="61">
        <v>45</v>
      </c>
      <c r="L11" s="61">
        <v>0.97</v>
      </c>
    </row>
    <row r="12" spans="1:19" ht="15.75" x14ac:dyDescent="0.25">
      <c r="A12" s="179">
        <v>2030</v>
      </c>
      <c r="B12" s="179">
        <f>Table8[[#This Row],[Year]]-5</f>
        <v>2025</v>
      </c>
      <c r="C12" s="61" t="s">
        <v>0</v>
      </c>
      <c r="D12" s="62">
        <v>4500</v>
      </c>
      <c r="E12" s="62">
        <v>3000</v>
      </c>
      <c r="F12" s="62">
        <v>150</v>
      </c>
      <c r="G12" s="125">
        <v>0.94</v>
      </c>
      <c r="H12" s="125">
        <v>0.97</v>
      </c>
      <c r="I12" s="125">
        <f>Table8[[#This Row],[inverter efficiency]]*Table8[[#This Row],[Electric machine peak eff]]</f>
        <v>0.91179999999999994</v>
      </c>
      <c r="J12" s="61">
        <v>18.3</v>
      </c>
      <c r="K12" s="61">
        <v>40</v>
      </c>
      <c r="L12" s="61">
        <v>0.97</v>
      </c>
    </row>
    <row r="13" spans="1:19" ht="15.75" x14ac:dyDescent="0.25">
      <c r="A13" s="61">
        <v>2035</v>
      </c>
      <c r="B13" s="61">
        <f>Table8[[#This Row],[Year]]-5</f>
        <v>2030</v>
      </c>
      <c r="C13" s="61" t="s">
        <v>0</v>
      </c>
      <c r="D13" s="62">
        <v>5000</v>
      </c>
      <c r="E13" s="62">
        <v>4000</v>
      </c>
      <c r="F13" s="62">
        <v>125</v>
      </c>
      <c r="G13" s="125">
        <v>0.94499999999999995</v>
      </c>
      <c r="H13" s="125">
        <v>0.97</v>
      </c>
      <c r="I13" s="125">
        <f>Table8[[#This Row],[inverter efficiency]]*Table8[[#This Row],[Electric machine peak eff]]</f>
        <v>0.91664999999999996</v>
      </c>
      <c r="J13" s="61">
        <v>15</v>
      </c>
      <c r="K13" s="61">
        <v>35</v>
      </c>
      <c r="L13" s="61">
        <v>0.98</v>
      </c>
    </row>
    <row r="14" spans="1:19" ht="15.75" x14ac:dyDescent="0.25">
      <c r="A14" s="64">
        <v>2050</v>
      </c>
      <c r="B14" s="61">
        <f>Table8[[#This Row],[Year]]-5</f>
        <v>2045</v>
      </c>
      <c r="C14" s="64" t="s">
        <v>0</v>
      </c>
      <c r="D14" s="62">
        <v>11250</v>
      </c>
      <c r="E14" s="62">
        <v>8000</v>
      </c>
      <c r="F14" s="62">
        <v>75</v>
      </c>
      <c r="G14" s="125">
        <v>0.96</v>
      </c>
      <c r="H14" s="125">
        <v>0.97</v>
      </c>
      <c r="I14" s="125">
        <f>Table8[[#This Row],[inverter efficiency]]*Table8[[#This Row],[Electric machine peak eff]]</f>
        <v>0.93119999999999992</v>
      </c>
      <c r="J14" s="64">
        <v>11</v>
      </c>
      <c r="K14" s="64">
        <v>28.89</v>
      </c>
      <c r="L14" s="61">
        <v>0.98</v>
      </c>
    </row>
    <row r="15" spans="1:19" ht="15" customHeight="1" x14ac:dyDescent="0.25">
      <c r="A15" s="66"/>
      <c r="B15" s="66"/>
      <c r="C15" s="65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</row>
    <row r="16" spans="1:19" ht="15" customHeight="1" x14ac:dyDescent="0.25">
      <c r="A16" s="66"/>
      <c r="B16" s="66"/>
      <c r="C16" s="67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92D050"/>
  </sheetPr>
  <dimension ref="A1:O49"/>
  <sheetViews>
    <sheetView zoomScaleNormal="100" workbookViewId="0">
      <selection activeCell="O27" sqref="O27"/>
    </sheetView>
  </sheetViews>
  <sheetFormatPr defaultColWidth="9.140625" defaultRowHeight="15" x14ac:dyDescent="0.25"/>
  <cols>
    <col min="1" max="1" width="5.5703125" style="5" bestFit="1" customWidth="1"/>
    <col min="2" max="2" width="5.5703125" style="5" customWidth="1"/>
    <col min="3" max="3" width="8.7109375" style="5" bestFit="1" customWidth="1"/>
    <col min="4" max="5" width="9.85546875" style="5" bestFit="1" customWidth="1"/>
    <col min="6" max="6" width="8.5703125" style="5" customWidth="1"/>
    <col min="7" max="7" width="9.85546875" style="5" bestFit="1" customWidth="1"/>
    <col min="8" max="8" width="9.85546875" style="5" hidden="1" customWidth="1"/>
    <col min="9" max="10" width="9.85546875" style="5" customWidth="1"/>
    <col min="11" max="11" width="7.42578125" style="5" customWidth="1"/>
    <col min="12" max="12" width="8.140625" style="5" customWidth="1"/>
    <col min="13" max="16384" width="9.140625" style="5"/>
  </cols>
  <sheetData>
    <row r="1" spans="1:12" s="15" customFormat="1" ht="144" customHeight="1" x14ac:dyDescent="0.25">
      <c r="A1" s="204" t="s">
        <v>27</v>
      </c>
      <c r="B1" s="55" t="s">
        <v>282</v>
      </c>
      <c r="C1" s="55" t="s">
        <v>22</v>
      </c>
      <c r="D1" s="55" t="s">
        <v>17</v>
      </c>
      <c r="E1" s="55" t="s">
        <v>254</v>
      </c>
      <c r="F1" s="55" t="s">
        <v>256</v>
      </c>
      <c r="G1" s="55" t="s">
        <v>255</v>
      </c>
      <c r="H1" s="205" t="s">
        <v>366</v>
      </c>
      <c r="I1" s="206" t="s">
        <v>365</v>
      </c>
      <c r="J1" s="55" t="s">
        <v>406</v>
      </c>
      <c r="K1" s="55" t="s">
        <v>407</v>
      </c>
      <c r="L1" s="55" t="s">
        <v>262</v>
      </c>
    </row>
    <row r="2" spans="1:12" x14ac:dyDescent="0.25">
      <c r="A2" s="229">
        <v>2021</v>
      </c>
      <c r="B2" s="229">
        <f>A2-5</f>
        <v>2016</v>
      </c>
      <c r="C2" s="229" t="s">
        <v>361</v>
      </c>
      <c r="D2" s="229" t="s">
        <v>1</v>
      </c>
      <c r="E2" s="226">
        <v>0.64</v>
      </c>
      <c r="F2" s="207">
        <v>600</v>
      </c>
      <c r="G2" s="209">
        <v>170.75471698113208</v>
      </c>
      <c r="H2" s="210" t="s">
        <v>417</v>
      </c>
      <c r="I2" s="224">
        <v>1.7</v>
      </c>
      <c r="J2" s="209">
        <v>3820.41</v>
      </c>
      <c r="K2" s="209">
        <v>310.87649999999996</v>
      </c>
      <c r="L2" s="207">
        <v>10</v>
      </c>
    </row>
    <row r="3" spans="1:12" x14ac:dyDescent="0.25">
      <c r="A3" s="230">
        <v>2025</v>
      </c>
      <c r="B3" s="230">
        <f t="shared" ref="B3:B6" si="0">A3-5</f>
        <v>2020</v>
      </c>
      <c r="C3" s="230" t="s">
        <v>361</v>
      </c>
      <c r="D3" s="230" t="s">
        <v>1</v>
      </c>
      <c r="E3" s="212">
        <v>0.65</v>
      </c>
      <c r="F3" s="211">
        <v>700</v>
      </c>
      <c r="G3" s="213">
        <v>126.41509433962264</v>
      </c>
      <c r="H3" s="214" t="s">
        <v>417</v>
      </c>
      <c r="I3" s="211">
        <v>1.8</v>
      </c>
      <c r="J3" s="213">
        <v>3366.0000000000005</v>
      </c>
      <c r="K3" s="213">
        <v>273.89999999999998</v>
      </c>
      <c r="L3" s="211">
        <v>7</v>
      </c>
    </row>
    <row r="4" spans="1:12" x14ac:dyDescent="0.25">
      <c r="A4" s="231">
        <v>2030</v>
      </c>
      <c r="B4" s="231">
        <f t="shared" si="0"/>
        <v>2025</v>
      </c>
      <c r="C4" s="231" t="s">
        <v>361</v>
      </c>
      <c r="D4" s="231" t="s">
        <v>1</v>
      </c>
      <c r="E4" s="212">
        <v>0.67</v>
      </c>
      <c r="F4" s="215">
        <v>800</v>
      </c>
      <c r="G4" s="217">
        <v>70</v>
      </c>
      <c r="H4" s="214" t="s">
        <v>417</v>
      </c>
      <c r="I4" s="211">
        <v>2</v>
      </c>
      <c r="J4" s="217">
        <v>3029.4</v>
      </c>
      <c r="K4" s="217">
        <v>246.51</v>
      </c>
      <c r="L4" s="215">
        <v>6</v>
      </c>
    </row>
    <row r="5" spans="1:12" x14ac:dyDescent="0.25">
      <c r="A5" s="231">
        <v>2035</v>
      </c>
      <c r="B5" s="232">
        <f>A5-5</f>
        <v>2030</v>
      </c>
      <c r="C5" s="231" t="s">
        <v>361</v>
      </c>
      <c r="D5" s="231" t="s">
        <v>1</v>
      </c>
      <c r="E5" s="212">
        <f>AVERAGE(E4,E6)</f>
        <v>0.67999999999999994</v>
      </c>
      <c r="F5" s="215">
        <f t="shared" ref="F5:L5" si="1">AVERAGE(F4,F6)</f>
        <v>850</v>
      </c>
      <c r="G5" s="217">
        <f t="shared" si="1"/>
        <v>65</v>
      </c>
      <c r="H5" s="214" t="s">
        <v>417</v>
      </c>
      <c r="I5" s="211">
        <f t="shared" si="1"/>
        <v>2.0499999999999998</v>
      </c>
      <c r="J5" s="217">
        <f t="shared" si="1"/>
        <v>2945.2</v>
      </c>
      <c r="K5" s="217">
        <f t="shared" si="1"/>
        <v>239.755</v>
      </c>
      <c r="L5" s="215">
        <f t="shared" si="1"/>
        <v>5</v>
      </c>
    </row>
    <row r="6" spans="1:12" x14ac:dyDescent="0.25">
      <c r="A6" s="231">
        <v>2040</v>
      </c>
      <c r="B6" s="231">
        <f t="shared" si="0"/>
        <v>2035</v>
      </c>
      <c r="C6" s="231" t="s">
        <v>361</v>
      </c>
      <c r="D6" s="231" t="s">
        <v>1</v>
      </c>
      <c r="E6" s="212">
        <v>0.69</v>
      </c>
      <c r="F6" s="211">
        <v>900</v>
      </c>
      <c r="G6" s="213">
        <v>60</v>
      </c>
      <c r="H6" s="214" t="s">
        <v>417</v>
      </c>
      <c r="I6" s="211">
        <v>2.1</v>
      </c>
      <c r="J6" s="213">
        <v>2861</v>
      </c>
      <c r="K6" s="213">
        <v>233</v>
      </c>
      <c r="L6" s="211">
        <v>4</v>
      </c>
    </row>
    <row r="7" spans="1:12" x14ac:dyDescent="0.25">
      <c r="A7" s="215">
        <v>2050</v>
      </c>
      <c r="B7" s="215">
        <f t="shared" ref="B7:B13" si="2">A7-5</f>
        <v>2045</v>
      </c>
      <c r="C7" s="215" t="s">
        <v>361</v>
      </c>
      <c r="D7" s="215" t="s">
        <v>1</v>
      </c>
      <c r="E7" s="212">
        <v>0.7</v>
      </c>
      <c r="F7" s="215">
        <v>1000</v>
      </c>
      <c r="G7" s="217">
        <v>50</v>
      </c>
      <c r="H7" s="214" t="s">
        <v>417</v>
      </c>
      <c r="I7" s="211">
        <v>2.2000000000000002</v>
      </c>
      <c r="J7" s="217">
        <v>2692.8</v>
      </c>
      <c r="K7" s="217">
        <v>219.11999999999998</v>
      </c>
      <c r="L7" s="215">
        <v>4</v>
      </c>
    </row>
    <row r="8" spans="1:12" x14ac:dyDescent="0.25">
      <c r="A8" s="211">
        <v>2021</v>
      </c>
      <c r="B8" s="211">
        <f t="shared" si="2"/>
        <v>2016</v>
      </c>
      <c r="C8" s="215" t="s">
        <v>361</v>
      </c>
      <c r="D8" s="211" t="s">
        <v>0</v>
      </c>
      <c r="E8" s="212">
        <v>0.64</v>
      </c>
      <c r="F8" s="211">
        <v>600</v>
      </c>
      <c r="G8" s="213">
        <v>170.75471698113208</v>
      </c>
      <c r="H8" s="214" t="s">
        <v>417</v>
      </c>
      <c r="I8" s="211">
        <v>1.7</v>
      </c>
      <c r="J8" s="217">
        <v>3820.41</v>
      </c>
      <c r="K8" s="217">
        <v>310.87649999999996</v>
      </c>
      <c r="L8" s="215">
        <v>10</v>
      </c>
    </row>
    <row r="9" spans="1:12" x14ac:dyDescent="0.25">
      <c r="A9" s="215">
        <v>2025</v>
      </c>
      <c r="B9" s="215">
        <f t="shared" si="2"/>
        <v>2020</v>
      </c>
      <c r="C9" s="215" t="s">
        <v>361</v>
      </c>
      <c r="D9" s="215" t="s">
        <v>0</v>
      </c>
      <c r="E9" s="216">
        <v>0.64</v>
      </c>
      <c r="F9" s="215">
        <v>650</v>
      </c>
      <c r="G9" s="217">
        <v>126.41509433962264</v>
      </c>
      <c r="H9" s="214" t="s">
        <v>417</v>
      </c>
      <c r="I9" s="211">
        <v>1.8</v>
      </c>
      <c r="J9" s="213">
        <v>3702.6</v>
      </c>
      <c r="K9" s="213">
        <v>301.28999999999996</v>
      </c>
      <c r="L9" s="211">
        <v>8</v>
      </c>
    </row>
    <row r="10" spans="1:12" x14ac:dyDescent="0.25">
      <c r="A10" s="211">
        <v>2030</v>
      </c>
      <c r="B10" s="211">
        <f t="shared" si="2"/>
        <v>2025</v>
      </c>
      <c r="C10" s="215" t="s">
        <v>361</v>
      </c>
      <c r="D10" s="211" t="s">
        <v>0</v>
      </c>
      <c r="E10" s="212">
        <v>0.65</v>
      </c>
      <c r="F10" s="211">
        <v>700</v>
      </c>
      <c r="G10" s="213">
        <v>110</v>
      </c>
      <c r="H10" s="214" t="s">
        <v>417</v>
      </c>
      <c r="I10" s="211">
        <v>1.9</v>
      </c>
      <c r="J10" s="217">
        <v>3366.0000000000005</v>
      </c>
      <c r="K10" s="217">
        <v>273.89999999999998</v>
      </c>
      <c r="L10" s="215">
        <v>7</v>
      </c>
    </row>
    <row r="11" spans="1:12" x14ac:dyDescent="0.25">
      <c r="A11" s="211">
        <v>2035</v>
      </c>
      <c r="B11" s="211">
        <f t="shared" si="2"/>
        <v>2030</v>
      </c>
      <c r="C11" s="215" t="s">
        <v>361</v>
      </c>
      <c r="D11" s="211" t="s">
        <v>0</v>
      </c>
      <c r="E11" s="216">
        <f t="shared" ref="E11:G11" si="3">AVERAGE(E10,E12)</f>
        <v>0.65</v>
      </c>
      <c r="F11" s="215">
        <f t="shared" si="3"/>
        <v>750</v>
      </c>
      <c r="G11" s="217">
        <f t="shared" si="3"/>
        <v>95</v>
      </c>
      <c r="H11" s="214" t="s">
        <v>417</v>
      </c>
      <c r="I11" s="211">
        <v>1.9</v>
      </c>
      <c r="J11" s="217">
        <f>AVERAGE(J10,J12)</f>
        <v>3281.8500000000004</v>
      </c>
      <c r="K11" s="217">
        <f>AVERAGE(K10,K12)</f>
        <v>267.05250000000001</v>
      </c>
      <c r="L11" s="215">
        <f>AVERAGE(L10,L12)</f>
        <v>6</v>
      </c>
    </row>
    <row r="12" spans="1:12" x14ac:dyDescent="0.25">
      <c r="A12" s="215">
        <v>2040</v>
      </c>
      <c r="B12" s="215">
        <f t="shared" si="2"/>
        <v>2035</v>
      </c>
      <c r="C12" s="215" t="s">
        <v>361</v>
      </c>
      <c r="D12" s="215" t="s">
        <v>0</v>
      </c>
      <c r="E12" s="216">
        <v>0.65</v>
      </c>
      <c r="F12" s="215">
        <v>800</v>
      </c>
      <c r="G12" s="217">
        <v>80</v>
      </c>
      <c r="H12" s="214" t="s">
        <v>417</v>
      </c>
      <c r="I12" s="211">
        <v>1.9</v>
      </c>
      <c r="J12" s="213">
        <v>3197.7000000000007</v>
      </c>
      <c r="K12" s="213">
        <v>260.20499999999998</v>
      </c>
      <c r="L12" s="211">
        <v>5</v>
      </c>
    </row>
    <row r="13" spans="1:12" x14ac:dyDescent="0.25">
      <c r="A13" s="227">
        <v>2050</v>
      </c>
      <c r="B13" s="227">
        <f t="shared" si="2"/>
        <v>2045</v>
      </c>
      <c r="C13" s="227" t="s">
        <v>361</v>
      </c>
      <c r="D13" s="227" t="s">
        <v>0</v>
      </c>
      <c r="E13" s="219">
        <v>0.66</v>
      </c>
      <c r="F13" s="218">
        <v>900</v>
      </c>
      <c r="G13" s="220">
        <v>80</v>
      </c>
      <c r="H13" s="221" t="s">
        <v>417</v>
      </c>
      <c r="I13" s="218">
        <v>1.9</v>
      </c>
      <c r="J13" s="223">
        <v>3029.4</v>
      </c>
      <c r="K13" s="223">
        <v>246.51</v>
      </c>
      <c r="L13" s="222">
        <v>4</v>
      </c>
    </row>
    <row r="14" spans="1:12" x14ac:dyDescent="0.25">
      <c r="A14" s="207">
        <v>2021</v>
      </c>
      <c r="B14" s="207">
        <f>A14-5</f>
        <v>2016</v>
      </c>
      <c r="C14" s="207" t="s">
        <v>359</v>
      </c>
      <c r="D14" s="207" t="s">
        <v>1</v>
      </c>
      <c r="E14" s="208">
        <v>0.6</v>
      </c>
      <c r="F14" s="207">
        <v>600</v>
      </c>
      <c r="G14" s="209">
        <v>184.90566037735849</v>
      </c>
      <c r="H14" s="210" t="s">
        <v>417</v>
      </c>
      <c r="I14" s="224">
        <v>1.7</v>
      </c>
      <c r="J14" s="209">
        <v>3820.41</v>
      </c>
      <c r="K14" s="209">
        <v>310.87649999999996</v>
      </c>
      <c r="L14" s="207">
        <v>10</v>
      </c>
    </row>
    <row r="15" spans="1:12" x14ac:dyDescent="0.25">
      <c r="A15" s="211">
        <v>2025</v>
      </c>
      <c r="B15" s="211">
        <f t="shared" ref="B15:B25" si="4">A15-5</f>
        <v>2020</v>
      </c>
      <c r="C15" s="211" t="s">
        <v>359</v>
      </c>
      <c r="D15" s="211" t="s">
        <v>1</v>
      </c>
      <c r="E15" s="212">
        <v>0.64</v>
      </c>
      <c r="F15" s="211">
        <v>700</v>
      </c>
      <c r="G15" s="213">
        <v>130.188679245283</v>
      </c>
      <c r="H15" s="214" t="s">
        <v>417</v>
      </c>
      <c r="I15" s="211">
        <v>1.8</v>
      </c>
      <c r="J15" s="213">
        <v>3366.0000000000005</v>
      </c>
      <c r="K15" s="213">
        <v>273.89999999999998</v>
      </c>
      <c r="L15" s="211">
        <v>7</v>
      </c>
    </row>
    <row r="16" spans="1:12" x14ac:dyDescent="0.25">
      <c r="A16" s="215">
        <v>2030</v>
      </c>
      <c r="B16" s="215">
        <f t="shared" si="4"/>
        <v>2025</v>
      </c>
      <c r="C16" s="215" t="s">
        <v>359</v>
      </c>
      <c r="D16" s="215" t="s">
        <v>1</v>
      </c>
      <c r="E16" s="216">
        <v>0.68</v>
      </c>
      <c r="F16" s="215">
        <v>800</v>
      </c>
      <c r="G16" s="225">
        <v>80</v>
      </c>
      <c r="H16" s="214" t="s">
        <v>417</v>
      </c>
      <c r="I16" s="211">
        <v>2</v>
      </c>
      <c r="J16" s="217">
        <v>3029.4</v>
      </c>
      <c r="K16" s="217">
        <v>246.51</v>
      </c>
      <c r="L16" s="215">
        <v>6</v>
      </c>
    </row>
    <row r="17" spans="1:15" x14ac:dyDescent="0.25">
      <c r="A17" s="215">
        <v>2035</v>
      </c>
      <c r="B17" s="215">
        <f t="shared" si="4"/>
        <v>2030</v>
      </c>
      <c r="C17" s="215" t="s">
        <v>359</v>
      </c>
      <c r="D17" s="215" t="s">
        <v>1</v>
      </c>
      <c r="E17" s="212">
        <f>AVERAGE(E16,E18)</f>
        <v>0.69</v>
      </c>
      <c r="F17" s="211">
        <f t="shared" ref="F17:L17" si="5">AVERAGE(F16,F18)</f>
        <v>850</v>
      </c>
      <c r="G17" s="213">
        <f t="shared" si="5"/>
        <v>77.5</v>
      </c>
      <c r="H17" s="214" t="s">
        <v>417</v>
      </c>
      <c r="I17" s="211">
        <f t="shared" si="5"/>
        <v>2.0499999999999998</v>
      </c>
      <c r="J17" s="217">
        <f t="shared" si="5"/>
        <v>2945.25</v>
      </c>
      <c r="K17" s="217">
        <f t="shared" si="5"/>
        <v>239.66249999999999</v>
      </c>
      <c r="L17" s="215">
        <f t="shared" si="5"/>
        <v>5</v>
      </c>
    </row>
    <row r="18" spans="1:15" x14ac:dyDescent="0.25">
      <c r="A18" s="211">
        <v>2040</v>
      </c>
      <c r="B18" s="211">
        <f t="shared" si="4"/>
        <v>2035</v>
      </c>
      <c r="C18" s="211" t="s">
        <v>359</v>
      </c>
      <c r="D18" s="211" t="s">
        <v>1</v>
      </c>
      <c r="E18" s="212">
        <v>0.7</v>
      </c>
      <c r="F18" s="211">
        <v>900</v>
      </c>
      <c r="G18" s="213">
        <v>75</v>
      </c>
      <c r="H18" s="214" t="s">
        <v>417</v>
      </c>
      <c r="I18" s="211">
        <v>2.1</v>
      </c>
      <c r="J18" s="213">
        <f>AVERAGE(J16,J19)</f>
        <v>2861.1000000000004</v>
      </c>
      <c r="K18" s="213">
        <f>AVERAGE(K16,K19)</f>
        <v>232.815</v>
      </c>
      <c r="L18" s="211">
        <v>4</v>
      </c>
    </row>
    <row r="19" spans="1:15" x14ac:dyDescent="0.25">
      <c r="A19" s="215">
        <v>2050</v>
      </c>
      <c r="B19" s="215">
        <f t="shared" si="4"/>
        <v>2045</v>
      </c>
      <c r="C19" s="215" t="s">
        <v>359</v>
      </c>
      <c r="D19" s="215" t="s">
        <v>1</v>
      </c>
      <c r="E19" s="216">
        <v>0.72</v>
      </c>
      <c r="F19" s="215">
        <v>1000</v>
      </c>
      <c r="G19" s="225">
        <v>60</v>
      </c>
      <c r="H19" s="214" t="s">
        <v>417</v>
      </c>
      <c r="I19" s="211">
        <v>2.2000000000000002</v>
      </c>
      <c r="J19" s="217">
        <v>2692.8</v>
      </c>
      <c r="K19" s="217">
        <v>219.11999999999998</v>
      </c>
      <c r="L19" s="215">
        <v>4</v>
      </c>
    </row>
    <row r="20" spans="1:15" x14ac:dyDescent="0.25">
      <c r="A20" s="211">
        <v>2021</v>
      </c>
      <c r="B20" s="211">
        <f t="shared" si="4"/>
        <v>2016</v>
      </c>
      <c r="C20" s="211" t="s">
        <v>359</v>
      </c>
      <c r="D20" s="211" t="s">
        <v>0</v>
      </c>
      <c r="E20" s="212">
        <v>0.6</v>
      </c>
      <c r="F20" s="211">
        <v>600</v>
      </c>
      <c r="G20" s="213">
        <v>184.90566037735849</v>
      </c>
      <c r="H20" s="214" t="s">
        <v>417</v>
      </c>
      <c r="I20" s="211">
        <v>1.7</v>
      </c>
      <c r="J20" s="217">
        <v>3820.41</v>
      </c>
      <c r="K20" s="217">
        <v>310.87649999999996</v>
      </c>
      <c r="L20" s="215">
        <v>10</v>
      </c>
    </row>
    <row r="21" spans="1:15" x14ac:dyDescent="0.25">
      <c r="A21" s="215">
        <v>2025</v>
      </c>
      <c r="B21" s="215">
        <f t="shared" si="4"/>
        <v>2020</v>
      </c>
      <c r="C21" s="215" t="s">
        <v>359</v>
      </c>
      <c r="D21" s="215" t="s">
        <v>0</v>
      </c>
      <c r="E21" s="216">
        <v>0.62</v>
      </c>
      <c r="F21" s="215">
        <v>650</v>
      </c>
      <c r="G21" s="217">
        <v>141.50943396226415</v>
      </c>
      <c r="H21" s="214" t="s">
        <v>417</v>
      </c>
      <c r="I21" s="211">
        <v>1.8</v>
      </c>
      <c r="J21" s="213">
        <v>3702.6</v>
      </c>
      <c r="K21" s="213">
        <v>301.28999999999996</v>
      </c>
      <c r="L21" s="211">
        <v>8</v>
      </c>
    </row>
    <row r="22" spans="1:15" x14ac:dyDescent="0.25">
      <c r="A22" s="211">
        <v>2030</v>
      </c>
      <c r="B22" s="211">
        <f t="shared" si="4"/>
        <v>2025</v>
      </c>
      <c r="C22" s="211" t="s">
        <v>359</v>
      </c>
      <c r="D22" s="211" t="s">
        <v>0</v>
      </c>
      <c r="E22" s="212">
        <v>0.64</v>
      </c>
      <c r="F22" s="211">
        <v>700</v>
      </c>
      <c r="G22" s="213">
        <v>113.20754716981132</v>
      </c>
      <c r="H22" s="214" t="s">
        <v>417</v>
      </c>
      <c r="I22" s="211">
        <v>1.9</v>
      </c>
      <c r="J22" s="217">
        <v>3366.0000000000005</v>
      </c>
      <c r="K22" s="217">
        <v>273.89999999999998</v>
      </c>
      <c r="L22" s="215">
        <v>7</v>
      </c>
    </row>
    <row r="23" spans="1:15" x14ac:dyDescent="0.25">
      <c r="A23" s="215">
        <v>2035</v>
      </c>
      <c r="B23" s="215">
        <f t="shared" si="4"/>
        <v>2030</v>
      </c>
      <c r="C23" s="211" t="s">
        <v>359</v>
      </c>
      <c r="D23" s="211" t="s">
        <v>0</v>
      </c>
      <c r="E23" s="212">
        <f t="shared" ref="E23:G23" si="6">AVERAGE(E22,E24)</f>
        <v>0.65</v>
      </c>
      <c r="F23" s="211">
        <f t="shared" si="6"/>
        <v>725</v>
      </c>
      <c r="G23" s="213">
        <f t="shared" si="6"/>
        <v>99.056603773584897</v>
      </c>
      <c r="H23" s="214" t="s">
        <v>417</v>
      </c>
      <c r="I23" s="211">
        <v>1.9</v>
      </c>
      <c r="J23" s="217">
        <f>AVERAGE(J22,J24)</f>
        <v>3281.8500000000004</v>
      </c>
      <c r="K23" s="217">
        <f>AVERAGE(K22,K24)</f>
        <v>267.05250000000001</v>
      </c>
      <c r="L23" s="215">
        <f>AVERAGE(L22,L24)</f>
        <v>6</v>
      </c>
    </row>
    <row r="24" spans="1:15" x14ac:dyDescent="0.25">
      <c r="A24" s="215">
        <v>2040</v>
      </c>
      <c r="B24" s="215">
        <f t="shared" si="4"/>
        <v>2035</v>
      </c>
      <c r="C24" s="215" t="s">
        <v>359</v>
      </c>
      <c r="D24" s="215" t="s">
        <v>0</v>
      </c>
      <c r="E24" s="216">
        <v>0.66</v>
      </c>
      <c r="F24" s="215">
        <v>750</v>
      </c>
      <c r="G24" s="217">
        <v>84.905660377358487</v>
      </c>
      <c r="H24" s="214" t="s">
        <v>417</v>
      </c>
      <c r="I24" s="211">
        <v>1.9</v>
      </c>
      <c r="J24" s="213">
        <v>3197.7000000000007</v>
      </c>
      <c r="K24" s="213">
        <v>260.20499999999998</v>
      </c>
      <c r="L24" s="211">
        <v>5</v>
      </c>
    </row>
    <row r="25" spans="1:15" x14ac:dyDescent="0.25">
      <c r="A25" s="218">
        <v>2050</v>
      </c>
      <c r="B25" s="218">
        <f t="shared" si="4"/>
        <v>2045</v>
      </c>
      <c r="C25" s="218" t="s">
        <v>359</v>
      </c>
      <c r="D25" s="218" t="s">
        <v>0</v>
      </c>
      <c r="E25" s="228">
        <v>0.68</v>
      </c>
      <c r="F25" s="227">
        <v>800</v>
      </c>
      <c r="G25" s="220">
        <v>85</v>
      </c>
      <c r="H25" s="214" t="s">
        <v>417</v>
      </c>
      <c r="I25" s="227">
        <v>1.9</v>
      </c>
      <c r="J25" s="223">
        <v>3029.4</v>
      </c>
      <c r="K25" s="223">
        <v>246.51</v>
      </c>
      <c r="L25" s="222">
        <v>4</v>
      </c>
    </row>
    <row r="26" spans="1:15" x14ac:dyDescent="0.25">
      <c r="A26" s="207">
        <v>2021</v>
      </c>
      <c r="B26" s="207">
        <f>A26-5</f>
        <v>2016</v>
      </c>
      <c r="C26" s="207" t="s">
        <v>362</v>
      </c>
      <c r="D26" s="207" t="s">
        <v>1</v>
      </c>
      <c r="E26" s="226">
        <v>0.64</v>
      </c>
      <c r="F26" s="207">
        <v>600</v>
      </c>
      <c r="G26" s="209">
        <v>170.75471698113208</v>
      </c>
      <c r="H26" s="210" t="s">
        <v>417</v>
      </c>
      <c r="I26" s="224">
        <v>1.7</v>
      </c>
      <c r="J26" s="209">
        <v>3820.41</v>
      </c>
      <c r="K26" s="209">
        <v>310.87649999999996</v>
      </c>
      <c r="L26" s="207">
        <v>10</v>
      </c>
      <c r="N26" s="233"/>
      <c r="O26" s="233"/>
    </row>
    <row r="27" spans="1:15" x14ac:dyDescent="0.25">
      <c r="A27" s="211">
        <v>2025</v>
      </c>
      <c r="B27" s="215">
        <f t="shared" ref="B27:B49" si="7">A27-5</f>
        <v>2020</v>
      </c>
      <c r="C27" s="215" t="s">
        <v>362</v>
      </c>
      <c r="D27" s="211" t="s">
        <v>1</v>
      </c>
      <c r="E27" s="212">
        <v>0.65</v>
      </c>
      <c r="F27" s="211">
        <v>700</v>
      </c>
      <c r="G27" s="213">
        <v>126.41509433962264</v>
      </c>
      <c r="H27" s="214" t="s">
        <v>417</v>
      </c>
      <c r="I27" s="211">
        <v>1.8</v>
      </c>
      <c r="J27" s="213">
        <v>3366.0000000000005</v>
      </c>
      <c r="K27" s="213">
        <v>273.89999999999998</v>
      </c>
      <c r="L27" s="211">
        <v>7</v>
      </c>
      <c r="N27" s="233"/>
      <c r="O27" s="233"/>
    </row>
    <row r="28" spans="1:15" x14ac:dyDescent="0.25">
      <c r="A28" s="215">
        <v>2030</v>
      </c>
      <c r="B28" s="215">
        <f t="shared" si="7"/>
        <v>2025</v>
      </c>
      <c r="C28" s="215" t="s">
        <v>362</v>
      </c>
      <c r="D28" s="215" t="s">
        <v>1</v>
      </c>
      <c r="E28" s="212">
        <v>0.67</v>
      </c>
      <c r="F28" s="215">
        <v>800</v>
      </c>
      <c r="G28" s="217">
        <v>70</v>
      </c>
      <c r="H28" s="214" t="s">
        <v>417</v>
      </c>
      <c r="I28" s="211">
        <v>2</v>
      </c>
      <c r="J28" s="217">
        <v>3029.4</v>
      </c>
      <c r="K28" s="217">
        <v>246.51</v>
      </c>
      <c r="L28" s="215">
        <v>6</v>
      </c>
      <c r="N28" s="233"/>
      <c r="O28" s="233"/>
    </row>
    <row r="29" spans="1:15" x14ac:dyDescent="0.25">
      <c r="A29" s="215">
        <v>2035</v>
      </c>
      <c r="B29" s="215">
        <f t="shared" si="7"/>
        <v>2030</v>
      </c>
      <c r="C29" s="215" t="s">
        <v>362</v>
      </c>
      <c r="D29" s="215" t="s">
        <v>1</v>
      </c>
      <c r="E29" s="212">
        <v>0.67999999999999994</v>
      </c>
      <c r="F29" s="215">
        <v>850</v>
      </c>
      <c r="G29" s="217">
        <v>65</v>
      </c>
      <c r="H29" s="214" t="s">
        <v>417</v>
      </c>
      <c r="I29" s="211">
        <v>2.0499999999999998</v>
      </c>
      <c r="J29" s="217">
        <v>2945.2</v>
      </c>
      <c r="K29" s="217">
        <v>239.755</v>
      </c>
      <c r="L29" s="215">
        <v>5</v>
      </c>
      <c r="N29" s="233"/>
      <c r="O29" s="233"/>
    </row>
    <row r="30" spans="1:15" x14ac:dyDescent="0.25">
      <c r="A30" s="211">
        <v>2040</v>
      </c>
      <c r="B30" s="215">
        <f t="shared" si="7"/>
        <v>2035</v>
      </c>
      <c r="C30" s="215" t="s">
        <v>362</v>
      </c>
      <c r="D30" s="211" t="s">
        <v>1</v>
      </c>
      <c r="E30" s="212">
        <v>0.69</v>
      </c>
      <c r="F30" s="211">
        <v>900</v>
      </c>
      <c r="G30" s="213">
        <v>60</v>
      </c>
      <c r="H30" s="214" t="s">
        <v>417</v>
      </c>
      <c r="I30" s="211">
        <v>2.1</v>
      </c>
      <c r="J30" s="213">
        <v>2861</v>
      </c>
      <c r="K30" s="213">
        <v>233</v>
      </c>
      <c r="L30" s="211">
        <v>4</v>
      </c>
      <c r="N30" s="233"/>
      <c r="O30" s="233"/>
    </row>
    <row r="31" spans="1:15" x14ac:dyDescent="0.25">
      <c r="A31" s="215">
        <v>2050</v>
      </c>
      <c r="B31" s="215">
        <f t="shared" si="7"/>
        <v>2045</v>
      </c>
      <c r="C31" s="215" t="s">
        <v>362</v>
      </c>
      <c r="D31" s="215" t="s">
        <v>1</v>
      </c>
      <c r="E31" s="212">
        <v>0.7</v>
      </c>
      <c r="F31" s="215">
        <v>1000</v>
      </c>
      <c r="G31" s="217">
        <v>50</v>
      </c>
      <c r="H31" s="214" t="s">
        <v>417</v>
      </c>
      <c r="I31" s="211">
        <v>2.2000000000000002</v>
      </c>
      <c r="J31" s="217">
        <v>2692.8</v>
      </c>
      <c r="K31" s="217">
        <v>219.11999999999998</v>
      </c>
      <c r="L31" s="215">
        <v>4</v>
      </c>
      <c r="N31" s="233"/>
      <c r="O31" s="233"/>
    </row>
    <row r="32" spans="1:15" x14ac:dyDescent="0.25">
      <c r="A32" s="211">
        <v>2021</v>
      </c>
      <c r="B32" s="215">
        <f t="shared" si="7"/>
        <v>2016</v>
      </c>
      <c r="C32" s="215" t="s">
        <v>362</v>
      </c>
      <c r="D32" s="211" t="s">
        <v>0</v>
      </c>
      <c r="E32" s="212">
        <v>0.64</v>
      </c>
      <c r="F32" s="211">
        <v>600</v>
      </c>
      <c r="G32" s="213">
        <v>170.75471698113208</v>
      </c>
      <c r="H32" s="214" t="s">
        <v>417</v>
      </c>
      <c r="I32" s="211">
        <v>1.7</v>
      </c>
      <c r="J32" s="217">
        <v>3820.41</v>
      </c>
      <c r="K32" s="217">
        <v>310.87649999999996</v>
      </c>
      <c r="L32" s="215">
        <v>10</v>
      </c>
      <c r="N32" s="233"/>
      <c r="O32" s="233"/>
    </row>
    <row r="33" spans="1:15" x14ac:dyDescent="0.25">
      <c r="A33" s="215">
        <v>2025</v>
      </c>
      <c r="B33" s="215">
        <f t="shared" si="7"/>
        <v>2020</v>
      </c>
      <c r="C33" s="215" t="s">
        <v>362</v>
      </c>
      <c r="D33" s="215" t="s">
        <v>0</v>
      </c>
      <c r="E33" s="216">
        <v>0.64</v>
      </c>
      <c r="F33" s="215">
        <v>650</v>
      </c>
      <c r="G33" s="217">
        <v>126.41509433962264</v>
      </c>
      <c r="H33" s="214" t="s">
        <v>417</v>
      </c>
      <c r="I33" s="211">
        <v>1.8</v>
      </c>
      <c r="J33" s="213">
        <v>3702.6</v>
      </c>
      <c r="K33" s="213">
        <v>301.28999999999996</v>
      </c>
      <c r="L33" s="211">
        <v>8</v>
      </c>
      <c r="N33" s="233"/>
      <c r="O33" s="233"/>
    </row>
    <row r="34" spans="1:15" x14ac:dyDescent="0.25">
      <c r="A34" s="211">
        <v>2030</v>
      </c>
      <c r="B34" s="215">
        <f t="shared" si="7"/>
        <v>2025</v>
      </c>
      <c r="C34" s="215" t="s">
        <v>362</v>
      </c>
      <c r="D34" s="211" t="s">
        <v>0</v>
      </c>
      <c r="E34" s="212">
        <v>0.65</v>
      </c>
      <c r="F34" s="211">
        <v>700</v>
      </c>
      <c r="G34" s="213">
        <v>110</v>
      </c>
      <c r="H34" s="214" t="s">
        <v>417</v>
      </c>
      <c r="I34" s="211">
        <v>1.9</v>
      </c>
      <c r="J34" s="217">
        <v>3366.0000000000005</v>
      </c>
      <c r="K34" s="217">
        <v>273.89999999999998</v>
      </c>
      <c r="L34" s="215">
        <v>7</v>
      </c>
      <c r="N34" s="233"/>
      <c r="O34" s="233"/>
    </row>
    <row r="35" spans="1:15" x14ac:dyDescent="0.25">
      <c r="A35" s="211">
        <v>2035</v>
      </c>
      <c r="B35" s="215">
        <f t="shared" si="7"/>
        <v>2030</v>
      </c>
      <c r="C35" s="215" t="s">
        <v>362</v>
      </c>
      <c r="D35" s="211" t="s">
        <v>0</v>
      </c>
      <c r="E35" s="216">
        <v>0.65</v>
      </c>
      <c r="F35" s="215">
        <v>750</v>
      </c>
      <c r="G35" s="217">
        <v>95</v>
      </c>
      <c r="H35" s="214" t="s">
        <v>417</v>
      </c>
      <c r="I35" s="211">
        <v>1.9</v>
      </c>
      <c r="J35" s="217">
        <v>3281.8500000000004</v>
      </c>
      <c r="K35" s="217">
        <v>267.05250000000001</v>
      </c>
      <c r="L35" s="215">
        <v>6</v>
      </c>
      <c r="N35" s="233"/>
      <c r="O35" s="233"/>
    </row>
    <row r="36" spans="1:15" x14ac:dyDescent="0.25">
      <c r="A36" s="215">
        <v>2040</v>
      </c>
      <c r="B36" s="215">
        <f t="shared" si="7"/>
        <v>2035</v>
      </c>
      <c r="C36" s="215" t="s">
        <v>362</v>
      </c>
      <c r="D36" s="215" t="s">
        <v>0</v>
      </c>
      <c r="E36" s="216">
        <v>0.65</v>
      </c>
      <c r="F36" s="215">
        <v>800</v>
      </c>
      <c r="G36" s="217">
        <v>80</v>
      </c>
      <c r="H36" s="214" t="s">
        <v>417</v>
      </c>
      <c r="I36" s="211">
        <v>1.9</v>
      </c>
      <c r="J36" s="213">
        <v>3197.7000000000007</v>
      </c>
      <c r="K36" s="213">
        <v>260.20499999999998</v>
      </c>
      <c r="L36" s="211">
        <v>5</v>
      </c>
      <c r="N36" s="233"/>
      <c r="O36" s="233"/>
    </row>
    <row r="37" spans="1:15" x14ac:dyDescent="0.25">
      <c r="A37" s="218">
        <v>2050</v>
      </c>
      <c r="B37" s="222">
        <f t="shared" si="7"/>
        <v>2045</v>
      </c>
      <c r="C37" s="222" t="s">
        <v>362</v>
      </c>
      <c r="D37" s="218" t="s">
        <v>0</v>
      </c>
      <c r="E37" s="219">
        <v>0.66</v>
      </c>
      <c r="F37" s="218">
        <v>900</v>
      </c>
      <c r="G37" s="220">
        <v>80</v>
      </c>
      <c r="H37" s="221" t="s">
        <v>417</v>
      </c>
      <c r="I37" s="218">
        <v>1.9</v>
      </c>
      <c r="J37" s="223">
        <v>3029.4</v>
      </c>
      <c r="K37" s="223">
        <v>246.51</v>
      </c>
      <c r="L37" s="222">
        <v>4</v>
      </c>
      <c r="N37" s="233"/>
      <c r="O37" s="233"/>
    </row>
    <row r="38" spans="1:15" x14ac:dyDescent="0.25">
      <c r="A38" s="207">
        <v>2021</v>
      </c>
      <c r="B38" s="207">
        <f t="shared" si="7"/>
        <v>2016</v>
      </c>
      <c r="C38" s="207" t="s">
        <v>360</v>
      </c>
      <c r="D38" s="207" t="s">
        <v>1</v>
      </c>
      <c r="E38" s="208">
        <v>0.6</v>
      </c>
      <c r="F38" s="207">
        <v>600</v>
      </c>
      <c r="G38" s="209">
        <v>184.90566037735849</v>
      </c>
      <c r="H38" s="210" t="s">
        <v>417</v>
      </c>
      <c r="I38" s="224">
        <v>1.7</v>
      </c>
      <c r="J38" s="209">
        <v>3820.41</v>
      </c>
      <c r="K38" s="209">
        <v>310.87649999999996</v>
      </c>
      <c r="L38" s="207">
        <v>10</v>
      </c>
    </row>
    <row r="39" spans="1:15" x14ac:dyDescent="0.25">
      <c r="A39" s="211">
        <v>2025</v>
      </c>
      <c r="B39" s="215">
        <f t="shared" si="7"/>
        <v>2020</v>
      </c>
      <c r="C39" s="215" t="s">
        <v>360</v>
      </c>
      <c r="D39" s="211" t="s">
        <v>1</v>
      </c>
      <c r="E39" s="212">
        <v>0.64</v>
      </c>
      <c r="F39" s="211">
        <v>700</v>
      </c>
      <c r="G39" s="213">
        <v>130.188679245283</v>
      </c>
      <c r="H39" s="214" t="s">
        <v>417</v>
      </c>
      <c r="I39" s="211">
        <v>1.8</v>
      </c>
      <c r="J39" s="213">
        <v>3366.0000000000005</v>
      </c>
      <c r="K39" s="213">
        <v>273.89999999999998</v>
      </c>
      <c r="L39" s="211">
        <v>7</v>
      </c>
    </row>
    <row r="40" spans="1:15" x14ac:dyDescent="0.25">
      <c r="A40" s="215">
        <v>2030</v>
      </c>
      <c r="B40" s="215">
        <f t="shared" si="7"/>
        <v>2025</v>
      </c>
      <c r="C40" s="215" t="s">
        <v>360</v>
      </c>
      <c r="D40" s="215" t="s">
        <v>1</v>
      </c>
      <c r="E40" s="216">
        <v>0.68</v>
      </c>
      <c r="F40" s="215">
        <v>800</v>
      </c>
      <c r="G40" s="225">
        <v>80</v>
      </c>
      <c r="H40" s="214" t="s">
        <v>417</v>
      </c>
      <c r="I40" s="211">
        <v>2</v>
      </c>
      <c r="J40" s="217">
        <v>3029.4</v>
      </c>
      <c r="K40" s="217">
        <v>246.51</v>
      </c>
      <c r="L40" s="215">
        <v>6</v>
      </c>
    </row>
    <row r="41" spans="1:15" x14ac:dyDescent="0.25">
      <c r="A41" s="215">
        <v>2035</v>
      </c>
      <c r="B41" s="215">
        <f t="shared" si="7"/>
        <v>2030</v>
      </c>
      <c r="C41" s="215" t="s">
        <v>360</v>
      </c>
      <c r="D41" s="215" t="s">
        <v>1</v>
      </c>
      <c r="E41" s="212">
        <v>0.69</v>
      </c>
      <c r="F41" s="211">
        <v>850</v>
      </c>
      <c r="G41" s="213">
        <v>77.5</v>
      </c>
      <c r="H41" s="214" t="s">
        <v>417</v>
      </c>
      <c r="I41" s="211">
        <v>2.0499999999999998</v>
      </c>
      <c r="J41" s="217">
        <v>2945.25</v>
      </c>
      <c r="K41" s="217">
        <v>239.66249999999999</v>
      </c>
      <c r="L41" s="215">
        <v>5</v>
      </c>
    </row>
    <row r="42" spans="1:15" x14ac:dyDescent="0.25">
      <c r="A42" s="211">
        <v>2040</v>
      </c>
      <c r="B42" s="215">
        <f t="shared" si="7"/>
        <v>2035</v>
      </c>
      <c r="C42" s="215" t="s">
        <v>360</v>
      </c>
      <c r="D42" s="211" t="s">
        <v>1</v>
      </c>
      <c r="E42" s="212">
        <v>0.7</v>
      </c>
      <c r="F42" s="211">
        <v>900</v>
      </c>
      <c r="G42" s="213">
        <v>75</v>
      </c>
      <c r="H42" s="214" t="s">
        <v>417</v>
      </c>
      <c r="I42" s="211">
        <v>2.1</v>
      </c>
      <c r="J42" s="213">
        <v>2861.1000000000004</v>
      </c>
      <c r="K42" s="213">
        <v>232.815</v>
      </c>
      <c r="L42" s="211">
        <v>4</v>
      </c>
    </row>
    <row r="43" spans="1:15" x14ac:dyDescent="0.25">
      <c r="A43" s="215">
        <v>2050</v>
      </c>
      <c r="B43" s="215">
        <f t="shared" si="7"/>
        <v>2045</v>
      </c>
      <c r="C43" s="215" t="s">
        <v>360</v>
      </c>
      <c r="D43" s="215" t="s">
        <v>1</v>
      </c>
      <c r="E43" s="216">
        <v>0.72</v>
      </c>
      <c r="F43" s="215">
        <v>1000</v>
      </c>
      <c r="G43" s="225">
        <v>60</v>
      </c>
      <c r="H43" s="214" t="s">
        <v>417</v>
      </c>
      <c r="I43" s="211">
        <v>2.2000000000000002</v>
      </c>
      <c r="J43" s="217">
        <v>2692.8</v>
      </c>
      <c r="K43" s="217">
        <v>219.11999999999998</v>
      </c>
      <c r="L43" s="215">
        <v>4</v>
      </c>
    </row>
    <row r="44" spans="1:15" x14ac:dyDescent="0.25">
      <c r="A44" s="211">
        <v>2021</v>
      </c>
      <c r="B44" s="215">
        <f t="shared" si="7"/>
        <v>2016</v>
      </c>
      <c r="C44" s="215" t="s">
        <v>360</v>
      </c>
      <c r="D44" s="211" t="s">
        <v>0</v>
      </c>
      <c r="E44" s="212">
        <v>0.6</v>
      </c>
      <c r="F44" s="211">
        <v>600</v>
      </c>
      <c r="G44" s="213">
        <v>184.90566037735849</v>
      </c>
      <c r="H44" s="214" t="s">
        <v>417</v>
      </c>
      <c r="I44" s="211">
        <v>1.7</v>
      </c>
      <c r="J44" s="217">
        <v>3820.41</v>
      </c>
      <c r="K44" s="217">
        <v>310.87649999999996</v>
      </c>
      <c r="L44" s="215">
        <v>10</v>
      </c>
    </row>
    <row r="45" spans="1:15" x14ac:dyDescent="0.25">
      <c r="A45" s="215">
        <v>2025</v>
      </c>
      <c r="B45" s="215">
        <f t="shared" si="7"/>
        <v>2020</v>
      </c>
      <c r="C45" s="215" t="s">
        <v>360</v>
      </c>
      <c r="D45" s="215" t="s">
        <v>0</v>
      </c>
      <c r="E45" s="216">
        <v>0.62</v>
      </c>
      <c r="F45" s="215">
        <v>650</v>
      </c>
      <c r="G45" s="217">
        <v>141.50943396226415</v>
      </c>
      <c r="H45" s="214" t="s">
        <v>417</v>
      </c>
      <c r="I45" s="211">
        <v>1.8</v>
      </c>
      <c r="J45" s="213">
        <v>3702.6</v>
      </c>
      <c r="K45" s="213">
        <v>301.28999999999996</v>
      </c>
      <c r="L45" s="211">
        <v>8</v>
      </c>
    </row>
    <row r="46" spans="1:15" x14ac:dyDescent="0.25">
      <c r="A46" s="211">
        <v>2030</v>
      </c>
      <c r="B46" s="215">
        <f t="shared" si="7"/>
        <v>2025</v>
      </c>
      <c r="C46" s="215" t="s">
        <v>360</v>
      </c>
      <c r="D46" s="211" t="s">
        <v>0</v>
      </c>
      <c r="E46" s="212">
        <v>0.64</v>
      </c>
      <c r="F46" s="211">
        <v>700</v>
      </c>
      <c r="G46" s="213">
        <v>113.20754716981132</v>
      </c>
      <c r="H46" s="214" t="s">
        <v>417</v>
      </c>
      <c r="I46" s="211">
        <v>1.9</v>
      </c>
      <c r="J46" s="217">
        <v>3366.0000000000005</v>
      </c>
      <c r="K46" s="217">
        <v>273.89999999999998</v>
      </c>
      <c r="L46" s="215">
        <v>7</v>
      </c>
    </row>
    <row r="47" spans="1:15" x14ac:dyDescent="0.25">
      <c r="A47" s="215">
        <v>2035</v>
      </c>
      <c r="B47" s="215">
        <f t="shared" si="7"/>
        <v>2030</v>
      </c>
      <c r="C47" s="215" t="s">
        <v>360</v>
      </c>
      <c r="D47" s="211" t="s">
        <v>0</v>
      </c>
      <c r="E47" s="212">
        <v>0.65</v>
      </c>
      <c r="F47" s="211">
        <v>725</v>
      </c>
      <c r="G47" s="213">
        <v>99.056603773584897</v>
      </c>
      <c r="H47" s="214" t="s">
        <v>417</v>
      </c>
      <c r="I47" s="211">
        <v>1.9</v>
      </c>
      <c r="J47" s="217">
        <v>3281.8500000000004</v>
      </c>
      <c r="K47" s="217">
        <v>267.05250000000001</v>
      </c>
      <c r="L47" s="215">
        <v>6</v>
      </c>
    </row>
    <row r="48" spans="1:15" x14ac:dyDescent="0.25">
      <c r="A48" s="215">
        <v>2040</v>
      </c>
      <c r="B48" s="215">
        <f t="shared" si="7"/>
        <v>2035</v>
      </c>
      <c r="C48" s="215" t="s">
        <v>360</v>
      </c>
      <c r="D48" s="215" t="s">
        <v>0</v>
      </c>
      <c r="E48" s="216">
        <v>0.66</v>
      </c>
      <c r="F48" s="215">
        <v>750</v>
      </c>
      <c r="G48" s="217">
        <v>84.905660377358487</v>
      </c>
      <c r="H48" s="214" t="s">
        <v>417</v>
      </c>
      <c r="I48" s="211">
        <v>1.9</v>
      </c>
      <c r="J48" s="213">
        <v>3197.7000000000007</v>
      </c>
      <c r="K48" s="213">
        <v>260.20499999999998</v>
      </c>
      <c r="L48" s="211">
        <v>5</v>
      </c>
    </row>
    <row r="49" spans="1:12" x14ac:dyDescent="0.25">
      <c r="A49" s="227">
        <v>2050</v>
      </c>
      <c r="B49" s="215">
        <f t="shared" si="7"/>
        <v>2045</v>
      </c>
      <c r="C49" s="215" t="s">
        <v>360</v>
      </c>
      <c r="D49" s="227" t="s">
        <v>0</v>
      </c>
      <c r="E49" s="228">
        <v>0.68</v>
      </c>
      <c r="F49" s="227">
        <v>800</v>
      </c>
      <c r="G49" s="220">
        <v>85</v>
      </c>
      <c r="H49" s="214" t="s">
        <v>417</v>
      </c>
      <c r="I49" s="227">
        <v>1.9</v>
      </c>
      <c r="J49" s="223">
        <v>3029.4</v>
      </c>
      <c r="K49" s="223">
        <v>246.51</v>
      </c>
      <c r="L49" s="222">
        <v>4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92D050"/>
  </sheetPr>
  <dimension ref="A1:N85"/>
  <sheetViews>
    <sheetView zoomScale="98" zoomScaleNormal="98" workbookViewId="0">
      <pane xSplit="5" ySplit="1" topLeftCell="F2" activePane="bottomRight" state="frozen"/>
      <selection activeCell="S1" sqref="S1:S1048576"/>
      <selection pane="topRight" activeCell="S1" sqref="S1:S1048576"/>
      <selection pane="bottomLeft" activeCell="S1" sqref="S1:S1048576"/>
      <selection pane="bottomRight" activeCell="L17" sqref="L17"/>
    </sheetView>
  </sheetViews>
  <sheetFormatPr defaultColWidth="9.140625" defaultRowHeight="15" x14ac:dyDescent="0.25"/>
  <cols>
    <col min="1" max="1" width="8.5703125" style="7" customWidth="1"/>
    <col min="2" max="2" width="10" style="7" bestFit="1" customWidth="1"/>
    <col min="3" max="3" width="10" style="1" bestFit="1" customWidth="1"/>
    <col min="4" max="4" width="10" style="4" bestFit="1" customWidth="1"/>
    <col min="5" max="6" width="7.7109375" style="1" bestFit="1" customWidth="1"/>
    <col min="7" max="7" width="7.7109375" style="4" bestFit="1" customWidth="1"/>
    <col min="8" max="8" width="9" style="1" bestFit="1" customWidth="1"/>
    <col min="9" max="9" width="7.7109375" style="1" bestFit="1" customWidth="1"/>
    <col min="10" max="10" width="7.7109375" style="4" bestFit="1" customWidth="1"/>
    <col min="11" max="11" width="7.7109375" style="1" bestFit="1" customWidth="1"/>
    <col min="12" max="12" width="7.7109375" style="4" bestFit="1" customWidth="1"/>
    <col min="13" max="14" width="7.7109375" style="4" customWidth="1"/>
    <col min="15" max="16384" width="9.140625" style="1"/>
  </cols>
  <sheetData>
    <row r="1" spans="1:14" s="42" customFormat="1" ht="149.25" customHeight="1" x14ac:dyDescent="0.25">
      <c r="A1" s="48" t="s">
        <v>27</v>
      </c>
      <c r="B1" s="48" t="s">
        <v>282</v>
      </c>
      <c r="C1" s="49" t="s">
        <v>17</v>
      </c>
      <c r="D1" s="49" t="s">
        <v>46</v>
      </c>
      <c r="E1" s="50" t="s">
        <v>5</v>
      </c>
      <c r="F1" s="50" t="s">
        <v>3</v>
      </c>
      <c r="G1" s="50" t="s">
        <v>45</v>
      </c>
      <c r="H1" s="50" t="s">
        <v>4</v>
      </c>
      <c r="I1" s="50" t="s">
        <v>43</v>
      </c>
      <c r="J1" s="50" t="s">
        <v>409</v>
      </c>
      <c r="K1" s="50" t="s">
        <v>273</v>
      </c>
      <c r="L1" s="50" t="s">
        <v>408</v>
      </c>
      <c r="M1" s="50" t="s">
        <v>325</v>
      </c>
      <c r="N1" s="183"/>
    </row>
    <row r="2" spans="1:14" s="4" customFormat="1" ht="15.75" x14ac:dyDescent="0.25">
      <c r="A2" s="45">
        <v>2021</v>
      </c>
      <c r="B2" s="45">
        <f t="shared" ref="B2:B37" si="0">A2-5</f>
        <v>2016</v>
      </c>
      <c r="C2" s="45" t="s">
        <v>1</v>
      </c>
      <c r="D2" s="45" t="s">
        <v>6</v>
      </c>
      <c r="E2" s="45" t="s">
        <v>2</v>
      </c>
      <c r="F2" s="181">
        <v>0.95</v>
      </c>
      <c r="G2" s="181">
        <v>0.05</v>
      </c>
      <c r="H2" s="181">
        <v>0.95</v>
      </c>
      <c r="I2" s="45">
        <v>375</v>
      </c>
      <c r="J2" s="47">
        <v>188.88888888888891</v>
      </c>
      <c r="K2" s="45">
        <v>0</v>
      </c>
      <c r="L2" s="234">
        <v>140</v>
      </c>
      <c r="M2" s="45">
        <v>750</v>
      </c>
      <c r="N2" s="184"/>
    </row>
    <row r="3" spans="1:14" s="4" customFormat="1" ht="15.75" x14ac:dyDescent="0.25">
      <c r="A3" s="45">
        <v>2025</v>
      </c>
      <c r="B3" s="180">
        <f>A3-5</f>
        <v>2020</v>
      </c>
      <c r="C3" s="45" t="s">
        <v>1</v>
      </c>
      <c r="D3" s="45" t="s">
        <v>6</v>
      </c>
      <c r="E3" s="45" t="s">
        <v>2</v>
      </c>
      <c r="F3" s="181">
        <v>0.95</v>
      </c>
      <c r="G3" s="181">
        <v>0.05</v>
      </c>
      <c r="H3" s="181">
        <v>0.95</v>
      </c>
      <c r="I3" s="45">
        <v>400</v>
      </c>
      <c r="J3" s="47">
        <v>244.44444444444443</v>
      </c>
      <c r="K3" s="45">
        <v>0</v>
      </c>
      <c r="L3" s="45">
        <v>95</v>
      </c>
      <c r="M3" s="45">
        <v>750</v>
      </c>
      <c r="N3" s="184"/>
    </row>
    <row r="4" spans="1:14" s="4" customFormat="1" ht="15.75" x14ac:dyDescent="0.25">
      <c r="A4" s="45">
        <v>2030</v>
      </c>
      <c r="B4" s="45">
        <f t="shared" si="0"/>
        <v>2025</v>
      </c>
      <c r="C4" s="45" t="s">
        <v>1</v>
      </c>
      <c r="D4" s="45" t="s">
        <v>6</v>
      </c>
      <c r="E4" s="45" t="s">
        <v>2</v>
      </c>
      <c r="F4" s="181">
        <v>0.95</v>
      </c>
      <c r="G4" s="181">
        <v>0.05</v>
      </c>
      <c r="H4" s="181">
        <v>0.95</v>
      </c>
      <c r="I4" s="45">
        <v>600</v>
      </c>
      <c r="J4" s="47">
        <v>300</v>
      </c>
      <c r="K4" s="45">
        <v>0</v>
      </c>
      <c r="L4" s="45">
        <v>75</v>
      </c>
      <c r="M4" s="45">
        <v>750</v>
      </c>
      <c r="N4" s="184"/>
    </row>
    <row r="5" spans="1:14" s="4" customFormat="1" ht="15.75" x14ac:dyDescent="0.25">
      <c r="A5" s="45">
        <v>2035</v>
      </c>
      <c r="B5" s="45">
        <f t="shared" si="0"/>
        <v>2030</v>
      </c>
      <c r="C5" s="45" t="s">
        <v>1</v>
      </c>
      <c r="D5" s="45" t="s">
        <v>6</v>
      </c>
      <c r="E5" s="45" t="s">
        <v>2</v>
      </c>
      <c r="F5" s="181">
        <v>0.97</v>
      </c>
      <c r="G5" s="181">
        <v>0.05</v>
      </c>
      <c r="H5" s="181">
        <v>0.97</v>
      </c>
      <c r="I5" s="45">
        <v>1250</v>
      </c>
      <c r="J5" s="47">
        <v>307.89473684210526</v>
      </c>
      <c r="K5" s="45">
        <v>0</v>
      </c>
      <c r="L5" s="45">
        <v>70</v>
      </c>
      <c r="M5" s="45">
        <v>750</v>
      </c>
      <c r="N5" s="184"/>
    </row>
    <row r="6" spans="1:14" s="4" customFormat="1" ht="15.75" x14ac:dyDescent="0.25">
      <c r="A6" s="45">
        <v>2040</v>
      </c>
      <c r="B6" s="45">
        <f t="shared" si="0"/>
        <v>2035</v>
      </c>
      <c r="C6" s="45" t="s">
        <v>1</v>
      </c>
      <c r="D6" s="45" t="s">
        <v>6</v>
      </c>
      <c r="E6" s="45" t="s">
        <v>2</v>
      </c>
      <c r="F6" s="181">
        <v>0.99</v>
      </c>
      <c r="G6" s="181">
        <v>0.04</v>
      </c>
      <c r="H6" s="181">
        <v>0.99</v>
      </c>
      <c r="I6" s="45">
        <v>2000</v>
      </c>
      <c r="J6" s="47">
        <v>315.78947368421052</v>
      </c>
      <c r="K6" s="45">
        <v>0</v>
      </c>
      <c r="L6" s="45">
        <v>65</v>
      </c>
      <c r="M6" s="45">
        <v>750</v>
      </c>
      <c r="N6" s="184"/>
    </row>
    <row r="7" spans="1:14" s="4" customFormat="1" ht="15.75" x14ac:dyDescent="0.25">
      <c r="A7" s="45">
        <v>2050</v>
      </c>
      <c r="B7" s="45">
        <f t="shared" si="0"/>
        <v>2045</v>
      </c>
      <c r="C7" s="45" t="s">
        <v>1</v>
      </c>
      <c r="D7" s="45" t="s">
        <v>6</v>
      </c>
      <c r="E7" s="45" t="s">
        <v>2</v>
      </c>
      <c r="F7" s="181">
        <v>0.99</v>
      </c>
      <c r="G7" s="181">
        <v>0.04</v>
      </c>
      <c r="H7" s="181">
        <v>0.99</v>
      </c>
      <c r="I7" s="45">
        <v>2000</v>
      </c>
      <c r="J7" s="47">
        <v>336.84210526315792</v>
      </c>
      <c r="K7" s="45">
        <v>0</v>
      </c>
      <c r="L7" s="45">
        <v>60</v>
      </c>
      <c r="M7" s="45">
        <v>750</v>
      </c>
      <c r="N7" s="184"/>
    </row>
    <row r="8" spans="1:14" s="4" customFormat="1" ht="15.75" x14ac:dyDescent="0.25">
      <c r="A8" s="45">
        <v>2021</v>
      </c>
      <c r="B8" s="45">
        <f t="shared" si="0"/>
        <v>2016</v>
      </c>
      <c r="C8" s="45" t="s">
        <v>0</v>
      </c>
      <c r="D8" s="45" t="s">
        <v>6</v>
      </c>
      <c r="E8" s="45" t="s">
        <v>2</v>
      </c>
      <c r="F8" s="181">
        <v>0.95</v>
      </c>
      <c r="G8" s="181">
        <v>0.05</v>
      </c>
      <c r="H8" s="181">
        <v>0.95</v>
      </c>
      <c r="I8" s="45">
        <v>375</v>
      </c>
      <c r="J8" s="47">
        <v>188.88888888888891</v>
      </c>
      <c r="K8" s="45">
        <v>0</v>
      </c>
      <c r="L8" s="234">
        <v>140</v>
      </c>
      <c r="M8" s="45">
        <v>750</v>
      </c>
      <c r="N8" s="184"/>
    </row>
    <row r="9" spans="1:14" s="4" customFormat="1" ht="15.75" x14ac:dyDescent="0.25">
      <c r="A9" s="45">
        <v>2025</v>
      </c>
      <c r="B9" s="180">
        <f>A9-5</f>
        <v>2020</v>
      </c>
      <c r="C9" s="45" t="s">
        <v>0</v>
      </c>
      <c r="D9" s="45" t="s">
        <v>6</v>
      </c>
      <c r="E9" s="45" t="s">
        <v>2</v>
      </c>
      <c r="F9" s="181">
        <v>0.95</v>
      </c>
      <c r="G9" s="181">
        <v>0.05</v>
      </c>
      <c r="H9" s="181">
        <v>0.95</v>
      </c>
      <c r="I9" s="45">
        <v>400</v>
      </c>
      <c r="J9" s="47">
        <v>188.88888888888891</v>
      </c>
      <c r="K9" s="45">
        <v>0</v>
      </c>
      <c r="L9" s="45">
        <v>128</v>
      </c>
      <c r="M9" s="45">
        <v>750</v>
      </c>
      <c r="N9" s="184"/>
    </row>
    <row r="10" spans="1:14" ht="15.75" x14ac:dyDescent="0.25">
      <c r="A10" s="45">
        <v>2030</v>
      </c>
      <c r="B10" s="45">
        <f t="shared" si="0"/>
        <v>2025</v>
      </c>
      <c r="C10" s="45" t="s">
        <v>0</v>
      </c>
      <c r="D10" s="45" t="s">
        <v>6</v>
      </c>
      <c r="E10" s="45" t="s">
        <v>2</v>
      </c>
      <c r="F10" s="181">
        <v>0.95</v>
      </c>
      <c r="G10" s="181">
        <v>0.05</v>
      </c>
      <c r="H10" s="181">
        <v>0.95</v>
      </c>
      <c r="I10" s="45">
        <v>550</v>
      </c>
      <c r="J10" s="47">
        <v>255.55555555555554</v>
      </c>
      <c r="K10" s="45">
        <v>0</v>
      </c>
      <c r="L10" s="45">
        <v>100</v>
      </c>
      <c r="M10" s="45">
        <v>750</v>
      </c>
      <c r="N10" s="184"/>
    </row>
    <row r="11" spans="1:14" ht="15.75" x14ac:dyDescent="0.25">
      <c r="A11" s="45">
        <v>2035</v>
      </c>
      <c r="B11" s="45">
        <f t="shared" si="0"/>
        <v>2030</v>
      </c>
      <c r="C11" s="45" t="s">
        <v>0</v>
      </c>
      <c r="D11" s="45" t="s">
        <v>6</v>
      </c>
      <c r="E11" s="45" t="s">
        <v>2</v>
      </c>
      <c r="F11" s="181">
        <v>0.97</v>
      </c>
      <c r="G11" s="181">
        <v>0.05</v>
      </c>
      <c r="H11" s="181">
        <v>0.97</v>
      </c>
      <c r="I11" s="45">
        <v>1000</v>
      </c>
      <c r="J11" s="47">
        <v>255.55555555555554</v>
      </c>
      <c r="K11" s="45">
        <v>0</v>
      </c>
      <c r="L11" s="45">
        <v>90</v>
      </c>
      <c r="M11" s="45">
        <v>750</v>
      </c>
      <c r="N11" s="184"/>
    </row>
    <row r="12" spans="1:14" s="4" customFormat="1" ht="15.75" x14ac:dyDescent="0.25">
      <c r="A12" s="45">
        <v>2040</v>
      </c>
      <c r="B12" s="180">
        <f>A12-5</f>
        <v>2035</v>
      </c>
      <c r="C12" s="45" t="s">
        <v>0</v>
      </c>
      <c r="D12" s="45" t="s">
        <v>6</v>
      </c>
      <c r="E12" s="45" t="s">
        <v>2</v>
      </c>
      <c r="F12" s="181">
        <v>0.99</v>
      </c>
      <c r="G12" s="181">
        <v>0.05</v>
      </c>
      <c r="H12" s="181">
        <v>0.99</v>
      </c>
      <c r="I12" s="45">
        <v>1200</v>
      </c>
      <c r="J12" s="47">
        <v>255.55555555555554</v>
      </c>
      <c r="K12" s="45">
        <v>0</v>
      </c>
      <c r="L12" s="45">
        <v>80</v>
      </c>
      <c r="M12" s="45">
        <v>750</v>
      </c>
      <c r="N12" s="184"/>
    </row>
    <row r="13" spans="1:14" ht="15.75" x14ac:dyDescent="0.25">
      <c r="A13" s="45">
        <v>2050</v>
      </c>
      <c r="B13" s="45">
        <f t="shared" si="0"/>
        <v>2045</v>
      </c>
      <c r="C13" s="45" t="s">
        <v>0</v>
      </c>
      <c r="D13" s="45" t="s">
        <v>6</v>
      </c>
      <c r="E13" s="45" t="s">
        <v>2</v>
      </c>
      <c r="F13" s="181">
        <v>0.99</v>
      </c>
      <c r="G13" s="181">
        <v>0.05</v>
      </c>
      <c r="H13" s="181">
        <v>0.99</v>
      </c>
      <c r="I13" s="121">
        <v>1400</v>
      </c>
      <c r="J13" s="47">
        <v>297.87234042553195</v>
      </c>
      <c r="K13" s="45">
        <v>0</v>
      </c>
      <c r="L13" s="45">
        <v>70</v>
      </c>
      <c r="M13" s="45">
        <v>750</v>
      </c>
      <c r="N13" s="184"/>
    </row>
    <row r="14" spans="1:14" ht="15.75" x14ac:dyDescent="0.25">
      <c r="A14" s="45">
        <v>2021</v>
      </c>
      <c r="B14" s="45">
        <f t="shared" si="0"/>
        <v>2016</v>
      </c>
      <c r="C14" s="45" t="s">
        <v>1</v>
      </c>
      <c r="D14" s="45" t="s">
        <v>47</v>
      </c>
      <c r="E14" s="45" t="s">
        <v>225</v>
      </c>
      <c r="F14" s="181">
        <v>0.75</v>
      </c>
      <c r="G14" s="181">
        <v>0.65</v>
      </c>
      <c r="H14" s="181">
        <v>0.7</v>
      </c>
      <c r="I14" s="45">
        <v>180</v>
      </c>
      <c r="J14" s="45">
        <v>5</v>
      </c>
      <c r="K14" s="46">
        <v>3.6666666666666667E-2</v>
      </c>
      <c r="L14" s="47">
        <v>611.11111111111109</v>
      </c>
      <c r="M14" s="47">
        <v>24</v>
      </c>
      <c r="N14" s="185"/>
    </row>
    <row r="15" spans="1:14" s="4" customFormat="1" ht="15.75" x14ac:dyDescent="0.25">
      <c r="A15" s="45">
        <v>2025</v>
      </c>
      <c r="B15" s="180">
        <f>A15-5</f>
        <v>2020</v>
      </c>
      <c r="C15" s="45" t="s">
        <v>1</v>
      </c>
      <c r="D15" s="45" t="s">
        <v>47</v>
      </c>
      <c r="E15" s="45" t="s">
        <v>225</v>
      </c>
      <c r="F15" s="181">
        <v>0.75</v>
      </c>
      <c r="G15" s="181">
        <v>0.65</v>
      </c>
      <c r="H15" s="181">
        <v>0.7</v>
      </c>
      <c r="I15" s="45">
        <v>180</v>
      </c>
      <c r="J15" s="45">
        <v>5</v>
      </c>
      <c r="K15" s="46">
        <v>3.6666666666666667E-2</v>
      </c>
      <c r="L15" s="47">
        <v>611.11111111111109</v>
      </c>
      <c r="M15" s="47">
        <v>24</v>
      </c>
      <c r="N15" s="185"/>
    </row>
    <row r="16" spans="1:14" ht="15.75" x14ac:dyDescent="0.25">
      <c r="A16" s="45">
        <v>2030</v>
      </c>
      <c r="B16" s="45">
        <f t="shared" si="0"/>
        <v>2025</v>
      </c>
      <c r="C16" s="45" t="s">
        <v>1</v>
      </c>
      <c r="D16" s="45" t="s">
        <v>47</v>
      </c>
      <c r="E16" s="45" t="s">
        <v>225</v>
      </c>
      <c r="F16" s="181">
        <v>0.75</v>
      </c>
      <c r="G16" s="181">
        <v>0.65</v>
      </c>
      <c r="H16" s="181">
        <v>0.7</v>
      </c>
      <c r="I16" s="45">
        <v>180</v>
      </c>
      <c r="J16" s="45">
        <v>5</v>
      </c>
      <c r="K16" s="46">
        <v>3.6666666666666667E-2</v>
      </c>
      <c r="L16" s="47">
        <v>611.11111111111109</v>
      </c>
      <c r="M16" s="47">
        <v>24</v>
      </c>
      <c r="N16" s="185"/>
    </row>
    <row r="17" spans="1:14" ht="15.75" x14ac:dyDescent="0.25">
      <c r="A17" s="45">
        <v>2035</v>
      </c>
      <c r="B17" s="45">
        <f t="shared" si="0"/>
        <v>2030</v>
      </c>
      <c r="C17" s="45" t="s">
        <v>1</v>
      </c>
      <c r="D17" s="45" t="s">
        <v>47</v>
      </c>
      <c r="E17" s="45" t="s">
        <v>225</v>
      </c>
      <c r="F17" s="181">
        <v>0.75</v>
      </c>
      <c r="G17" s="181">
        <v>0.65</v>
      </c>
      <c r="H17" s="181">
        <v>0.7</v>
      </c>
      <c r="I17" s="45">
        <v>180</v>
      </c>
      <c r="J17" s="45">
        <v>5</v>
      </c>
      <c r="K17" s="46">
        <v>3.6666666666666667E-2</v>
      </c>
      <c r="L17" s="47">
        <v>611.11111111111109</v>
      </c>
      <c r="M17" s="47">
        <v>24</v>
      </c>
      <c r="N17" s="185"/>
    </row>
    <row r="18" spans="1:14" s="4" customFormat="1" ht="15.75" x14ac:dyDescent="0.25">
      <c r="A18" s="45">
        <v>2040</v>
      </c>
      <c r="B18" s="180">
        <f>A18-5</f>
        <v>2035</v>
      </c>
      <c r="C18" s="45" t="s">
        <v>1</v>
      </c>
      <c r="D18" s="45" t="s">
        <v>47</v>
      </c>
      <c r="E18" s="45" t="s">
        <v>225</v>
      </c>
      <c r="F18" s="181">
        <v>0.75</v>
      </c>
      <c r="G18" s="181">
        <v>0.65</v>
      </c>
      <c r="H18" s="181">
        <v>0.7</v>
      </c>
      <c r="I18" s="45">
        <v>180</v>
      </c>
      <c r="J18" s="45">
        <v>5</v>
      </c>
      <c r="K18" s="46">
        <v>3.6666666666666667E-2</v>
      </c>
      <c r="L18" s="47">
        <v>611.11111111111109</v>
      </c>
      <c r="M18" s="47">
        <v>24</v>
      </c>
      <c r="N18" s="185"/>
    </row>
    <row r="19" spans="1:14" ht="15.75" x14ac:dyDescent="0.25">
      <c r="A19" s="45">
        <v>2050</v>
      </c>
      <c r="B19" s="45">
        <f t="shared" si="0"/>
        <v>2045</v>
      </c>
      <c r="C19" s="45" t="s">
        <v>1</v>
      </c>
      <c r="D19" s="45" t="s">
        <v>47</v>
      </c>
      <c r="E19" s="45" t="s">
        <v>225</v>
      </c>
      <c r="F19" s="181">
        <v>0.75</v>
      </c>
      <c r="G19" s="181">
        <v>0.65</v>
      </c>
      <c r="H19" s="181">
        <v>0.7</v>
      </c>
      <c r="I19" s="45">
        <v>180</v>
      </c>
      <c r="J19" s="45">
        <v>5</v>
      </c>
      <c r="K19" s="46">
        <v>3.6666666666666667E-2</v>
      </c>
      <c r="L19" s="47">
        <v>611.11111111111109</v>
      </c>
      <c r="M19" s="47">
        <v>24</v>
      </c>
      <c r="N19" s="185"/>
    </row>
    <row r="20" spans="1:14" s="2" customFormat="1" ht="15.75" x14ac:dyDescent="0.25">
      <c r="A20" s="45">
        <v>2021</v>
      </c>
      <c r="B20" s="45">
        <f t="shared" si="0"/>
        <v>2016</v>
      </c>
      <c r="C20" s="45" t="s">
        <v>0</v>
      </c>
      <c r="D20" s="45" t="s">
        <v>47</v>
      </c>
      <c r="E20" s="45" t="s">
        <v>225</v>
      </c>
      <c r="F20" s="181">
        <v>0.75</v>
      </c>
      <c r="G20" s="181">
        <v>0.65</v>
      </c>
      <c r="H20" s="181">
        <v>0.7</v>
      </c>
      <c r="I20" s="45">
        <v>180</v>
      </c>
      <c r="J20" s="45">
        <v>5</v>
      </c>
      <c r="K20" s="46">
        <v>3.6666666666666667E-2</v>
      </c>
      <c r="L20" s="47">
        <v>611.11111111111109</v>
      </c>
      <c r="M20" s="47">
        <v>24</v>
      </c>
      <c r="N20" s="185"/>
    </row>
    <row r="21" spans="1:14" s="4" customFormat="1" ht="15.75" x14ac:dyDescent="0.25">
      <c r="A21" s="45">
        <v>2025</v>
      </c>
      <c r="B21" s="180">
        <f>A21-5</f>
        <v>2020</v>
      </c>
      <c r="C21" s="45" t="s">
        <v>0</v>
      </c>
      <c r="D21" s="45" t="s">
        <v>47</v>
      </c>
      <c r="E21" s="45" t="s">
        <v>225</v>
      </c>
      <c r="F21" s="181">
        <v>0.75</v>
      </c>
      <c r="G21" s="181">
        <v>0.65</v>
      </c>
      <c r="H21" s="181">
        <v>0.7</v>
      </c>
      <c r="I21" s="45">
        <v>180</v>
      </c>
      <c r="J21" s="45">
        <v>5</v>
      </c>
      <c r="K21" s="46">
        <v>3.6666666666666667E-2</v>
      </c>
      <c r="L21" s="47">
        <v>611.11111111111109</v>
      </c>
      <c r="M21" s="47">
        <v>24</v>
      </c>
      <c r="N21" s="185"/>
    </row>
    <row r="22" spans="1:14" s="2" customFormat="1" ht="15.75" x14ac:dyDescent="0.25">
      <c r="A22" s="45">
        <v>2030</v>
      </c>
      <c r="B22" s="45">
        <f t="shared" si="0"/>
        <v>2025</v>
      </c>
      <c r="C22" s="45" t="s">
        <v>0</v>
      </c>
      <c r="D22" s="45" t="s">
        <v>47</v>
      </c>
      <c r="E22" s="45" t="s">
        <v>225</v>
      </c>
      <c r="F22" s="181">
        <v>0.75</v>
      </c>
      <c r="G22" s="181">
        <v>0.65</v>
      </c>
      <c r="H22" s="181">
        <v>0.7</v>
      </c>
      <c r="I22" s="45">
        <v>180</v>
      </c>
      <c r="J22" s="45">
        <v>5</v>
      </c>
      <c r="K22" s="46">
        <v>3.6666666666666667E-2</v>
      </c>
      <c r="L22" s="47">
        <v>611.11111111111109</v>
      </c>
      <c r="M22" s="47">
        <v>24</v>
      </c>
      <c r="N22" s="185"/>
    </row>
    <row r="23" spans="1:14" ht="15.75" x14ac:dyDescent="0.25">
      <c r="A23" s="45">
        <v>2035</v>
      </c>
      <c r="B23" s="45">
        <f t="shared" si="0"/>
        <v>2030</v>
      </c>
      <c r="C23" s="45" t="s">
        <v>0</v>
      </c>
      <c r="D23" s="45" t="s">
        <v>47</v>
      </c>
      <c r="E23" s="45" t="s">
        <v>225</v>
      </c>
      <c r="F23" s="181">
        <v>0.75</v>
      </c>
      <c r="G23" s="181">
        <v>0.65</v>
      </c>
      <c r="H23" s="181">
        <v>0.7</v>
      </c>
      <c r="I23" s="45">
        <v>180</v>
      </c>
      <c r="J23" s="45">
        <v>5</v>
      </c>
      <c r="K23" s="46">
        <v>3.6666666666666667E-2</v>
      </c>
      <c r="L23" s="47">
        <v>611.11111111111109</v>
      </c>
      <c r="M23" s="47">
        <v>24</v>
      </c>
      <c r="N23" s="185"/>
    </row>
    <row r="24" spans="1:14" s="4" customFormat="1" ht="15.75" x14ac:dyDescent="0.25">
      <c r="A24" s="45">
        <v>2040</v>
      </c>
      <c r="B24" s="180">
        <f>A24-5</f>
        <v>2035</v>
      </c>
      <c r="C24" s="45" t="s">
        <v>0</v>
      </c>
      <c r="D24" s="45" t="s">
        <v>47</v>
      </c>
      <c r="E24" s="45" t="s">
        <v>225</v>
      </c>
      <c r="F24" s="181">
        <v>0.75</v>
      </c>
      <c r="G24" s="181">
        <v>0.65</v>
      </c>
      <c r="H24" s="181">
        <v>0.7</v>
      </c>
      <c r="I24" s="45">
        <v>180</v>
      </c>
      <c r="J24" s="45">
        <v>5</v>
      </c>
      <c r="K24" s="46">
        <v>3.6666666666666667E-2</v>
      </c>
      <c r="L24" s="47">
        <v>611.11111111111109</v>
      </c>
      <c r="M24" s="47">
        <v>24</v>
      </c>
      <c r="N24" s="185"/>
    </row>
    <row r="25" spans="1:14" s="2" customFormat="1" ht="15.75" x14ac:dyDescent="0.25">
      <c r="A25" s="45">
        <v>2050</v>
      </c>
      <c r="B25" s="45">
        <f t="shared" si="0"/>
        <v>2045</v>
      </c>
      <c r="C25" s="45" t="s">
        <v>0</v>
      </c>
      <c r="D25" s="45" t="s">
        <v>47</v>
      </c>
      <c r="E25" s="45" t="s">
        <v>225</v>
      </c>
      <c r="F25" s="181">
        <v>0.75</v>
      </c>
      <c r="G25" s="181">
        <v>0.65</v>
      </c>
      <c r="H25" s="181">
        <v>0.7</v>
      </c>
      <c r="I25" s="45">
        <v>180</v>
      </c>
      <c r="J25" s="45">
        <v>5</v>
      </c>
      <c r="K25" s="46">
        <v>3.6666666666666667E-2</v>
      </c>
      <c r="L25" s="47">
        <v>611.11111111111109</v>
      </c>
      <c r="M25" s="47">
        <v>24</v>
      </c>
      <c r="N25" s="185"/>
    </row>
    <row r="26" spans="1:14" s="4" customFormat="1" ht="15.75" x14ac:dyDescent="0.25">
      <c r="A26" s="51">
        <v>2021</v>
      </c>
      <c r="B26" s="51">
        <f t="shared" si="0"/>
        <v>2016</v>
      </c>
      <c r="C26" s="51" t="s">
        <v>1</v>
      </c>
      <c r="D26" s="51" t="s">
        <v>201</v>
      </c>
      <c r="E26" s="51" t="s">
        <v>2</v>
      </c>
      <c r="F26" s="187">
        <v>0.7</v>
      </c>
      <c r="G26" s="187">
        <v>0.5</v>
      </c>
      <c r="H26" s="181">
        <f>AVERAGE(F26,G26)</f>
        <v>0.6</v>
      </c>
      <c r="I26" s="45">
        <v>2750</v>
      </c>
      <c r="J26" s="51">
        <v>92</v>
      </c>
      <c r="K26" s="45">
        <v>20</v>
      </c>
      <c r="L26" s="45">
        <v>320</v>
      </c>
      <c r="M26" s="51">
        <v>300</v>
      </c>
      <c r="N26" s="186"/>
    </row>
    <row r="27" spans="1:14" s="4" customFormat="1" ht="15.75" x14ac:dyDescent="0.25">
      <c r="A27" s="45">
        <v>2025</v>
      </c>
      <c r="B27" s="180">
        <f>A27-5</f>
        <v>2020</v>
      </c>
      <c r="C27" s="51" t="s">
        <v>1</v>
      </c>
      <c r="D27" s="51" t="s">
        <v>201</v>
      </c>
      <c r="E27" s="121" t="s">
        <v>2</v>
      </c>
      <c r="F27" s="187">
        <v>0.8</v>
      </c>
      <c r="G27" s="187">
        <v>0.4</v>
      </c>
      <c r="H27" s="181">
        <f t="shared" ref="H27:H37" si="1">AVERAGE(F27,G27)</f>
        <v>0.60000000000000009</v>
      </c>
      <c r="I27" s="45">
        <v>4000</v>
      </c>
      <c r="J27" s="45">
        <v>97</v>
      </c>
      <c r="K27" s="45">
        <v>16</v>
      </c>
      <c r="L27" s="45">
        <v>250</v>
      </c>
      <c r="M27" s="51">
        <v>300</v>
      </c>
      <c r="N27" s="186"/>
    </row>
    <row r="28" spans="1:14" s="4" customFormat="1" ht="15.75" x14ac:dyDescent="0.25">
      <c r="A28" s="51">
        <v>2030</v>
      </c>
      <c r="B28" s="51">
        <f t="shared" si="0"/>
        <v>2025</v>
      </c>
      <c r="C28" s="51" t="s">
        <v>1</v>
      </c>
      <c r="D28" s="51" t="s">
        <v>201</v>
      </c>
      <c r="E28" s="121" t="s">
        <v>2</v>
      </c>
      <c r="F28" s="187">
        <v>0.8</v>
      </c>
      <c r="G28" s="187">
        <v>0.2</v>
      </c>
      <c r="H28" s="181">
        <f t="shared" si="1"/>
        <v>0.5</v>
      </c>
      <c r="I28" s="45">
        <v>5000</v>
      </c>
      <c r="J28" s="51">
        <v>103</v>
      </c>
      <c r="K28" s="45">
        <v>15</v>
      </c>
      <c r="L28" s="45">
        <v>175</v>
      </c>
      <c r="M28" s="51">
        <v>300</v>
      </c>
      <c r="N28" s="186"/>
    </row>
    <row r="29" spans="1:14" s="4" customFormat="1" ht="15.75" x14ac:dyDescent="0.25">
      <c r="A29" s="51">
        <v>2035</v>
      </c>
      <c r="B29" s="51">
        <f t="shared" si="0"/>
        <v>2030</v>
      </c>
      <c r="C29" s="51" t="s">
        <v>1</v>
      </c>
      <c r="D29" s="51" t="s">
        <v>201</v>
      </c>
      <c r="E29" s="121" t="s">
        <v>2</v>
      </c>
      <c r="F29" s="181">
        <v>0.9</v>
      </c>
      <c r="G29" s="181">
        <v>0.1</v>
      </c>
      <c r="H29" s="181">
        <f t="shared" si="1"/>
        <v>0.5</v>
      </c>
      <c r="I29" s="45">
        <v>5500</v>
      </c>
      <c r="J29" s="51">
        <v>119</v>
      </c>
      <c r="K29" s="45">
        <v>14</v>
      </c>
      <c r="L29" s="45">
        <v>140</v>
      </c>
      <c r="M29" s="51">
        <v>300</v>
      </c>
      <c r="N29" s="186"/>
    </row>
    <row r="30" spans="1:14" s="4" customFormat="1" ht="15.75" x14ac:dyDescent="0.25">
      <c r="A30" s="45">
        <v>2040</v>
      </c>
      <c r="B30" s="180">
        <f>A30-5</f>
        <v>2035</v>
      </c>
      <c r="C30" s="51" t="s">
        <v>1</v>
      </c>
      <c r="D30" s="51" t="s">
        <v>201</v>
      </c>
      <c r="E30" s="121" t="s">
        <v>2</v>
      </c>
      <c r="F30" s="181">
        <v>0.93</v>
      </c>
      <c r="G30" s="181">
        <v>7.0000000000000007E-2</v>
      </c>
      <c r="H30" s="181">
        <f t="shared" si="1"/>
        <v>0.5</v>
      </c>
      <c r="I30" s="45">
        <v>5750</v>
      </c>
      <c r="J30" s="45">
        <v>140</v>
      </c>
      <c r="K30" s="45">
        <v>13.5</v>
      </c>
      <c r="L30" s="45">
        <v>120</v>
      </c>
      <c r="M30" s="51">
        <v>300</v>
      </c>
      <c r="N30" s="186"/>
    </row>
    <row r="31" spans="1:14" s="4" customFormat="1" ht="15.75" x14ac:dyDescent="0.25">
      <c r="A31" s="51">
        <v>2050</v>
      </c>
      <c r="B31" s="51">
        <f t="shared" si="0"/>
        <v>2045</v>
      </c>
      <c r="C31" s="51" t="s">
        <v>1</v>
      </c>
      <c r="D31" s="51" t="s">
        <v>201</v>
      </c>
      <c r="E31" s="121" t="s">
        <v>2</v>
      </c>
      <c r="F31" s="181">
        <v>0.95</v>
      </c>
      <c r="G31" s="181">
        <v>0.05</v>
      </c>
      <c r="H31" s="181">
        <f t="shared" si="1"/>
        <v>0.5</v>
      </c>
      <c r="I31" s="45">
        <v>6000</v>
      </c>
      <c r="J31" s="51">
        <v>160</v>
      </c>
      <c r="K31" s="45">
        <v>13</v>
      </c>
      <c r="L31" s="45">
        <v>100</v>
      </c>
      <c r="M31" s="51">
        <v>300</v>
      </c>
      <c r="N31" s="186"/>
    </row>
    <row r="32" spans="1:14" s="4" customFormat="1" ht="15.75" x14ac:dyDescent="0.25">
      <c r="A32" s="51">
        <v>2021</v>
      </c>
      <c r="B32" s="51">
        <f t="shared" si="0"/>
        <v>2016</v>
      </c>
      <c r="C32" s="51" t="s">
        <v>0</v>
      </c>
      <c r="D32" s="51" t="s">
        <v>201</v>
      </c>
      <c r="E32" s="121" t="s">
        <v>2</v>
      </c>
      <c r="F32" s="181">
        <v>0.7</v>
      </c>
      <c r="G32" s="181">
        <v>0.5</v>
      </c>
      <c r="H32" s="181">
        <f t="shared" si="1"/>
        <v>0.6</v>
      </c>
      <c r="I32" s="45">
        <v>2750</v>
      </c>
      <c r="J32" s="51">
        <v>80</v>
      </c>
      <c r="K32" s="45">
        <v>20</v>
      </c>
      <c r="L32" s="45">
        <v>320</v>
      </c>
      <c r="M32" s="51">
        <v>300</v>
      </c>
      <c r="N32" s="186"/>
    </row>
    <row r="33" spans="1:14" s="4" customFormat="1" ht="15.75" x14ac:dyDescent="0.25">
      <c r="A33" s="51">
        <v>2025</v>
      </c>
      <c r="B33" s="51">
        <f t="shared" si="0"/>
        <v>2020</v>
      </c>
      <c r="C33" s="51" t="s">
        <v>0</v>
      </c>
      <c r="D33" s="51" t="s">
        <v>201</v>
      </c>
      <c r="E33" s="121" t="s">
        <v>2</v>
      </c>
      <c r="F33" s="187">
        <v>0.7</v>
      </c>
      <c r="G33" s="187">
        <v>0.5</v>
      </c>
      <c r="H33" s="181">
        <f t="shared" si="1"/>
        <v>0.6</v>
      </c>
      <c r="I33" s="45">
        <v>3000</v>
      </c>
      <c r="J33" s="51">
        <v>92</v>
      </c>
      <c r="K33" s="45">
        <v>20</v>
      </c>
      <c r="L33" s="45">
        <v>302</v>
      </c>
      <c r="M33" s="51">
        <v>300</v>
      </c>
      <c r="N33" s="186"/>
    </row>
    <row r="34" spans="1:14" s="8" customFormat="1" ht="15.75" x14ac:dyDescent="0.25">
      <c r="A34" s="51">
        <v>2030</v>
      </c>
      <c r="B34" s="51">
        <f t="shared" si="0"/>
        <v>2025</v>
      </c>
      <c r="C34" s="51" t="s">
        <v>0</v>
      </c>
      <c r="D34" s="51" t="s">
        <v>201</v>
      </c>
      <c r="E34" s="121" t="s">
        <v>2</v>
      </c>
      <c r="F34" s="187">
        <v>0.8</v>
      </c>
      <c r="G34" s="187">
        <v>0.4</v>
      </c>
      <c r="H34" s="181">
        <f t="shared" si="1"/>
        <v>0.60000000000000009</v>
      </c>
      <c r="I34" s="45">
        <v>4000</v>
      </c>
      <c r="J34" s="51">
        <v>100</v>
      </c>
      <c r="K34" s="45">
        <v>19</v>
      </c>
      <c r="L34" s="45">
        <v>225</v>
      </c>
      <c r="M34" s="51">
        <v>300</v>
      </c>
      <c r="N34" s="186"/>
    </row>
    <row r="35" spans="1:14" s="4" customFormat="1" ht="15.75" x14ac:dyDescent="0.25">
      <c r="A35" s="51">
        <v>2035</v>
      </c>
      <c r="B35" s="51">
        <f t="shared" si="0"/>
        <v>2030</v>
      </c>
      <c r="C35" s="51" t="s">
        <v>0</v>
      </c>
      <c r="D35" s="51" t="s">
        <v>201</v>
      </c>
      <c r="E35" s="121" t="s">
        <v>2</v>
      </c>
      <c r="F35" s="181">
        <v>0.8</v>
      </c>
      <c r="G35" s="181">
        <v>0.2</v>
      </c>
      <c r="H35" s="181">
        <f t="shared" si="1"/>
        <v>0.5</v>
      </c>
      <c r="I35" s="45">
        <v>4500</v>
      </c>
      <c r="J35" s="51">
        <v>110</v>
      </c>
      <c r="K35" s="45">
        <v>18</v>
      </c>
      <c r="L35" s="45">
        <v>170</v>
      </c>
      <c r="M35" s="51">
        <v>300</v>
      </c>
      <c r="N35" s="186"/>
    </row>
    <row r="36" spans="1:14" s="4" customFormat="1" ht="15.75" x14ac:dyDescent="0.25">
      <c r="A36" s="45">
        <v>2040</v>
      </c>
      <c r="B36" s="180">
        <f>A36-5</f>
        <v>2035</v>
      </c>
      <c r="C36" s="51" t="s">
        <v>0</v>
      </c>
      <c r="D36" s="51" t="s">
        <v>201</v>
      </c>
      <c r="E36" s="121" t="s">
        <v>2</v>
      </c>
      <c r="F36" s="181">
        <v>0.83</v>
      </c>
      <c r="G36" s="181">
        <v>0.17</v>
      </c>
      <c r="H36" s="181">
        <f t="shared" si="1"/>
        <v>0.5</v>
      </c>
      <c r="I36" s="45">
        <v>4750</v>
      </c>
      <c r="J36" s="45">
        <v>120</v>
      </c>
      <c r="K36" s="45">
        <v>17.5</v>
      </c>
      <c r="L36" s="45">
        <v>135</v>
      </c>
      <c r="M36" s="45">
        <v>300</v>
      </c>
      <c r="N36" s="186"/>
    </row>
    <row r="37" spans="1:14" s="4" customFormat="1" ht="15.75" x14ac:dyDescent="0.25">
      <c r="A37" s="51">
        <v>2050</v>
      </c>
      <c r="B37" s="51">
        <f t="shared" si="0"/>
        <v>2045</v>
      </c>
      <c r="C37" s="51" t="s">
        <v>0</v>
      </c>
      <c r="D37" s="51" t="s">
        <v>201</v>
      </c>
      <c r="E37" s="121" t="s">
        <v>2</v>
      </c>
      <c r="F37" s="181">
        <v>0.85</v>
      </c>
      <c r="G37" s="181">
        <v>0.15</v>
      </c>
      <c r="H37" s="181">
        <f t="shared" si="1"/>
        <v>0.5</v>
      </c>
      <c r="I37" s="45">
        <v>5000</v>
      </c>
      <c r="J37" s="51">
        <v>130</v>
      </c>
      <c r="K37" s="45">
        <v>17</v>
      </c>
      <c r="L37" s="45">
        <v>125</v>
      </c>
      <c r="M37" s="51">
        <v>300</v>
      </c>
      <c r="N37" s="186"/>
    </row>
    <row r="38" spans="1:14" s="4" customFormat="1" ht="15.75" x14ac:dyDescent="0.25">
      <c r="A38" s="45">
        <v>2021</v>
      </c>
      <c r="B38" s="45">
        <f t="shared" ref="B38" si="2">A38-5</f>
        <v>2016</v>
      </c>
      <c r="C38" s="45" t="s">
        <v>1</v>
      </c>
      <c r="D38" s="45" t="s">
        <v>260</v>
      </c>
      <c r="E38" s="121" t="s">
        <v>2</v>
      </c>
      <c r="F38" s="181">
        <v>0.95</v>
      </c>
      <c r="G38" s="181">
        <v>0.05</v>
      </c>
      <c r="H38" s="181">
        <v>0.95</v>
      </c>
      <c r="I38" s="45">
        <v>375</v>
      </c>
      <c r="J38" s="47">
        <v>188.88888888888891</v>
      </c>
      <c r="K38" s="45">
        <v>0</v>
      </c>
      <c r="L38" s="234">
        <v>140</v>
      </c>
      <c r="M38" s="45">
        <v>750</v>
      </c>
      <c r="N38" s="184"/>
    </row>
    <row r="39" spans="1:14" s="4" customFormat="1" ht="15.75" x14ac:dyDescent="0.25">
      <c r="A39" s="45">
        <v>2025</v>
      </c>
      <c r="B39" s="180">
        <f>A39-5</f>
        <v>2020</v>
      </c>
      <c r="C39" s="45" t="s">
        <v>1</v>
      </c>
      <c r="D39" s="45" t="s">
        <v>260</v>
      </c>
      <c r="E39" s="121" t="s">
        <v>2</v>
      </c>
      <c r="F39" s="181">
        <v>0.95</v>
      </c>
      <c r="G39" s="181">
        <v>0.05</v>
      </c>
      <c r="H39" s="181">
        <v>0.95</v>
      </c>
      <c r="I39" s="45">
        <v>400</v>
      </c>
      <c r="J39" s="47">
        <v>244.44444444444443</v>
      </c>
      <c r="K39" s="45">
        <v>0</v>
      </c>
      <c r="L39" s="45">
        <v>95</v>
      </c>
      <c r="M39" s="45">
        <v>750</v>
      </c>
      <c r="N39" s="184"/>
    </row>
    <row r="40" spans="1:14" s="4" customFormat="1" ht="15.75" x14ac:dyDescent="0.25">
      <c r="A40" s="45">
        <v>2030</v>
      </c>
      <c r="B40" s="45">
        <f t="shared" ref="B40:B44" si="3">A40-5</f>
        <v>2025</v>
      </c>
      <c r="C40" s="45" t="s">
        <v>1</v>
      </c>
      <c r="D40" s="45" t="s">
        <v>260</v>
      </c>
      <c r="E40" s="121" t="s">
        <v>2</v>
      </c>
      <c r="F40" s="181">
        <v>0.95</v>
      </c>
      <c r="G40" s="181">
        <v>0.05</v>
      </c>
      <c r="H40" s="181">
        <v>0.95</v>
      </c>
      <c r="I40" s="45">
        <v>600</v>
      </c>
      <c r="J40" s="47">
        <v>300</v>
      </c>
      <c r="K40" s="45">
        <v>0</v>
      </c>
      <c r="L40" s="45">
        <v>75</v>
      </c>
      <c r="M40" s="45">
        <v>750</v>
      </c>
      <c r="N40" s="184"/>
    </row>
    <row r="41" spans="1:14" s="4" customFormat="1" ht="15.75" x14ac:dyDescent="0.25">
      <c r="A41" s="45">
        <v>2035</v>
      </c>
      <c r="B41" s="45">
        <f t="shared" si="3"/>
        <v>2030</v>
      </c>
      <c r="C41" s="45" t="s">
        <v>1</v>
      </c>
      <c r="D41" s="45" t="s">
        <v>260</v>
      </c>
      <c r="E41" s="121" t="s">
        <v>2</v>
      </c>
      <c r="F41" s="181">
        <v>0.97</v>
      </c>
      <c r="G41" s="181">
        <v>0.05</v>
      </c>
      <c r="H41" s="181">
        <v>0.97</v>
      </c>
      <c r="I41" s="45">
        <v>1250</v>
      </c>
      <c r="J41" s="47">
        <v>307.89473684210526</v>
      </c>
      <c r="K41" s="45">
        <v>0</v>
      </c>
      <c r="L41" s="45">
        <v>70</v>
      </c>
      <c r="M41" s="45">
        <v>750</v>
      </c>
      <c r="N41" s="184"/>
    </row>
    <row r="42" spans="1:14" s="4" customFormat="1" ht="15.75" x14ac:dyDescent="0.25">
      <c r="A42" s="45">
        <v>2040</v>
      </c>
      <c r="B42" s="45">
        <f t="shared" si="3"/>
        <v>2035</v>
      </c>
      <c r="C42" s="45" t="s">
        <v>1</v>
      </c>
      <c r="D42" s="45" t="s">
        <v>260</v>
      </c>
      <c r="E42" s="121" t="s">
        <v>2</v>
      </c>
      <c r="F42" s="181">
        <v>0.99</v>
      </c>
      <c r="G42" s="181">
        <v>0.04</v>
      </c>
      <c r="H42" s="181">
        <v>0.99</v>
      </c>
      <c r="I42" s="45">
        <v>2000</v>
      </c>
      <c r="J42" s="47">
        <v>315.78947368421052</v>
      </c>
      <c r="K42" s="45">
        <v>0</v>
      </c>
      <c r="L42" s="45">
        <v>65</v>
      </c>
      <c r="M42" s="45">
        <v>750</v>
      </c>
      <c r="N42" s="184"/>
    </row>
    <row r="43" spans="1:14" s="4" customFormat="1" ht="15.75" x14ac:dyDescent="0.25">
      <c r="A43" s="45">
        <v>2050</v>
      </c>
      <c r="B43" s="45">
        <f t="shared" si="3"/>
        <v>2045</v>
      </c>
      <c r="C43" s="45" t="s">
        <v>1</v>
      </c>
      <c r="D43" s="45" t="s">
        <v>260</v>
      </c>
      <c r="E43" s="121" t="s">
        <v>2</v>
      </c>
      <c r="F43" s="181">
        <v>0.99</v>
      </c>
      <c r="G43" s="181">
        <v>0.04</v>
      </c>
      <c r="H43" s="181">
        <v>0.99</v>
      </c>
      <c r="I43" s="45">
        <v>2000</v>
      </c>
      <c r="J43" s="47">
        <v>336.84210526315792</v>
      </c>
      <c r="K43" s="45">
        <v>0</v>
      </c>
      <c r="L43" s="45">
        <v>60</v>
      </c>
      <c r="M43" s="45">
        <v>750</v>
      </c>
      <c r="N43" s="184"/>
    </row>
    <row r="44" spans="1:14" s="4" customFormat="1" ht="15.75" x14ac:dyDescent="0.25">
      <c r="A44" s="45">
        <v>2021</v>
      </c>
      <c r="B44" s="45">
        <f t="shared" si="3"/>
        <v>2016</v>
      </c>
      <c r="C44" s="45" t="s">
        <v>0</v>
      </c>
      <c r="D44" s="45" t="s">
        <v>260</v>
      </c>
      <c r="E44" s="121" t="s">
        <v>2</v>
      </c>
      <c r="F44" s="181">
        <v>0.95</v>
      </c>
      <c r="G44" s="181">
        <v>0.05</v>
      </c>
      <c r="H44" s="181">
        <v>0.95</v>
      </c>
      <c r="I44" s="45">
        <v>375</v>
      </c>
      <c r="J44" s="47">
        <v>188.88888888888891</v>
      </c>
      <c r="K44" s="45">
        <v>0</v>
      </c>
      <c r="L44" s="234">
        <v>140</v>
      </c>
      <c r="M44" s="45">
        <v>750</v>
      </c>
      <c r="N44" s="184"/>
    </row>
    <row r="45" spans="1:14" s="4" customFormat="1" ht="15.75" x14ac:dyDescent="0.25">
      <c r="A45" s="45">
        <v>2025</v>
      </c>
      <c r="B45" s="180">
        <f>A45-5</f>
        <v>2020</v>
      </c>
      <c r="C45" s="45" t="s">
        <v>0</v>
      </c>
      <c r="D45" s="45" t="s">
        <v>260</v>
      </c>
      <c r="E45" s="121" t="s">
        <v>2</v>
      </c>
      <c r="F45" s="181">
        <v>0.95</v>
      </c>
      <c r="G45" s="181">
        <v>0.05</v>
      </c>
      <c r="H45" s="181">
        <v>0.95</v>
      </c>
      <c r="I45" s="45">
        <v>400</v>
      </c>
      <c r="J45" s="47">
        <v>188.88888888888891</v>
      </c>
      <c r="K45" s="45">
        <v>0</v>
      </c>
      <c r="L45" s="45">
        <v>128</v>
      </c>
      <c r="M45" s="45">
        <v>750</v>
      </c>
      <c r="N45" s="184"/>
    </row>
    <row r="46" spans="1:14" s="4" customFormat="1" ht="15.75" x14ac:dyDescent="0.25">
      <c r="A46" s="45">
        <v>2030</v>
      </c>
      <c r="B46" s="45">
        <f t="shared" ref="B46:B47" si="4">A46-5</f>
        <v>2025</v>
      </c>
      <c r="C46" s="45" t="s">
        <v>0</v>
      </c>
      <c r="D46" s="45" t="s">
        <v>260</v>
      </c>
      <c r="E46" s="121" t="s">
        <v>2</v>
      </c>
      <c r="F46" s="181">
        <v>0.95</v>
      </c>
      <c r="G46" s="181">
        <v>0.05</v>
      </c>
      <c r="H46" s="181">
        <v>0.95</v>
      </c>
      <c r="I46" s="45">
        <v>550</v>
      </c>
      <c r="J46" s="47">
        <v>255.55555555555554</v>
      </c>
      <c r="K46" s="45">
        <v>0</v>
      </c>
      <c r="L46" s="45">
        <v>100</v>
      </c>
      <c r="M46" s="45">
        <v>750</v>
      </c>
      <c r="N46" s="184"/>
    </row>
    <row r="47" spans="1:14" s="4" customFormat="1" ht="15.75" x14ac:dyDescent="0.25">
      <c r="A47" s="45">
        <v>2035</v>
      </c>
      <c r="B47" s="45">
        <f t="shared" si="4"/>
        <v>2030</v>
      </c>
      <c r="C47" s="45" t="s">
        <v>0</v>
      </c>
      <c r="D47" s="45" t="s">
        <v>260</v>
      </c>
      <c r="E47" s="121" t="s">
        <v>2</v>
      </c>
      <c r="F47" s="181">
        <v>0.97</v>
      </c>
      <c r="G47" s="181">
        <v>0.05</v>
      </c>
      <c r="H47" s="181">
        <v>0.97</v>
      </c>
      <c r="I47" s="45">
        <v>1000</v>
      </c>
      <c r="J47" s="47">
        <v>255.55555555555554</v>
      </c>
      <c r="K47" s="45">
        <v>0</v>
      </c>
      <c r="L47" s="45">
        <v>90</v>
      </c>
      <c r="M47" s="45">
        <v>750</v>
      </c>
      <c r="N47" s="186"/>
    </row>
    <row r="48" spans="1:14" s="4" customFormat="1" ht="15.75" x14ac:dyDescent="0.25">
      <c r="A48" s="45">
        <v>2040</v>
      </c>
      <c r="B48" s="180">
        <f>A48-5</f>
        <v>2035</v>
      </c>
      <c r="C48" s="45" t="s">
        <v>0</v>
      </c>
      <c r="D48" s="45" t="s">
        <v>260</v>
      </c>
      <c r="E48" s="121" t="s">
        <v>2</v>
      </c>
      <c r="F48" s="181">
        <v>0.99</v>
      </c>
      <c r="G48" s="181">
        <v>0.05</v>
      </c>
      <c r="H48" s="181">
        <v>0.99</v>
      </c>
      <c r="I48" s="45">
        <v>1200</v>
      </c>
      <c r="J48" s="47">
        <v>255.55555555555554</v>
      </c>
      <c r="K48" s="45">
        <v>0</v>
      </c>
      <c r="L48" s="45">
        <v>80</v>
      </c>
      <c r="M48" s="45">
        <v>750</v>
      </c>
      <c r="N48" s="186"/>
    </row>
    <row r="49" spans="1:14" s="4" customFormat="1" ht="15.75" x14ac:dyDescent="0.25">
      <c r="A49" s="45">
        <v>2050</v>
      </c>
      <c r="B49" s="45">
        <f t="shared" ref="B49" si="5">A49-5</f>
        <v>2045</v>
      </c>
      <c r="C49" s="45" t="s">
        <v>0</v>
      </c>
      <c r="D49" s="45" t="s">
        <v>260</v>
      </c>
      <c r="E49" s="121" t="s">
        <v>2</v>
      </c>
      <c r="F49" s="181">
        <v>0.99</v>
      </c>
      <c r="G49" s="181">
        <v>0.05</v>
      </c>
      <c r="H49" s="181">
        <v>0.99</v>
      </c>
      <c r="I49" s="121">
        <v>1400</v>
      </c>
      <c r="J49" s="47">
        <v>297.87234042553195</v>
      </c>
      <c r="K49" s="45">
        <v>0</v>
      </c>
      <c r="L49" s="45">
        <v>70</v>
      </c>
      <c r="M49" s="45">
        <v>750</v>
      </c>
      <c r="N49" s="186"/>
    </row>
    <row r="50" spans="1:14" s="4" customFormat="1" ht="15.75" x14ac:dyDescent="0.25">
      <c r="A50" s="51">
        <v>2021</v>
      </c>
      <c r="B50" s="51">
        <f t="shared" ref="B50:B61" si="6">A50-5</f>
        <v>2016</v>
      </c>
      <c r="C50" s="51" t="s">
        <v>1</v>
      </c>
      <c r="D50" s="45" t="s">
        <v>336</v>
      </c>
      <c r="E50" s="121" t="s">
        <v>2</v>
      </c>
      <c r="F50" s="187">
        <v>0.95</v>
      </c>
      <c r="G50" s="187">
        <v>0.2</v>
      </c>
      <c r="H50" s="181">
        <v>0.6</v>
      </c>
      <c r="I50" s="45">
        <v>2750</v>
      </c>
      <c r="J50" s="190">
        <v>100</v>
      </c>
      <c r="K50" s="45">
        <v>20</v>
      </c>
      <c r="L50" s="45">
        <v>320</v>
      </c>
      <c r="M50" s="51">
        <v>200</v>
      </c>
      <c r="N50" s="186"/>
    </row>
    <row r="51" spans="1:14" s="4" customFormat="1" ht="15.75" x14ac:dyDescent="0.25">
      <c r="A51" s="45">
        <v>2025</v>
      </c>
      <c r="B51" s="180">
        <f>A51-5</f>
        <v>2020</v>
      </c>
      <c r="C51" s="51" t="s">
        <v>1</v>
      </c>
      <c r="D51" s="45" t="s">
        <v>336</v>
      </c>
      <c r="E51" s="121" t="s">
        <v>2</v>
      </c>
      <c r="F51" s="187">
        <v>0.95</v>
      </c>
      <c r="G51" s="187">
        <v>0.2</v>
      </c>
      <c r="H51" s="181">
        <v>0.6</v>
      </c>
      <c r="I51" s="45">
        <v>4000</v>
      </c>
      <c r="J51" s="47">
        <v>140</v>
      </c>
      <c r="K51" s="45">
        <v>16</v>
      </c>
      <c r="L51" s="45">
        <v>250</v>
      </c>
      <c r="M51" s="45">
        <v>110</v>
      </c>
      <c r="N51" s="186"/>
    </row>
    <row r="52" spans="1:14" s="4" customFormat="1" ht="15.75" x14ac:dyDescent="0.25">
      <c r="A52" s="51">
        <v>2030</v>
      </c>
      <c r="B52" s="51">
        <f t="shared" si="6"/>
        <v>2025</v>
      </c>
      <c r="C52" s="51" t="s">
        <v>1</v>
      </c>
      <c r="D52" s="45" t="s">
        <v>336</v>
      </c>
      <c r="E52" s="121" t="s">
        <v>2</v>
      </c>
      <c r="F52" s="181">
        <v>0.95</v>
      </c>
      <c r="G52" s="181">
        <v>0.1</v>
      </c>
      <c r="H52" s="181">
        <v>0.6</v>
      </c>
      <c r="I52" s="45">
        <v>5000</v>
      </c>
      <c r="J52" s="190">
        <v>147.05882352941177</v>
      </c>
      <c r="K52" s="45">
        <v>15</v>
      </c>
      <c r="L52" s="45">
        <v>175</v>
      </c>
      <c r="M52" s="51">
        <v>90</v>
      </c>
      <c r="N52" s="186"/>
    </row>
    <row r="53" spans="1:14" ht="15.75" x14ac:dyDescent="0.25">
      <c r="A53" s="51">
        <v>2035</v>
      </c>
      <c r="B53" s="51">
        <f t="shared" si="6"/>
        <v>2030</v>
      </c>
      <c r="C53" s="51" t="s">
        <v>1</v>
      </c>
      <c r="D53" s="45" t="s">
        <v>336</v>
      </c>
      <c r="E53" s="121" t="s">
        <v>2</v>
      </c>
      <c r="F53" s="187">
        <v>0.95</v>
      </c>
      <c r="G53" s="187">
        <v>0.1</v>
      </c>
      <c r="H53" s="181">
        <v>0.6</v>
      </c>
      <c r="I53" s="45">
        <v>5500</v>
      </c>
      <c r="J53" s="190">
        <v>164.70588235294119</v>
      </c>
      <c r="K53" s="45">
        <v>14</v>
      </c>
      <c r="L53" s="45">
        <v>140</v>
      </c>
      <c r="M53" s="51">
        <v>70</v>
      </c>
      <c r="N53" s="186"/>
    </row>
    <row r="54" spans="1:14" s="4" customFormat="1" ht="15.75" x14ac:dyDescent="0.25">
      <c r="A54" s="45">
        <v>2040</v>
      </c>
      <c r="B54" s="180">
        <f>A54-5</f>
        <v>2035</v>
      </c>
      <c r="C54" s="51" t="s">
        <v>1</v>
      </c>
      <c r="D54" s="45" t="s">
        <v>336</v>
      </c>
      <c r="E54" s="121" t="s">
        <v>2</v>
      </c>
      <c r="F54" s="187">
        <v>0.95</v>
      </c>
      <c r="G54" s="187">
        <v>7.0000000000000007E-2</v>
      </c>
      <c r="H54" s="181">
        <v>0.6</v>
      </c>
      <c r="I54" s="45">
        <v>5750</v>
      </c>
      <c r="J54" s="47">
        <v>172</v>
      </c>
      <c r="K54" s="45">
        <v>13.5</v>
      </c>
      <c r="L54" s="45">
        <v>120</v>
      </c>
      <c r="M54" s="45">
        <v>65</v>
      </c>
      <c r="N54" s="186"/>
    </row>
    <row r="55" spans="1:14" ht="15.75" x14ac:dyDescent="0.25">
      <c r="A55" s="51">
        <v>2050</v>
      </c>
      <c r="B55" s="51">
        <f t="shared" si="6"/>
        <v>2045</v>
      </c>
      <c r="C55" s="51" t="s">
        <v>1</v>
      </c>
      <c r="D55" s="45" t="s">
        <v>336</v>
      </c>
      <c r="E55" s="121" t="s">
        <v>2</v>
      </c>
      <c r="F55" s="187">
        <v>0.95</v>
      </c>
      <c r="G55" s="187">
        <v>0.05</v>
      </c>
      <c r="H55" s="181">
        <v>0.6</v>
      </c>
      <c r="I55" s="45">
        <v>6000</v>
      </c>
      <c r="J55" s="190">
        <v>188.88888888888891</v>
      </c>
      <c r="K55" s="45">
        <v>13</v>
      </c>
      <c r="L55" s="45">
        <v>100</v>
      </c>
      <c r="M55" s="51">
        <v>60</v>
      </c>
      <c r="N55" s="186"/>
    </row>
    <row r="56" spans="1:14" s="8" customFormat="1" ht="15.75" x14ac:dyDescent="0.25">
      <c r="A56" s="51">
        <v>2021</v>
      </c>
      <c r="B56" s="51">
        <f t="shared" si="6"/>
        <v>2016</v>
      </c>
      <c r="C56" s="51" t="s">
        <v>0</v>
      </c>
      <c r="D56" s="45" t="s">
        <v>336</v>
      </c>
      <c r="E56" s="121" t="s">
        <v>2</v>
      </c>
      <c r="F56" s="187">
        <v>0.95</v>
      </c>
      <c r="G56" s="187">
        <v>0.25</v>
      </c>
      <c r="H56" s="181">
        <v>0.6</v>
      </c>
      <c r="I56" s="45">
        <v>2750</v>
      </c>
      <c r="J56" s="190">
        <v>100</v>
      </c>
      <c r="K56" s="45">
        <v>20</v>
      </c>
      <c r="L56" s="45">
        <v>320</v>
      </c>
      <c r="M56" s="51">
        <v>200</v>
      </c>
      <c r="N56" s="186"/>
    </row>
    <row r="57" spans="1:14" s="3" customFormat="1" ht="15.75" x14ac:dyDescent="0.25">
      <c r="A57" s="51">
        <v>2025</v>
      </c>
      <c r="B57" s="51">
        <f t="shared" si="6"/>
        <v>2020</v>
      </c>
      <c r="C57" s="51" t="s">
        <v>0</v>
      </c>
      <c r="D57" s="45" t="s">
        <v>336</v>
      </c>
      <c r="E57" s="121" t="s">
        <v>2</v>
      </c>
      <c r="F57" s="187">
        <v>0.95</v>
      </c>
      <c r="G57" s="187">
        <v>0.25</v>
      </c>
      <c r="H57" s="181">
        <v>0.6</v>
      </c>
      <c r="I57" s="45">
        <v>3000</v>
      </c>
      <c r="J57" s="190">
        <v>135.71428571428572</v>
      </c>
      <c r="K57" s="45">
        <v>20</v>
      </c>
      <c r="L57" s="45">
        <v>302</v>
      </c>
      <c r="M57" s="51">
        <v>150</v>
      </c>
      <c r="N57" s="186"/>
    </row>
    <row r="58" spans="1:14" s="4" customFormat="1" ht="15.75" x14ac:dyDescent="0.25">
      <c r="A58" s="45">
        <v>2030</v>
      </c>
      <c r="B58" s="180">
        <f>A58-5</f>
        <v>2025</v>
      </c>
      <c r="C58" s="51" t="s">
        <v>0</v>
      </c>
      <c r="D58" s="45" t="s">
        <v>336</v>
      </c>
      <c r="E58" s="121" t="s">
        <v>2</v>
      </c>
      <c r="F58" s="181">
        <v>0.95</v>
      </c>
      <c r="G58" s="181">
        <v>0.2</v>
      </c>
      <c r="H58" s="181">
        <v>0.6</v>
      </c>
      <c r="I58" s="45">
        <v>4000</v>
      </c>
      <c r="J58" s="47">
        <v>140</v>
      </c>
      <c r="K58" s="45">
        <v>19</v>
      </c>
      <c r="L58" s="45">
        <v>225</v>
      </c>
      <c r="M58" s="45">
        <v>110</v>
      </c>
      <c r="N58" s="186"/>
    </row>
    <row r="59" spans="1:14" s="4" customFormat="1" ht="15.75" x14ac:dyDescent="0.25">
      <c r="A59" s="51">
        <v>2035</v>
      </c>
      <c r="B59" s="51">
        <f t="shared" si="6"/>
        <v>2030</v>
      </c>
      <c r="C59" s="51" t="s">
        <v>0</v>
      </c>
      <c r="D59" s="45" t="s">
        <v>336</v>
      </c>
      <c r="E59" s="121" t="s">
        <v>2</v>
      </c>
      <c r="F59" s="189">
        <v>0.95</v>
      </c>
      <c r="G59" s="189">
        <v>0.2</v>
      </c>
      <c r="H59" s="181">
        <v>0.6</v>
      </c>
      <c r="I59" s="45">
        <v>4500</v>
      </c>
      <c r="J59" s="190">
        <v>144</v>
      </c>
      <c r="K59" s="45">
        <v>18</v>
      </c>
      <c r="L59" s="45">
        <v>170</v>
      </c>
      <c r="M59" s="51">
        <v>90</v>
      </c>
      <c r="N59" s="186"/>
    </row>
    <row r="60" spans="1:14" s="4" customFormat="1" ht="15.75" x14ac:dyDescent="0.25">
      <c r="A60" s="45">
        <v>2040</v>
      </c>
      <c r="B60" s="180">
        <f>A60-5</f>
        <v>2035</v>
      </c>
      <c r="C60" s="51" t="s">
        <v>0</v>
      </c>
      <c r="D60" s="45" t="s">
        <v>336</v>
      </c>
      <c r="E60" s="121" t="s">
        <v>2</v>
      </c>
      <c r="F60" s="189">
        <v>0.95</v>
      </c>
      <c r="G60" s="189">
        <v>0.17</v>
      </c>
      <c r="H60" s="181">
        <v>0.6</v>
      </c>
      <c r="I60" s="45">
        <v>4750</v>
      </c>
      <c r="J60" s="47">
        <v>147</v>
      </c>
      <c r="K60" s="45">
        <v>17.5</v>
      </c>
      <c r="L60" s="45">
        <v>130</v>
      </c>
      <c r="M60" s="45">
        <v>80</v>
      </c>
      <c r="N60" s="186"/>
    </row>
    <row r="61" spans="1:14" s="4" customFormat="1" ht="15.75" x14ac:dyDescent="0.25">
      <c r="A61" s="51">
        <v>2050</v>
      </c>
      <c r="B61" s="51">
        <f t="shared" si="6"/>
        <v>2045</v>
      </c>
      <c r="C61" s="51" t="s">
        <v>0</v>
      </c>
      <c r="D61" s="45" t="s">
        <v>336</v>
      </c>
      <c r="E61" s="121" t="s">
        <v>2</v>
      </c>
      <c r="F61" s="189">
        <v>0.95</v>
      </c>
      <c r="G61" s="189">
        <v>0.15</v>
      </c>
      <c r="H61" s="181">
        <v>0.6</v>
      </c>
      <c r="I61" s="45">
        <v>5000</v>
      </c>
      <c r="J61" s="190">
        <v>147</v>
      </c>
      <c r="K61" s="45">
        <v>17</v>
      </c>
      <c r="L61" s="45">
        <v>125</v>
      </c>
      <c r="M61" s="51">
        <v>70</v>
      </c>
      <c r="N61" s="186"/>
    </row>
    <row r="62" spans="1:14" ht="15.75" x14ac:dyDescent="0.25">
      <c r="A62" s="45">
        <v>2021</v>
      </c>
      <c r="B62" s="180">
        <f t="shared" ref="B62" si="7">A62-5</f>
        <v>2016</v>
      </c>
      <c r="C62" s="45" t="s">
        <v>1</v>
      </c>
      <c r="D62" s="45" t="s">
        <v>410</v>
      </c>
      <c r="E62" s="121" t="s">
        <v>2</v>
      </c>
      <c r="F62" s="182">
        <v>0.95</v>
      </c>
      <c r="G62" s="182">
        <v>0.2</v>
      </c>
      <c r="H62" s="182">
        <v>0.6</v>
      </c>
      <c r="I62" s="45">
        <v>2750</v>
      </c>
      <c r="J62" s="47">
        <v>100</v>
      </c>
      <c r="K62" s="45">
        <v>20</v>
      </c>
      <c r="L62" s="45">
        <v>320</v>
      </c>
      <c r="M62" s="45">
        <v>200</v>
      </c>
    </row>
    <row r="63" spans="1:14" ht="15.75" x14ac:dyDescent="0.25">
      <c r="A63" s="45">
        <v>2025</v>
      </c>
      <c r="B63" s="180">
        <f>A63-5</f>
        <v>2020</v>
      </c>
      <c r="C63" s="45" t="s">
        <v>1</v>
      </c>
      <c r="D63" s="45" t="s">
        <v>410</v>
      </c>
      <c r="E63" s="121" t="s">
        <v>2</v>
      </c>
      <c r="F63" s="182">
        <v>0.95</v>
      </c>
      <c r="G63" s="182">
        <v>0.2</v>
      </c>
      <c r="H63" s="182">
        <v>0.6</v>
      </c>
      <c r="I63" s="45">
        <v>4000</v>
      </c>
      <c r="J63" s="47">
        <v>140</v>
      </c>
      <c r="K63" s="45">
        <v>16</v>
      </c>
      <c r="L63" s="45">
        <v>250</v>
      </c>
      <c r="M63" s="45">
        <v>110</v>
      </c>
    </row>
    <row r="64" spans="1:14" ht="15.75" x14ac:dyDescent="0.25">
      <c r="A64" s="45">
        <v>2030</v>
      </c>
      <c r="B64" s="180">
        <f t="shared" ref="B64:B65" si="8">A64-5</f>
        <v>2025</v>
      </c>
      <c r="C64" s="45" t="s">
        <v>1</v>
      </c>
      <c r="D64" s="45" t="s">
        <v>410</v>
      </c>
      <c r="E64" s="121" t="s">
        <v>2</v>
      </c>
      <c r="F64" s="182">
        <v>0.95</v>
      </c>
      <c r="G64" s="182">
        <v>0.1</v>
      </c>
      <c r="H64" s="182">
        <v>0.6</v>
      </c>
      <c r="I64" s="45">
        <v>5000</v>
      </c>
      <c r="J64" s="47">
        <v>147.05882352941177</v>
      </c>
      <c r="K64" s="45">
        <v>15</v>
      </c>
      <c r="L64" s="45">
        <v>175</v>
      </c>
      <c r="M64" s="45">
        <v>90</v>
      </c>
    </row>
    <row r="65" spans="1:13" ht="15.75" x14ac:dyDescent="0.25">
      <c r="A65" s="45">
        <v>2035</v>
      </c>
      <c r="B65" s="180">
        <f t="shared" si="8"/>
        <v>2030</v>
      </c>
      <c r="C65" s="45" t="s">
        <v>1</v>
      </c>
      <c r="D65" s="45" t="s">
        <v>410</v>
      </c>
      <c r="E65" s="121" t="s">
        <v>2</v>
      </c>
      <c r="F65" s="182">
        <v>0.95</v>
      </c>
      <c r="G65" s="182">
        <v>0.1</v>
      </c>
      <c r="H65" s="182">
        <v>0.6</v>
      </c>
      <c r="I65" s="45">
        <v>5500</v>
      </c>
      <c r="J65" s="47">
        <v>164.70588235294119</v>
      </c>
      <c r="K65" s="45">
        <v>14</v>
      </c>
      <c r="L65" s="45">
        <v>140</v>
      </c>
      <c r="M65" s="45">
        <v>70</v>
      </c>
    </row>
    <row r="66" spans="1:13" ht="15.75" x14ac:dyDescent="0.25">
      <c r="A66" s="45">
        <v>2040</v>
      </c>
      <c r="B66" s="180">
        <f>A66-5</f>
        <v>2035</v>
      </c>
      <c r="C66" s="45" t="s">
        <v>1</v>
      </c>
      <c r="D66" s="45" t="s">
        <v>410</v>
      </c>
      <c r="E66" s="121" t="s">
        <v>2</v>
      </c>
      <c r="F66" s="182">
        <v>0.95</v>
      </c>
      <c r="G66" s="182">
        <v>7.0000000000000007E-2</v>
      </c>
      <c r="H66" s="182">
        <v>0.6</v>
      </c>
      <c r="I66" s="45">
        <v>5750</v>
      </c>
      <c r="J66" s="47">
        <v>172</v>
      </c>
      <c r="K66" s="45">
        <v>13.5</v>
      </c>
      <c r="L66" s="45">
        <v>120</v>
      </c>
      <c r="M66" s="45">
        <v>65</v>
      </c>
    </row>
    <row r="67" spans="1:13" ht="15.75" x14ac:dyDescent="0.25">
      <c r="A67" s="45">
        <v>2050</v>
      </c>
      <c r="B67" s="180">
        <f t="shared" ref="B67:B69" si="9">A67-5</f>
        <v>2045</v>
      </c>
      <c r="C67" s="45" t="s">
        <v>1</v>
      </c>
      <c r="D67" s="45" t="s">
        <v>410</v>
      </c>
      <c r="E67" s="121" t="s">
        <v>2</v>
      </c>
      <c r="F67" s="182">
        <v>0.95</v>
      </c>
      <c r="G67" s="182">
        <v>0.05</v>
      </c>
      <c r="H67" s="182">
        <v>0.6</v>
      </c>
      <c r="I67" s="45">
        <v>6000</v>
      </c>
      <c r="J67" s="47">
        <v>188.88888888888891</v>
      </c>
      <c r="K67" s="45">
        <v>13</v>
      </c>
      <c r="L67" s="45">
        <v>100</v>
      </c>
      <c r="M67" s="45">
        <v>60</v>
      </c>
    </row>
    <row r="68" spans="1:13" ht="15.75" x14ac:dyDescent="0.25">
      <c r="A68" s="45">
        <v>2021</v>
      </c>
      <c r="B68" s="180">
        <f t="shared" si="9"/>
        <v>2016</v>
      </c>
      <c r="C68" s="45" t="s">
        <v>0</v>
      </c>
      <c r="D68" s="45" t="s">
        <v>410</v>
      </c>
      <c r="E68" s="121" t="s">
        <v>2</v>
      </c>
      <c r="F68" s="182">
        <v>0.95</v>
      </c>
      <c r="G68" s="182">
        <v>0.25</v>
      </c>
      <c r="H68" s="182">
        <v>0.6</v>
      </c>
      <c r="I68" s="45">
        <v>2750</v>
      </c>
      <c r="J68" s="47">
        <v>100</v>
      </c>
      <c r="K68" s="45">
        <v>20</v>
      </c>
      <c r="L68" s="45">
        <v>320</v>
      </c>
      <c r="M68" s="45">
        <v>200</v>
      </c>
    </row>
    <row r="69" spans="1:13" ht="15.75" x14ac:dyDescent="0.25">
      <c r="A69" s="45">
        <v>2025</v>
      </c>
      <c r="B69" s="180">
        <f t="shared" si="9"/>
        <v>2020</v>
      </c>
      <c r="C69" s="45" t="s">
        <v>0</v>
      </c>
      <c r="D69" s="45" t="s">
        <v>410</v>
      </c>
      <c r="E69" s="121" t="s">
        <v>2</v>
      </c>
      <c r="F69" s="182">
        <v>0.95</v>
      </c>
      <c r="G69" s="182">
        <v>0.25</v>
      </c>
      <c r="H69" s="182">
        <v>0.6</v>
      </c>
      <c r="I69" s="45">
        <v>3000</v>
      </c>
      <c r="J69" s="47">
        <v>135.71428571428572</v>
      </c>
      <c r="K69" s="45">
        <v>20</v>
      </c>
      <c r="L69" s="45">
        <v>302</v>
      </c>
      <c r="M69" s="45">
        <v>150</v>
      </c>
    </row>
    <row r="70" spans="1:13" ht="15.75" x14ac:dyDescent="0.25">
      <c r="A70" s="45">
        <v>2030</v>
      </c>
      <c r="B70" s="180">
        <f>A70-5</f>
        <v>2025</v>
      </c>
      <c r="C70" s="45" t="s">
        <v>0</v>
      </c>
      <c r="D70" s="45" t="s">
        <v>410</v>
      </c>
      <c r="E70" s="121" t="s">
        <v>2</v>
      </c>
      <c r="F70" s="182">
        <v>0.95</v>
      </c>
      <c r="G70" s="182">
        <v>0.2</v>
      </c>
      <c r="H70" s="182">
        <v>0.6</v>
      </c>
      <c r="I70" s="45">
        <v>4000</v>
      </c>
      <c r="J70" s="47">
        <v>140</v>
      </c>
      <c r="K70" s="45">
        <v>19</v>
      </c>
      <c r="L70" s="45">
        <v>225</v>
      </c>
      <c r="M70" s="45">
        <v>110</v>
      </c>
    </row>
    <row r="71" spans="1:13" ht="15.75" x14ac:dyDescent="0.25">
      <c r="A71" s="45">
        <v>2035</v>
      </c>
      <c r="B71" s="180">
        <f t="shared" ref="B71" si="10">A71-5</f>
        <v>2030</v>
      </c>
      <c r="C71" s="45" t="s">
        <v>0</v>
      </c>
      <c r="D71" s="45" t="s">
        <v>410</v>
      </c>
      <c r="E71" s="121" t="s">
        <v>2</v>
      </c>
      <c r="F71" s="182">
        <v>0.95</v>
      </c>
      <c r="G71" s="182">
        <v>0.2</v>
      </c>
      <c r="H71" s="182">
        <v>0.6</v>
      </c>
      <c r="I71" s="45">
        <v>4500</v>
      </c>
      <c r="J71" s="47">
        <v>144</v>
      </c>
      <c r="K71" s="45">
        <v>18</v>
      </c>
      <c r="L71" s="45">
        <v>170</v>
      </c>
      <c r="M71" s="45">
        <v>90</v>
      </c>
    </row>
    <row r="72" spans="1:13" ht="15.75" x14ac:dyDescent="0.25">
      <c r="A72" s="45">
        <v>2040</v>
      </c>
      <c r="B72" s="180">
        <f>A72-5</f>
        <v>2035</v>
      </c>
      <c r="C72" s="45" t="s">
        <v>0</v>
      </c>
      <c r="D72" s="45" t="s">
        <v>410</v>
      </c>
      <c r="E72" s="121" t="s">
        <v>2</v>
      </c>
      <c r="F72" s="182">
        <v>0.95</v>
      </c>
      <c r="G72" s="182">
        <v>0.17</v>
      </c>
      <c r="H72" s="182">
        <v>0.6</v>
      </c>
      <c r="I72" s="45">
        <v>4750</v>
      </c>
      <c r="J72" s="47">
        <v>147</v>
      </c>
      <c r="K72" s="45">
        <v>17.5</v>
      </c>
      <c r="L72" s="45">
        <v>130</v>
      </c>
      <c r="M72" s="45">
        <v>80</v>
      </c>
    </row>
    <row r="73" spans="1:13" ht="15.75" x14ac:dyDescent="0.25">
      <c r="A73" s="121">
        <v>2050</v>
      </c>
      <c r="B73" s="191">
        <f t="shared" ref="B73:B74" si="11">A73-5</f>
        <v>2045</v>
      </c>
      <c r="C73" s="121" t="s">
        <v>0</v>
      </c>
      <c r="D73" s="45" t="s">
        <v>410</v>
      </c>
      <c r="E73" s="121" t="s">
        <v>2</v>
      </c>
      <c r="F73" s="192">
        <v>0.95</v>
      </c>
      <c r="G73" s="192">
        <v>0.15</v>
      </c>
      <c r="H73" s="192">
        <v>0.6</v>
      </c>
      <c r="I73" s="121">
        <v>5000</v>
      </c>
      <c r="J73" s="193">
        <v>147</v>
      </c>
      <c r="K73" s="121">
        <v>17</v>
      </c>
      <c r="L73" s="121">
        <v>125</v>
      </c>
      <c r="M73" s="121">
        <v>70</v>
      </c>
    </row>
    <row r="74" spans="1:13" ht="15.75" x14ac:dyDescent="0.25">
      <c r="A74" s="45">
        <v>2021</v>
      </c>
      <c r="B74" s="180">
        <f t="shared" si="11"/>
        <v>2016</v>
      </c>
      <c r="C74" s="45" t="s">
        <v>1</v>
      </c>
      <c r="D74" s="45" t="s">
        <v>337</v>
      </c>
      <c r="E74" s="45" t="s">
        <v>2</v>
      </c>
      <c r="F74" s="182">
        <v>0.95</v>
      </c>
      <c r="G74" s="182">
        <v>0.05</v>
      </c>
      <c r="H74" s="182">
        <v>0.95</v>
      </c>
      <c r="I74" s="45">
        <v>375</v>
      </c>
      <c r="J74" s="47">
        <v>188.88888888888891</v>
      </c>
      <c r="K74" s="45">
        <v>0</v>
      </c>
      <c r="L74" s="234">
        <v>140</v>
      </c>
      <c r="M74" s="45">
        <v>750</v>
      </c>
    </row>
    <row r="75" spans="1:13" ht="15.75" x14ac:dyDescent="0.25">
      <c r="A75" s="45">
        <v>2025</v>
      </c>
      <c r="B75" s="180">
        <f>A75-5</f>
        <v>2020</v>
      </c>
      <c r="C75" s="45" t="s">
        <v>1</v>
      </c>
      <c r="D75" s="45" t="s">
        <v>337</v>
      </c>
      <c r="E75" s="45" t="s">
        <v>2</v>
      </c>
      <c r="F75" s="182">
        <v>0.95</v>
      </c>
      <c r="G75" s="182">
        <v>0.05</v>
      </c>
      <c r="H75" s="182">
        <v>0.95</v>
      </c>
      <c r="I75" s="45">
        <v>400</v>
      </c>
      <c r="J75" s="47">
        <v>244.44444444444443</v>
      </c>
      <c r="K75" s="45">
        <v>0</v>
      </c>
      <c r="L75" s="45">
        <v>95</v>
      </c>
      <c r="M75" s="45">
        <v>750</v>
      </c>
    </row>
    <row r="76" spans="1:13" ht="15.75" x14ac:dyDescent="0.25">
      <c r="A76" s="45">
        <v>2030</v>
      </c>
      <c r="B76" s="180">
        <f t="shared" ref="B76:B80" si="12">A76-5</f>
        <v>2025</v>
      </c>
      <c r="C76" s="45" t="s">
        <v>1</v>
      </c>
      <c r="D76" s="45" t="s">
        <v>337</v>
      </c>
      <c r="E76" s="45" t="s">
        <v>2</v>
      </c>
      <c r="F76" s="182">
        <v>0.95</v>
      </c>
      <c r="G76" s="182">
        <v>0.05</v>
      </c>
      <c r="H76" s="182">
        <v>0.95</v>
      </c>
      <c r="I76" s="45">
        <v>600</v>
      </c>
      <c r="J76" s="47">
        <v>300</v>
      </c>
      <c r="K76" s="45">
        <v>0</v>
      </c>
      <c r="L76" s="45">
        <v>75</v>
      </c>
      <c r="M76" s="45">
        <v>750</v>
      </c>
    </row>
    <row r="77" spans="1:13" ht="15.75" x14ac:dyDescent="0.25">
      <c r="A77" s="45">
        <v>2035</v>
      </c>
      <c r="B77" s="180">
        <f t="shared" si="12"/>
        <v>2030</v>
      </c>
      <c r="C77" s="45" t="s">
        <v>1</v>
      </c>
      <c r="D77" s="45" t="s">
        <v>337</v>
      </c>
      <c r="E77" s="45" t="s">
        <v>2</v>
      </c>
      <c r="F77" s="182">
        <v>0.97</v>
      </c>
      <c r="G77" s="182">
        <v>0.05</v>
      </c>
      <c r="H77" s="182">
        <v>0.97</v>
      </c>
      <c r="I77" s="45">
        <v>1250</v>
      </c>
      <c r="J77" s="47">
        <v>307.89473684210526</v>
      </c>
      <c r="K77" s="45">
        <v>0</v>
      </c>
      <c r="L77" s="45">
        <v>70</v>
      </c>
      <c r="M77" s="45">
        <v>750</v>
      </c>
    </row>
    <row r="78" spans="1:13" ht="15.75" x14ac:dyDescent="0.25">
      <c r="A78" s="45">
        <v>2040</v>
      </c>
      <c r="B78" s="180">
        <f t="shared" si="12"/>
        <v>2035</v>
      </c>
      <c r="C78" s="45" t="s">
        <v>1</v>
      </c>
      <c r="D78" s="45" t="s">
        <v>337</v>
      </c>
      <c r="E78" s="45" t="s">
        <v>2</v>
      </c>
      <c r="F78" s="182">
        <v>0.99</v>
      </c>
      <c r="G78" s="182">
        <v>0.04</v>
      </c>
      <c r="H78" s="182">
        <v>0.99</v>
      </c>
      <c r="I78" s="45">
        <v>2000</v>
      </c>
      <c r="J78" s="47">
        <v>315.78947368421052</v>
      </c>
      <c r="K78" s="45">
        <v>0</v>
      </c>
      <c r="L78" s="45">
        <v>65</v>
      </c>
      <c r="M78" s="45">
        <v>750</v>
      </c>
    </row>
    <row r="79" spans="1:13" ht="15.75" x14ac:dyDescent="0.25">
      <c r="A79" s="45">
        <v>2050</v>
      </c>
      <c r="B79" s="180">
        <f t="shared" si="12"/>
        <v>2045</v>
      </c>
      <c r="C79" s="45" t="s">
        <v>1</v>
      </c>
      <c r="D79" s="45" t="s">
        <v>337</v>
      </c>
      <c r="E79" s="45" t="s">
        <v>2</v>
      </c>
      <c r="F79" s="182">
        <v>0.99</v>
      </c>
      <c r="G79" s="182">
        <v>0.04</v>
      </c>
      <c r="H79" s="182">
        <v>0.99</v>
      </c>
      <c r="I79" s="45">
        <v>2000</v>
      </c>
      <c r="J79" s="47">
        <v>336.84210526315792</v>
      </c>
      <c r="K79" s="45">
        <v>0</v>
      </c>
      <c r="L79" s="45">
        <v>60</v>
      </c>
      <c r="M79" s="45">
        <v>750</v>
      </c>
    </row>
    <row r="80" spans="1:13" ht="15.75" x14ac:dyDescent="0.25">
      <c r="A80" s="45">
        <v>2021</v>
      </c>
      <c r="B80" s="180">
        <f t="shared" si="12"/>
        <v>2016</v>
      </c>
      <c r="C80" s="45" t="s">
        <v>0</v>
      </c>
      <c r="D80" s="45" t="s">
        <v>337</v>
      </c>
      <c r="E80" s="45" t="s">
        <v>2</v>
      </c>
      <c r="F80" s="182">
        <v>0.95</v>
      </c>
      <c r="G80" s="182">
        <v>0.05</v>
      </c>
      <c r="H80" s="182">
        <v>0.95</v>
      </c>
      <c r="I80" s="45">
        <v>375</v>
      </c>
      <c r="J80" s="47">
        <v>188.88888888888891</v>
      </c>
      <c r="K80" s="45">
        <v>0</v>
      </c>
      <c r="L80" s="234">
        <v>140</v>
      </c>
      <c r="M80" s="45">
        <v>750</v>
      </c>
    </row>
    <row r="81" spans="1:13" ht="15.75" x14ac:dyDescent="0.25">
      <c r="A81" s="45">
        <v>2025</v>
      </c>
      <c r="B81" s="180">
        <f>A81-5</f>
        <v>2020</v>
      </c>
      <c r="C81" s="45" t="s">
        <v>0</v>
      </c>
      <c r="D81" s="45" t="s">
        <v>337</v>
      </c>
      <c r="E81" s="45" t="s">
        <v>2</v>
      </c>
      <c r="F81" s="182">
        <v>0.95</v>
      </c>
      <c r="G81" s="182">
        <v>0.05</v>
      </c>
      <c r="H81" s="182">
        <v>0.95</v>
      </c>
      <c r="I81" s="45">
        <v>400</v>
      </c>
      <c r="J81" s="47">
        <v>188.88888888888891</v>
      </c>
      <c r="K81" s="45">
        <v>0</v>
      </c>
      <c r="L81" s="45">
        <v>128</v>
      </c>
      <c r="M81" s="45">
        <v>750</v>
      </c>
    </row>
    <row r="82" spans="1:13" ht="15.75" x14ac:dyDescent="0.25">
      <c r="A82" s="45">
        <v>2030</v>
      </c>
      <c r="B82" s="180">
        <f t="shared" ref="B82:B83" si="13">A82-5</f>
        <v>2025</v>
      </c>
      <c r="C82" s="45" t="s">
        <v>0</v>
      </c>
      <c r="D82" s="45" t="s">
        <v>337</v>
      </c>
      <c r="E82" s="45" t="s">
        <v>2</v>
      </c>
      <c r="F82" s="182">
        <v>0.95</v>
      </c>
      <c r="G82" s="182">
        <v>0.05</v>
      </c>
      <c r="H82" s="182">
        <v>0.95</v>
      </c>
      <c r="I82" s="45">
        <v>550</v>
      </c>
      <c r="J82" s="47">
        <v>255.55555555555554</v>
      </c>
      <c r="K82" s="45">
        <v>0</v>
      </c>
      <c r="L82" s="45">
        <v>100</v>
      </c>
      <c r="M82" s="45">
        <v>750</v>
      </c>
    </row>
    <row r="83" spans="1:13" ht="15.75" x14ac:dyDescent="0.25">
      <c r="A83" s="45">
        <v>2035</v>
      </c>
      <c r="B83" s="180">
        <f t="shared" si="13"/>
        <v>2030</v>
      </c>
      <c r="C83" s="45" t="s">
        <v>0</v>
      </c>
      <c r="D83" s="45" t="s">
        <v>337</v>
      </c>
      <c r="E83" s="45" t="s">
        <v>2</v>
      </c>
      <c r="F83" s="182">
        <v>0.97</v>
      </c>
      <c r="G83" s="182">
        <v>0.05</v>
      </c>
      <c r="H83" s="182">
        <v>0.97</v>
      </c>
      <c r="I83" s="45">
        <v>1000</v>
      </c>
      <c r="J83" s="47">
        <v>255.55555555555554</v>
      </c>
      <c r="K83" s="45">
        <v>0</v>
      </c>
      <c r="L83" s="45">
        <v>90</v>
      </c>
      <c r="M83" s="45">
        <v>750</v>
      </c>
    </row>
    <row r="84" spans="1:13" ht="15.75" x14ac:dyDescent="0.25">
      <c r="A84" s="45">
        <v>2040</v>
      </c>
      <c r="B84" s="180">
        <f>A84-5</f>
        <v>2035</v>
      </c>
      <c r="C84" s="45" t="s">
        <v>0</v>
      </c>
      <c r="D84" s="45" t="s">
        <v>337</v>
      </c>
      <c r="E84" s="45" t="s">
        <v>2</v>
      </c>
      <c r="F84" s="182">
        <v>0.99</v>
      </c>
      <c r="G84" s="182">
        <v>0.05</v>
      </c>
      <c r="H84" s="182">
        <v>0.99</v>
      </c>
      <c r="I84" s="45">
        <v>1200</v>
      </c>
      <c r="J84" s="47">
        <v>255.55555555555554</v>
      </c>
      <c r="K84" s="45">
        <v>0</v>
      </c>
      <c r="L84" s="45">
        <v>80</v>
      </c>
      <c r="M84" s="45">
        <v>750</v>
      </c>
    </row>
    <row r="85" spans="1:13" ht="15.75" x14ac:dyDescent="0.25">
      <c r="A85" s="121">
        <v>2050</v>
      </c>
      <c r="B85" s="191">
        <f t="shared" ref="B85" si="14">A85-5</f>
        <v>2045</v>
      </c>
      <c r="C85" s="121" t="s">
        <v>0</v>
      </c>
      <c r="D85" s="45" t="s">
        <v>337</v>
      </c>
      <c r="E85" s="121" t="s">
        <v>2</v>
      </c>
      <c r="F85" s="192">
        <v>0.99</v>
      </c>
      <c r="G85" s="192">
        <v>0.05</v>
      </c>
      <c r="H85" s="192">
        <v>0.99</v>
      </c>
      <c r="I85" s="121">
        <v>1400</v>
      </c>
      <c r="J85" s="47">
        <v>297.87234042553195</v>
      </c>
      <c r="K85" s="45">
        <v>0</v>
      </c>
      <c r="L85" s="45">
        <v>70</v>
      </c>
      <c r="M85" s="121">
        <v>750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92D050"/>
  </sheetPr>
  <dimension ref="A1:F1751"/>
  <sheetViews>
    <sheetView topLeftCell="A4" workbookViewId="0">
      <selection activeCell="E11" sqref="E11"/>
    </sheetView>
  </sheetViews>
  <sheetFormatPr defaultColWidth="9.140625" defaultRowHeight="15.75" x14ac:dyDescent="0.25"/>
  <cols>
    <col min="1" max="1" width="7.28515625" style="21" bestFit="1" customWidth="1"/>
    <col min="2" max="2" width="10.42578125" style="21" bestFit="1" customWidth="1"/>
    <col min="3" max="3" width="14.85546875" style="21" customWidth="1"/>
    <col min="4" max="4" width="12" style="21" bestFit="1" customWidth="1"/>
    <col min="5" max="5" width="22.85546875" style="21" customWidth="1"/>
    <col min="6" max="6" width="28.140625" style="21" bestFit="1" customWidth="1"/>
    <col min="7" max="16384" width="9.140625" style="5"/>
  </cols>
  <sheetData>
    <row r="1" spans="1:6" ht="90" customHeight="1" x14ac:dyDescent="0.25">
      <c r="A1" s="35" t="s">
        <v>16</v>
      </c>
      <c r="B1" s="35" t="s">
        <v>21</v>
      </c>
      <c r="C1" s="35" t="s">
        <v>46</v>
      </c>
      <c r="D1" s="35" t="s">
        <v>22</v>
      </c>
      <c r="E1" s="35" t="s">
        <v>228</v>
      </c>
      <c r="F1" s="35" t="s">
        <v>229</v>
      </c>
    </row>
    <row r="2" spans="1:6" ht="15" x14ac:dyDescent="0.25">
      <c r="A2" s="81">
        <v>2</v>
      </c>
      <c r="B2" s="81" t="s">
        <v>286</v>
      </c>
      <c r="C2" s="81" t="s">
        <v>6</v>
      </c>
      <c r="D2" s="81" t="s">
        <v>361</v>
      </c>
      <c r="E2" s="85" t="s">
        <v>277</v>
      </c>
      <c r="F2" s="81" t="s">
        <v>230</v>
      </c>
    </row>
    <row r="3" spans="1:6" ht="15" x14ac:dyDescent="0.25">
      <c r="A3" s="81">
        <v>3</v>
      </c>
      <c r="B3" s="107" t="s">
        <v>349</v>
      </c>
      <c r="C3" s="81" t="s">
        <v>6</v>
      </c>
      <c r="D3" s="124" t="s">
        <v>361</v>
      </c>
      <c r="E3" s="81" t="s">
        <v>277</v>
      </c>
      <c r="F3" s="81" t="s">
        <v>230</v>
      </c>
    </row>
    <row r="4" spans="1:6" ht="15" x14ac:dyDescent="0.25">
      <c r="A4" s="10">
        <v>3</v>
      </c>
      <c r="B4" s="10" t="s">
        <v>355</v>
      </c>
      <c r="C4" s="10" t="s">
        <v>6</v>
      </c>
      <c r="D4" s="124" t="s">
        <v>361</v>
      </c>
      <c r="E4" s="10" t="s">
        <v>277</v>
      </c>
      <c r="F4" s="10" t="s">
        <v>230</v>
      </c>
    </row>
    <row r="5" spans="1:6" ht="15" x14ac:dyDescent="0.25">
      <c r="A5" s="81">
        <v>3</v>
      </c>
      <c r="B5" s="107" t="s">
        <v>280</v>
      </c>
      <c r="C5" s="81" t="s">
        <v>6</v>
      </c>
      <c r="D5" s="124" t="s">
        <v>361</v>
      </c>
      <c r="E5" s="81" t="s">
        <v>277</v>
      </c>
      <c r="F5" s="81" t="s">
        <v>230</v>
      </c>
    </row>
    <row r="6" spans="1:6" ht="15" x14ac:dyDescent="0.25">
      <c r="A6" s="81">
        <v>3</v>
      </c>
      <c r="B6" s="81" t="s">
        <v>286</v>
      </c>
      <c r="C6" s="81" t="s">
        <v>6</v>
      </c>
      <c r="D6" s="81" t="s">
        <v>361</v>
      </c>
      <c r="E6" s="81" t="s">
        <v>277</v>
      </c>
      <c r="F6" s="81" t="s">
        <v>230</v>
      </c>
    </row>
    <row r="7" spans="1:6" ht="15" x14ac:dyDescent="0.25">
      <c r="A7" s="10">
        <v>4</v>
      </c>
      <c r="B7" s="10" t="s">
        <v>355</v>
      </c>
      <c r="C7" s="10" t="s">
        <v>6</v>
      </c>
      <c r="D7" s="124" t="s">
        <v>361</v>
      </c>
      <c r="E7" s="10" t="s">
        <v>277</v>
      </c>
      <c r="F7" s="10" t="s">
        <v>230</v>
      </c>
    </row>
    <row r="8" spans="1:6" ht="15" x14ac:dyDescent="0.25">
      <c r="A8" s="81">
        <v>4</v>
      </c>
      <c r="B8" s="107" t="s">
        <v>287</v>
      </c>
      <c r="C8" s="81" t="s">
        <v>6</v>
      </c>
      <c r="D8" s="124" t="s">
        <v>361</v>
      </c>
      <c r="E8" s="81" t="s">
        <v>277</v>
      </c>
      <c r="F8" s="81" t="s">
        <v>230</v>
      </c>
    </row>
    <row r="9" spans="1:6" ht="15" x14ac:dyDescent="0.25">
      <c r="A9" s="81">
        <v>4</v>
      </c>
      <c r="B9" s="81" t="s">
        <v>377</v>
      </c>
      <c r="C9" s="81" t="s">
        <v>6</v>
      </c>
      <c r="D9" s="81" t="s">
        <v>361</v>
      </c>
      <c r="E9" s="85" t="s">
        <v>277</v>
      </c>
      <c r="F9" s="81" t="s">
        <v>230</v>
      </c>
    </row>
    <row r="10" spans="1:6" ht="15" x14ac:dyDescent="0.25">
      <c r="A10" s="81">
        <v>5</v>
      </c>
      <c r="B10" s="81" t="s">
        <v>288</v>
      </c>
      <c r="C10" s="81" t="s">
        <v>6</v>
      </c>
      <c r="D10" s="81" t="s">
        <v>361</v>
      </c>
      <c r="E10" s="85" t="s">
        <v>277</v>
      </c>
      <c r="F10" s="81" t="s">
        <v>230</v>
      </c>
    </row>
    <row r="11" spans="1:6" ht="15" x14ac:dyDescent="0.25">
      <c r="A11" s="81">
        <v>6</v>
      </c>
      <c r="B11" s="81" t="s">
        <v>279</v>
      </c>
      <c r="C11" s="81" t="s">
        <v>6</v>
      </c>
      <c r="D11" s="124" t="s">
        <v>361</v>
      </c>
      <c r="E11" s="200" t="s">
        <v>343</v>
      </c>
      <c r="F11" s="81" t="s">
        <v>230</v>
      </c>
    </row>
    <row r="12" spans="1:6" ht="15" x14ac:dyDescent="0.25">
      <c r="A12" s="10">
        <v>6</v>
      </c>
      <c r="B12" s="10" t="s">
        <v>355</v>
      </c>
      <c r="C12" s="10" t="s">
        <v>6</v>
      </c>
      <c r="D12" s="124" t="s">
        <v>361</v>
      </c>
      <c r="E12" s="87" t="s">
        <v>343</v>
      </c>
      <c r="F12" s="10" t="s">
        <v>230</v>
      </c>
    </row>
    <row r="13" spans="1:6" ht="15" x14ac:dyDescent="0.25">
      <c r="A13" s="10">
        <v>6</v>
      </c>
      <c r="B13" s="10" t="s">
        <v>377</v>
      </c>
      <c r="C13" s="10" t="s">
        <v>6</v>
      </c>
      <c r="D13" s="124" t="s">
        <v>361</v>
      </c>
      <c r="E13" s="87" t="s">
        <v>343</v>
      </c>
      <c r="F13" s="10" t="s">
        <v>230</v>
      </c>
    </row>
    <row r="14" spans="1:6" ht="15" x14ac:dyDescent="0.25">
      <c r="A14" s="10">
        <v>7</v>
      </c>
      <c r="B14" s="10" t="s">
        <v>227</v>
      </c>
      <c r="C14" s="10" t="s">
        <v>6</v>
      </c>
      <c r="D14" s="10" t="s">
        <v>360</v>
      </c>
      <c r="E14" s="10" t="s">
        <v>345</v>
      </c>
      <c r="F14" s="10" t="s">
        <v>230</v>
      </c>
    </row>
    <row r="15" spans="1:6" ht="15" x14ac:dyDescent="0.25">
      <c r="A15" s="81">
        <v>7</v>
      </c>
      <c r="B15" s="81" t="s">
        <v>280</v>
      </c>
      <c r="C15" s="81" t="s">
        <v>6</v>
      </c>
      <c r="D15" s="124" t="s">
        <v>361</v>
      </c>
      <c r="E15" s="81" t="s">
        <v>343</v>
      </c>
      <c r="F15" s="81" t="s">
        <v>230</v>
      </c>
    </row>
    <row r="16" spans="1:6" ht="15" x14ac:dyDescent="0.25">
      <c r="A16" s="10">
        <v>7</v>
      </c>
      <c r="B16" s="10" t="s">
        <v>355</v>
      </c>
      <c r="C16" s="10" t="s">
        <v>6</v>
      </c>
      <c r="D16" s="10" t="s">
        <v>361</v>
      </c>
      <c r="E16" s="10" t="s">
        <v>343</v>
      </c>
      <c r="F16" s="10" t="s">
        <v>230</v>
      </c>
    </row>
    <row r="17" spans="1:6" ht="15" x14ac:dyDescent="0.25">
      <c r="A17" s="10">
        <v>7</v>
      </c>
      <c r="B17" s="10" t="s">
        <v>226</v>
      </c>
      <c r="C17" s="10" t="s">
        <v>6</v>
      </c>
      <c r="D17" s="10" t="s">
        <v>361</v>
      </c>
      <c r="E17" s="10" t="s">
        <v>343</v>
      </c>
      <c r="F17" s="10" t="s">
        <v>230</v>
      </c>
    </row>
    <row r="18" spans="1:6" ht="15" x14ac:dyDescent="0.25">
      <c r="A18" s="81">
        <v>8</v>
      </c>
      <c r="B18" s="107" t="s">
        <v>338</v>
      </c>
      <c r="C18" s="81" t="s">
        <v>6</v>
      </c>
      <c r="D18" s="10" t="s">
        <v>360</v>
      </c>
      <c r="E18" s="85" t="s">
        <v>345</v>
      </c>
      <c r="F18" s="81" t="s">
        <v>230</v>
      </c>
    </row>
    <row r="19" spans="1:6" ht="15" x14ac:dyDescent="0.25">
      <c r="A19" s="81">
        <v>8</v>
      </c>
      <c r="B19" s="118" t="s">
        <v>353</v>
      </c>
      <c r="C19" s="81" t="s">
        <v>6</v>
      </c>
      <c r="D19" s="10" t="s">
        <v>360</v>
      </c>
      <c r="E19" s="85" t="s">
        <v>345</v>
      </c>
      <c r="F19" s="81" t="s">
        <v>230</v>
      </c>
    </row>
    <row r="20" spans="1:6" ht="15" x14ac:dyDescent="0.25">
      <c r="A20" s="81">
        <v>8</v>
      </c>
      <c r="B20" s="118" t="s">
        <v>379</v>
      </c>
      <c r="C20" s="81" t="s">
        <v>6</v>
      </c>
      <c r="D20" s="124" t="s">
        <v>359</v>
      </c>
      <c r="E20" s="85" t="s">
        <v>345</v>
      </c>
      <c r="F20" s="81" t="s">
        <v>230</v>
      </c>
    </row>
    <row r="21" spans="1:6" ht="15" x14ac:dyDescent="0.25">
      <c r="A21" s="81">
        <v>8</v>
      </c>
      <c r="B21" s="118" t="s">
        <v>380</v>
      </c>
      <c r="C21" s="81" t="s">
        <v>6</v>
      </c>
      <c r="D21" s="124" t="s">
        <v>359</v>
      </c>
      <c r="E21" s="85" t="s">
        <v>345</v>
      </c>
      <c r="F21" s="81" t="s">
        <v>230</v>
      </c>
    </row>
    <row r="22" spans="1:6" ht="15" x14ac:dyDescent="0.25">
      <c r="A22" s="81">
        <v>8</v>
      </c>
      <c r="B22" s="107" t="s">
        <v>348</v>
      </c>
      <c r="C22" s="81" t="s">
        <v>6</v>
      </c>
      <c r="D22" s="10" t="s">
        <v>360</v>
      </c>
      <c r="E22" s="85" t="s">
        <v>345</v>
      </c>
      <c r="F22" s="81" t="s">
        <v>230</v>
      </c>
    </row>
    <row r="23" spans="1:6" ht="15" x14ac:dyDescent="0.25">
      <c r="A23" s="81">
        <v>8</v>
      </c>
      <c r="B23" s="117" t="s">
        <v>381</v>
      </c>
      <c r="C23" s="81" t="s">
        <v>6</v>
      </c>
      <c r="D23" s="124" t="s">
        <v>359</v>
      </c>
      <c r="E23" s="85" t="s">
        <v>345</v>
      </c>
      <c r="F23" s="81" t="s">
        <v>230</v>
      </c>
    </row>
    <row r="24" spans="1:6" ht="15" x14ac:dyDescent="0.25">
      <c r="A24" s="81">
        <v>8</v>
      </c>
      <c r="B24" s="81" t="s">
        <v>296</v>
      </c>
      <c r="C24" s="81" t="s">
        <v>6</v>
      </c>
      <c r="D24" s="124" t="s">
        <v>359</v>
      </c>
      <c r="E24" s="85" t="s">
        <v>345</v>
      </c>
      <c r="F24" s="81" t="s">
        <v>230</v>
      </c>
    </row>
    <row r="25" spans="1:6" ht="15" x14ac:dyDescent="0.25">
      <c r="A25" s="81">
        <v>8</v>
      </c>
      <c r="B25" s="107" t="s">
        <v>299</v>
      </c>
      <c r="C25" s="81" t="s">
        <v>6</v>
      </c>
      <c r="D25" s="10" t="s">
        <v>359</v>
      </c>
      <c r="E25" s="85" t="s">
        <v>345</v>
      </c>
      <c r="F25" s="81" t="s">
        <v>230</v>
      </c>
    </row>
    <row r="26" spans="1:6" ht="15" x14ac:dyDescent="0.25">
      <c r="A26" s="10">
        <v>8</v>
      </c>
      <c r="B26" s="10" t="s">
        <v>227</v>
      </c>
      <c r="C26" s="10" t="s">
        <v>6</v>
      </c>
      <c r="D26" s="10" t="s">
        <v>359</v>
      </c>
      <c r="E26" s="10" t="s">
        <v>345</v>
      </c>
      <c r="F26" s="10" t="s">
        <v>230</v>
      </c>
    </row>
    <row r="27" spans="1:6" ht="15" x14ac:dyDescent="0.25">
      <c r="A27" s="10">
        <v>8</v>
      </c>
      <c r="B27" s="10" t="s">
        <v>227</v>
      </c>
      <c r="C27" s="10" t="s">
        <v>6</v>
      </c>
      <c r="D27" s="10" t="s">
        <v>360</v>
      </c>
      <c r="E27" s="30" t="s">
        <v>345</v>
      </c>
      <c r="F27" s="10" t="s">
        <v>230</v>
      </c>
    </row>
    <row r="28" spans="1:6" ht="15" x14ac:dyDescent="0.25">
      <c r="A28" s="81">
        <v>8</v>
      </c>
      <c r="B28" s="107" t="s">
        <v>350</v>
      </c>
      <c r="C28" s="81" t="s">
        <v>6</v>
      </c>
      <c r="D28" s="124" t="s">
        <v>362</v>
      </c>
      <c r="E28" s="86" t="s">
        <v>343</v>
      </c>
      <c r="F28" s="81" t="s">
        <v>230</v>
      </c>
    </row>
    <row r="29" spans="1:6" ht="15" customHeight="1" x14ac:dyDescent="0.25">
      <c r="A29" s="81">
        <v>8</v>
      </c>
      <c r="B29" s="81" t="s">
        <v>279</v>
      </c>
      <c r="C29" s="81" t="s">
        <v>6</v>
      </c>
      <c r="D29" s="124" t="s">
        <v>362</v>
      </c>
      <c r="E29" s="81" t="s">
        <v>343</v>
      </c>
      <c r="F29" s="81" t="s">
        <v>230</v>
      </c>
    </row>
    <row r="30" spans="1:6" ht="15" x14ac:dyDescent="0.25">
      <c r="A30" s="81">
        <v>8</v>
      </c>
      <c r="B30" s="81" t="s">
        <v>281</v>
      </c>
      <c r="C30" s="81" t="s">
        <v>6</v>
      </c>
      <c r="D30" s="124" t="s">
        <v>362</v>
      </c>
      <c r="E30" s="81" t="s">
        <v>343</v>
      </c>
      <c r="F30" s="81" t="s">
        <v>230</v>
      </c>
    </row>
    <row r="31" spans="1:6" ht="15" x14ac:dyDescent="0.25">
      <c r="A31" s="81">
        <v>8</v>
      </c>
      <c r="B31" s="81" t="s">
        <v>275</v>
      </c>
      <c r="C31" s="81" t="s">
        <v>6</v>
      </c>
      <c r="D31" s="81" t="s">
        <v>362</v>
      </c>
      <c r="E31" s="81" t="s">
        <v>343</v>
      </c>
      <c r="F31" s="81" t="s">
        <v>230</v>
      </c>
    </row>
    <row r="32" spans="1:6" ht="15" x14ac:dyDescent="0.25">
      <c r="A32" s="10">
        <v>8</v>
      </c>
      <c r="B32" s="10" t="s">
        <v>226</v>
      </c>
      <c r="C32" s="10" t="s">
        <v>6</v>
      </c>
      <c r="D32" s="10" t="s">
        <v>362</v>
      </c>
      <c r="E32" s="10" t="s">
        <v>343</v>
      </c>
      <c r="F32" s="10" t="s">
        <v>230</v>
      </c>
    </row>
    <row r="33" spans="1:6" ht="15" x14ac:dyDescent="0.25">
      <c r="A33" s="81">
        <v>2</v>
      </c>
      <c r="B33" s="81" t="s">
        <v>286</v>
      </c>
      <c r="C33" s="81" t="s">
        <v>47</v>
      </c>
      <c r="D33" s="81" t="s">
        <v>361</v>
      </c>
      <c r="E33" s="81" t="s">
        <v>319</v>
      </c>
      <c r="F33" s="81" t="s">
        <v>230</v>
      </c>
    </row>
    <row r="34" spans="1:6" ht="15" x14ac:dyDescent="0.25">
      <c r="A34" s="81">
        <v>3</v>
      </c>
      <c r="B34" s="107" t="s">
        <v>349</v>
      </c>
      <c r="C34" s="81" t="s">
        <v>47</v>
      </c>
      <c r="D34" s="124" t="s">
        <v>361</v>
      </c>
      <c r="E34" s="81" t="s">
        <v>319</v>
      </c>
      <c r="F34" s="81" t="s">
        <v>230</v>
      </c>
    </row>
    <row r="35" spans="1:6" ht="15" x14ac:dyDescent="0.25">
      <c r="A35" s="10">
        <v>3</v>
      </c>
      <c r="B35" s="10" t="s">
        <v>355</v>
      </c>
      <c r="C35" s="10" t="s">
        <v>47</v>
      </c>
      <c r="D35" s="124" t="s">
        <v>361</v>
      </c>
      <c r="E35" s="10" t="s">
        <v>319</v>
      </c>
      <c r="F35" s="10" t="s">
        <v>230</v>
      </c>
    </row>
    <row r="36" spans="1:6" ht="15" x14ac:dyDescent="0.25">
      <c r="A36" s="81">
        <v>3</v>
      </c>
      <c r="B36" s="107" t="s">
        <v>280</v>
      </c>
      <c r="C36" s="81" t="s">
        <v>47</v>
      </c>
      <c r="D36" s="124" t="s">
        <v>361</v>
      </c>
      <c r="E36" s="81" t="s">
        <v>319</v>
      </c>
      <c r="F36" s="81" t="s">
        <v>230</v>
      </c>
    </row>
    <row r="37" spans="1:6" ht="15" x14ac:dyDescent="0.25">
      <c r="A37" s="81">
        <v>3</v>
      </c>
      <c r="B37" s="81" t="s">
        <v>286</v>
      </c>
      <c r="C37" s="81" t="s">
        <v>47</v>
      </c>
      <c r="D37" s="81" t="s">
        <v>361</v>
      </c>
      <c r="E37" s="81" t="s">
        <v>319</v>
      </c>
      <c r="F37" s="81" t="s">
        <v>230</v>
      </c>
    </row>
    <row r="38" spans="1:6" ht="15" x14ac:dyDescent="0.25">
      <c r="A38" s="10">
        <v>4</v>
      </c>
      <c r="B38" s="10" t="s">
        <v>355</v>
      </c>
      <c r="C38" s="10" t="s">
        <v>47</v>
      </c>
      <c r="D38" s="124" t="s">
        <v>361</v>
      </c>
      <c r="E38" s="10" t="s">
        <v>319</v>
      </c>
      <c r="F38" s="10" t="s">
        <v>230</v>
      </c>
    </row>
    <row r="39" spans="1:6" ht="15" x14ac:dyDescent="0.25">
      <c r="A39" s="81">
        <v>4</v>
      </c>
      <c r="B39" s="107" t="s">
        <v>287</v>
      </c>
      <c r="C39" s="81" t="s">
        <v>47</v>
      </c>
      <c r="D39" s="124" t="s">
        <v>361</v>
      </c>
      <c r="E39" s="81" t="s">
        <v>319</v>
      </c>
      <c r="F39" s="81" t="s">
        <v>230</v>
      </c>
    </row>
    <row r="40" spans="1:6" ht="15" x14ac:dyDescent="0.25">
      <c r="A40" s="81">
        <v>4</v>
      </c>
      <c r="B40" s="81" t="s">
        <v>377</v>
      </c>
      <c r="C40" s="81" t="s">
        <v>47</v>
      </c>
      <c r="D40" s="81" t="s">
        <v>361</v>
      </c>
      <c r="E40" s="85" t="s">
        <v>319</v>
      </c>
      <c r="F40" s="81" t="s">
        <v>230</v>
      </c>
    </row>
    <row r="41" spans="1:6" ht="15" x14ac:dyDescent="0.25">
      <c r="A41" s="81">
        <v>5</v>
      </c>
      <c r="B41" s="81" t="s">
        <v>288</v>
      </c>
      <c r="C41" s="81" t="s">
        <v>47</v>
      </c>
      <c r="D41" s="81" t="s">
        <v>361</v>
      </c>
      <c r="E41" s="85" t="s">
        <v>319</v>
      </c>
      <c r="F41" s="81" t="s">
        <v>230</v>
      </c>
    </row>
    <row r="42" spans="1:6" ht="15" x14ac:dyDescent="0.25">
      <c r="A42" s="81">
        <v>6</v>
      </c>
      <c r="B42" s="81" t="s">
        <v>279</v>
      </c>
      <c r="C42" s="81" t="s">
        <v>47</v>
      </c>
      <c r="D42" s="124" t="s">
        <v>361</v>
      </c>
      <c r="E42" s="81" t="s">
        <v>319</v>
      </c>
      <c r="F42" s="81" t="s">
        <v>230</v>
      </c>
    </row>
    <row r="43" spans="1:6" ht="15" x14ac:dyDescent="0.25">
      <c r="A43" s="10">
        <v>6</v>
      </c>
      <c r="B43" s="10" t="s">
        <v>355</v>
      </c>
      <c r="C43" s="10" t="s">
        <v>47</v>
      </c>
      <c r="D43" s="124" t="s">
        <v>361</v>
      </c>
      <c r="E43" s="10" t="s">
        <v>319</v>
      </c>
      <c r="F43" s="10" t="s">
        <v>230</v>
      </c>
    </row>
    <row r="44" spans="1:6" ht="15" x14ac:dyDescent="0.25">
      <c r="A44" s="10">
        <v>6</v>
      </c>
      <c r="B44" s="10" t="s">
        <v>377</v>
      </c>
      <c r="C44" s="10" t="s">
        <v>47</v>
      </c>
      <c r="D44" s="124" t="s">
        <v>361</v>
      </c>
      <c r="E44" s="10" t="s">
        <v>319</v>
      </c>
      <c r="F44" s="10" t="s">
        <v>230</v>
      </c>
    </row>
    <row r="45" spans="1:6" ht="15" x14ac:dyDescent="0.25">
      <c r="A45" s="10">
        <v>7</v>
      </c>
      <c r="B45" s="10" t="s">
        <v>227</v>
      </c>
      <c r="C45" s="10" t="s">
        <v>47</v>
      </c>
      <c r="D45" s="10" t="s">
        <v>360</v>
      </c>
      <c r="E45" s="10" t="s">
        <v>303</v>
      </c>
      <c r="F45" s="10" t="s">
        <v>230</v>
      </c>
    </row>
    <row r="46" spans="1:6" ht="15" x14ac:dyDescent="0.25">
      <c r="A46" s="81">
        <v>7</v>
      </c>
      <c r="B46" s="81" t="s">
        <v>280</v>
      </c>
      <c r="C46" s="81" t="s">
        <v>47</v>
      </c>
      <c r="D46" s="124" t="s">
        <v>361</v>
      </c>
      <c r="E46" s="81" t="s">
        <v>319</v>
      </c>
      <c r="F46" s="81" t="s">
        <v>230</v>
      </c>
    </row>
    <row r="47" spans="1:6" ht="15" x14ac:dyDescent="0.25">
      <c r="A47" s="10">
        <v>7</v>
      </c>
      <c r="B47" s="10" t="s">
        <v>355</v>
      </c>
      <c r="C47" s="10" t="s">
        <v>47</v>
      </c>
      <c r="D47" s="10" t="s">
        <v>361</v>
      </c>
      <c r="E47" s="10" t="s">
        <v>319</v>
      </c>
      <c r="F47" s="10" t="s">
        <v>230</v>
      </c>
    </row>
    <row r="48" spans="1:6" ht="15" x14ac:dyDescent="0.25">
      <c r="A48" s="10">
        <v>7</v>
      </c>
      <c r="B48" s="10" t="s">
        <v>226</v>
      </c>
      <c r="C48" s="10" t="s">
        <v>47</v>
      </c>
      <c r="D48" s="10" t="s">
        <v>361</v>
      </c>
      <c r="E48" s="10" t="s">
        <v>319</v>
      </c>
      <c r="F48" s="10" t="s">
        <v>230</v>
      </c>
    </row>
    <row r="49" spans="1:6" ht="15" x14ac:dyDescent="0.25">
      <c r="A49" s="81">
        <v>8</v>
      </c>
      <c r="B49" s="107" t="s">
        <v>338</v>
      </c>
      <c r="C49" s="81" t="s">
        <v>47</v>
      </c>
      <c r="D49" s="10" t="s">
        <v>360</v>
      </c>
      <c r="E49" s="85" t="s">
        <v>303</v>
      </c>
      <c r="F49" s="81" t="s">
        <v>230</v>
      </c>
    </row>
    <row r="50" spans="1:6" ht="15" x14ac:dyDescent="0.25">
      <c r="A50" s="81">
        <v>8</v>
      </c>
      <c r="B50" s="118" t="s">
        <v>353</v>
      </c>
      <c r="C50" s="81" t="s">
        <v>47</v>
      </c>
      <c r="D50" s="10" t="s">
        <v>360</v>
      </c>
      <c r="E50" s="85" t="s">
        <v>303</v>
      </c>
      <c r="F50" s="81" t="s">
        <v>230</v>
      </c>
    </row>
    <row r="51" spans="1:6" ht="15" x14ac:dyDescent="0.25">
      <c r="A51" s="81">
        <v>8</v>
      </c>
      <c r="B51" s="118" t="s">
        <v>379</v>
      </c>
      <c r="C51" s="81" t="s">
        <v>47</v>
      </c>
      <c r="D51" s="124" t="s">
        <v>359</v>
      </c>
      <c r="E51" s="85" t="s">
        <v>303</v>
      </c>
      <c r="F51" s="81" t="s">
        <v>230</v>
      </c>
    </row>
    <row r="52" spans="1:6" ht="15" x14ac:dyDescent="0.25">
      <c r="A52" s="81">
        <v>8</v>
      </c>
      <c r="B52" s="118" t="s">
        <v>380</v>
      </c>
      <c r="C52" s="81" t="s">
        <v>47</v>
      </c>
      <c r="D52" s="124" t="s">
        <v>359</v>
      </c>
      <c r="E52" s="85" t="s">
        <v>303</v>
      </c>
      <c r="F52" s="81" t="s">
        <v>230</v>
      </c>
    </row>
    <row r="53" spans="1:6" ht="15" x14ac:dyDescent="0.25">
      <c r="A53" s="81">
        <v>8</v>
      </c>
      <c r="B53" s="107" t="s">
        <v>348</v>
      </c>
      <c r="C53" s="81" t="s">
        <v>47</v>
      </c>
      <c r="D53" s="10" t="s">
        <v>360</v>
      </c>
      <c r="E53" s="85" t="s">
        <v>303</v>
      </c>
      <c r="F53" s="81" t="s">
        <v>230</v>
      </c>
    </row>
    <row r="54" spans="1:6" ht="15" x14ac:dyDescent="0.25">
      <c r="A54" s="81">
        <v>8</v>
      </c>
      <c r="B54" s="117" t="s">
        <v>381</v>
      </c>
      <c r="C54" s="81" t="s">
        <v>47</v>
      </c>
      <c r="D54" s="124" t="s">
        <v>359</v>
      </c>
      <c r="E54" s="85" t="s">
        <v>303</v>
      </c>
      <c r="F54" s="81" t="s">
        <v>230</v>
      </c>
    </row>
    <row r="55" spans="1:6" ht="15" x14ac:dyDescent="0.25">
      <c r="A55" s="81">
        <v>8</v>
      </c>
      <c r="B55" s="81" t="s">
        <v>296</v>
      </c>
      <c r="C55" s="81" t="s">
        <v>47</v>
      </c>
      <c r="D55" s="124" t="s">
        <v>359</v>
      </c>
      <c r="E55" s="85" t="s">
        <v>303</v>
      </c>
      <c r="F55" s="81" t="s">
        <v>230</v>
      </c>
    </row>
    <row r="56" spans="1:6" ht="15" x14ac:dyDescent="0.25">
      <c r="A56" s="81">
        <v>8</v>
      </c>
      <c r="B56" s="107" t="s">
        <v>299</v>
      </c>
      <c r="C56" s="81" t="s">
        <v>47</v>
      </c>
      <c r="D56" s="124" t="s">
        <v>359</v>
      </c>
      <c r="E56" s="85" t="s">
        <v>303</v>
      </c>
      <c r="F56" s="81" t="s">
        <v>230</v>
      </c>
    </row>
    <row r="57" spans="1:6" ht="15" x14ac:dyDescent="0.25">
      <c r="A57" s="10">
        <v>8</v>
      </c>
      <c r="B57" s="10" t="s">
        <v>227</v>
      </c>
      <c r="C57" s="10" t="s">
        <v>47</v>
      </c>
      <c r="D57" s="124" t="s">
        <v>359</v>
      </c>
      <c r="E57" s="30" t="s">
        <v>303</v>
      </c>
      <c r="F57" s="10" t="s">
        <v>230</v>
      </c>
    </row>
    <row r="58" spans="1:6" ht="15" x14ac:dyDescent="0.25">
      <c r="A58" s="10">
        <v>8</v>
      </c>
      <c r="B58" s="10" t="s">
        <v>227</v>
      </c>
      <c r="C58" s="10" t="s">
        <v>47</v>
      </c>
      <c r="D58" s="10" t="s">
        <v>360</v>
      </c>
      <c r="E58" s="10" t="s">
        <v>303</v>
      </c>
      <c r="F58" s="10" t="s">
        <v>230</v>
      </c>
    </row>
    <row r="59" spans="1:6" ht="15" x14ac:dyDescent="0.25">
      <c r="A59" s="81">
        <v>8</v>
      </c>
      <c r="B59" s="107" t="s">
        <v>350</v>
      </c>
      <c r="C59" s="81" t="s">
        <v>47</v>
      </c>
      <c r="D59" s="81" t="s">
        <v>362</v>
      </c>
      <c r="E59" s="81" t="s">
        <v>319</v>
      </c>
      <c r="F59" s="81" t="s">
        <v>230</v>
      </c>
    </row>
    <row r="60" spans="1:6" ht="15" x14ac:dyDescent="0.25">
      <c r="A60" s="81">
        <v>8</v>
      </c>
      <c r="B60" s="81" t="s">
        <v>279</v>
      </c>
      <c r="C60" s="81" t="s">
        <v>47</v>
      </c>
      <c r="D60" s="81" t="s">
        <v>362</v>
      </c>
      <c r="E60" s="81" t="s">
        <v>319</v>
      </c>
      <c r="F60" s="81" t="s">
        <v>230</v>
      </c>
    </row>
    <row r="61" spans="1:6" ht="15" x14ac:dyDescent="0.25">
      <c r="A61" s="81">
        <v>8</v>
      </c>
      <c r="B61" s="81" t="s">
        <v>281</v>
      </c>
      <c r="C61" s="81" t="s">
        <v>47</v>
      </c>
      <c r="D61" s="81" t="s">
        <v>362</v>
      </c>
      <c r="E61" s="81" t="s">
        <v>319</v>
      </c>
      <c r="F61" s="81" t="s">
        <v>230</v>
      </c>
    </row>
    <row r="62" spans="1:6" ht="15" x14ac:dyDescent="0.25">
      <c r="A62" s="81">
        <v>8</v>
      </c>
      <c r="B62" s="81" t="s">
        <v>275</v>
      </c>
      <c r="C62" s="81" t="s">
        <v>47</v>
      </c>
      <c r="D62" s="81" t="s">
        <v>362</v>
      </c>
      <c r="E62" s="81" t="s">
        <v>319</v>
      </c>
      <c r="F62" s="81" t="s">
        <v>230</v>
      </c>
    </row>
    <row r="63" spans="1:6" ht="15" x14ac:dyDescent="0.25">
      <c r="A63" s="10">
        <v>8</v>
      </c>
      <c r="B63" s="10" t="s">
        <v>226</v>
      </c>
      <c r="C63" s="10" t="s">
        <v>47</v>
      </c>
      <c r="D63" s="10" t="s">
        <v>362</v>
      </c>
      <c r="E63" s="10" t="s">
        <v>319</v>
      </c>
      <c r="F63" s="10" t="s">
        <v>230</v>
      </c>
    </row>
    <row r="64" spans="1:6" ht="15" x14ac:dyDescent="0.25">
      <c r="A64" s="81">
        <v>2</v>
      </c>
      <c r="B64" s="81" t="s">
        <v>286</v>
      </c>
      <c r="C64" s="81" t="s">
        <v>410</v>
      </c>
      <c r="D64" s="81" t="s">
        <v>361</v>
      </c>
      <c r="E64" s="81" t="s">
        <v>278</v>
      </c>
      <c r="F64" s="81" t="s">
        <v>230</v>
      </c>
    </row>
    <row r="65" spans="1:6" ht="15" x14ac:dyDescent="0.25">
      <c r="A65" s="81">
        <v>3</v>
      </c>
      <c r="B65" s="107" t="s">
        <v>349</v>
      </c>
      <c r="C65" s="81" t="s">
        <v>410</v>
      </c>
      <c r="D65" s="124" t="s">
        <v>361</v>
      </c>
      <c r="E65" s="81" t="s">
        <v>278</v>
      </c>
      <c r="F65" s="81" t="s">
        <v>230</v>
      </c>
    </row>
    <row r="66" spans="1:6" ht="15" x14ac:dyDescent="0.25">
      <c r="A66" s="81">
        <v>3</v>
      </c>
      <c r="B66" s="81" t="s">
        <v>355</v>
      </c>
      <c r="C66" s="81" t="s">
        <v>410</v>
      </c>
      <c r="D66" s="124" t="s">
        <v>361</v>
      </c>
      <c r="E66" s="81" t="s">
        <v>278</v>
      </c>
      <c r="F66" s="81" t="s">
        <v>230</v>
      </c>
    </row>
    <row r="67" spans="1:6" ht="15" x14ac:dyDescent="0.25">
      <c r="A67" s="81">
        <v>3</v>
      </c>
      <c r="B67" s="107" t="s">
        <v>280</v>
      </c>
      <c r="C67" s="81" t="s">
        <v>410</v>
      </c>
      <c r="D67" s="124" t="s">
        <v>361</v>
      </c>
      <c r="E67" s="81" t="s">
        <v>278</v>
      </c>
      <c r="F67" s="81" t="s">
        <v>230</v>
      </c>
    </row>
    <row r="68" spans="1:6" ht="15" x14ac:dyDescent="0.25">
      <c r="A68" s="81">
        <v>3</v>
      </c>
      <c r="B68" s="81" t="s">
        <v>286</v>
      </c>
      <c r="C68" s="81" t="s">
        <v>410</v>
      </c>
      <c r="D68" s="81" t="s">
        <v>361</v>
      </c>
      <c r="E68" s="81" t="s">
        <v>278</v>
      </c>
      <c r="F68" s="81" t="s">
        <v>230</v>
      </c>
    </row>
    <row r="69" spans="1:6" ht="15" x14ac:dyDescent="0.25">
      <c r="A69" s="10">
        <v>4</v>
      </c>
      <c r="B69" s="10" t="s">
        <v>355</v>
      </c>
      <c r="C69" s="10" t="s">
        <v>410</v>
      </c>
      <c r="D69" s="124" t="s">
        <v>361</v>
      </c>
      <c r="E69" s="10" t="s">
        <v>278</v>
      </c>
      <c r="F69" s="10" t="s">
        <v>230</v>
      </c>
    </row>
    <row r="70" spans="1:6" ht="15" x14ac:dyDescent="0.25">
      <c r="A70" s="81">
        <v>4</v>
      </c>
      <c r="B70" s="107" t="s">
        <v>287</v>
      </c>
      <c r="C70" s="81" t="s">
        <v>410</v>
      </c>
      <c r="D70" s="124" t="s">
        <v>361</v>
      </c>
      <c r="E70" s="81" t="s">
        <v>278</v>
      </c>
      <c r="F70" s="81" t="s">
        <v>230</v>
      </c>
    </row>
    <row r="71" spans="1:6" ht="15" x14ac:dyDescent="0.25">
      <c r="A71" s="81">
        <v>4</v>
      </c>
      <c r="B71" s="81" t="s">
        <v>377</v>
      </c>
      <c r="C71" s="81" t="s">
        <v>410</v>
      </c>
      <c r="D71" s="81" t="s">
        <v>361</v>
      </c>
      <c r="E71" s="81" t="s">
        <v>278</v>
      </c>
      <c r="F71" s="81" t="s">
        <v>230</v>
      </c>
    </row>
    <row r="72" spans="1:6" ht="15" x14ac:dyDescent="0.25">
      <c r="A72" s="81">
        <v>5</v>
      </c>
      <c r="B72" s="81" t="s">
        <v>288</v>
      </c>
      <c r="C72" s="81" t="s">
        <v>410</v>
      </c>
      <c r="D72" s="81" t="s">
        <v>361</v>
      </c>
      <c r="E72" s="85" t="s">
        <v>278</v>
      </c>
      <c r="F72" s="81" t="s">
        <v>230</v>
      </c>
    </row>
    <row r="73" spans="1:6" ht="15" x14ac:dyDescent="0.25">
      <c r="A73" s="81">
        <v>6</v>
      </c>
      <c r="B73" s="81" t="s">
        <v>279</v>
      </c>
      <c r="C73" s="81" t="s">
        <v>410</v>
      </c>
      <c r="D73" s="124" t="s">
        <v>361</v>
      </c>
      <c r="E73" s="87" t="s">
        <v>344</v>
      </c>
      <c r="F73" s="81" t="s">
        <v>230</v>
      </c>
    </row>
    <row r="74" spans="1:6" ht="15" x14ac:dyDescent="0.25">
      <c r="A74" s="10">
        <v>6</v>
      </c>
      <c r="B74" s="10" t="s">
        <v>355</v>
      </c>
      <c r="C74" s="10" t="s">
        <v>410</v>
      </c>
      <c r="D74" s="124" t="s">
        <v>361</v>
      </c>
      <c r="E74" s="194" t="s">
        <v>344</v>
      </c>
      <c r="F74" s="10" t="s">
        <v>230</v>
      </c>
    </row>
    <row r="75" spans="1:6" ht="15" x14ac:dyDescent="0.25">
      <c r="A75" s="10">
        <v>6</v>
      </c>
      <c r="B75" s="10" t="s">
        <v>377</v>
      </c>
      <c r="C75" s="10" t="s">
        <v>410</v>
      </c>
      <c r="D75" s="124" t="s">
        <v>361</v>
      </c>
      <c r="E75" s="87" t="s">
        <v>344</v>
      </c>
      <c r="F75" s="10" t="s">
        <v>230</v>
      </c>
    </row>
    <row r="76" spans="1:6" ht="15" x14ac:dyDescent="0.25">
      <c r="A76" s="10">
        <v>7</v>
      </c>
      <c r="B76" s="10" t="s">
        <v>227</v>
      </c>
      <c r="C76" s="10" t="s">
        <v>410</v>
      </c>
      <c r="D76" s="10" t="s">
        <v>360</v>
      </c>
      <c r="E76" s="85" t="s">
        <v>347</v>
      </c>
      <c r="F76" s="10" t="s">
        <v>230</v>
      </c>
    </row>
    <row r="77" spans="1:6" ht="15" x14ac:dyDescent="0.25">
      <c r="A77" s="81">
        <v>7</v>
      </c>
      <c r="B77" s="81" t="s">
        <v>280</v>
      </c>
      <c r="C77" s="81" t="s">
        <v>410</v>
      </c>
      <c r="D77" s="124" t="s">
        <v>361</v>
      </c>
      <c r="E77" s="10" t="s">
        <v>344</v>
      </c>
      <c r="F77" s="81" t="s">
        <v>230</v>
      </c>
    </row>
    <row r="78" spans="1:6" ht="15" x14ac:dyDescent="0.25">
      <c r="A78" s="10">
        <v>7</v>
      </c>
      <c r="B78" s="10" t="s">
        <v>355</v>
      </c>
      <c r="C78" s="10" t="s">
        <v>410</v>
      </c>
      <c r="D78" s="10" t="s">
        <v>361</v>
      </c>
      <c r="E78" s="10" t="s">
        <v>344</v>
      </c>
      <c r="F78" s="10" t="s">
        <v>230</v>
      </c>
    </row>
    <row r="79" spans="1:6" ht="15" x14ac:dyDescent="0.25">
      <c r="A79" s="10">
        <v>7</v>
      </c>
      <c r="B79" s="10" t="s">
        <v>226</v>
      </c>
      <c r="C79" s="10" t="s">
        <v>410</v>
      </c>
      <c r="D79" s="10" t="s">
        <v>361</v>
      </c>
      <c r="E79" s="10" t="s">
        <v>344</v>
      </c>
      <c r="F79" s="10" t="s">
        <v>230</v>
      </c>
    </row>
    <row r="80" spans="1:6" ht="15" x14ac:dyDescent="0.25">
      <c r="A80" s="81">
        <v>8</v>
      </c>
      <c r="B80" s="107" t="s">
        <v>338</v>
      </c>
      <c r="C80" s="81" t="s">
        <v>410</v>
      </c>
      <c r="D80" s="10" t="s">
        <v>360</v>
      </c>
      <c r="E80" s="85" t="s">
        <v>347</v>
      </c>
      <c r="F80" s="81" t="s">
        <v>230</v>
      </c>
    </row>
    <row r="81" spans="1:6" ht="15" x14ac:dyDescent="0.25">
      <c r="A81" s="81">
        <v>8</v>
      </c>
      <c r="B81" s="118" t="s">
        <v>353</v>
      </c>
      <c r="C81" s="81" t="s">
        <v>410</v>
      </c>
      <c r="D81" s="10" t="s">
        <v>360</v>
      </c>
      <c r="E81" s="85" t="s">
        <v>347</v>
      </c>
      <c r="F81" s="81" t="s">
        <v>230</v>
      </c>
    </row>
    <row r="82" spans="1:6" ht="15" x14ac:dyDescent="0.25">
      <c r="A82" s="81">
        <v>8</v>
      </c>
      <c r="B82" s="118" t="s">
        <v>379</v>
      </c>
      <c r="C82" s="81" t="s">
        <v>410</v>
      </c>
      <c r="D82" s="124" t="s">
        <v>359</v>
      </c>
      <c r="E82" s="85" t="s">
        <v>347</v>
      </c>
      <c r="F82" s="81" t="s">
        <v>230</v>
      </c>
    </row>
    <row r="83" spans="1:6" ht="15" x14ac:dyDescent="0.25">
      <c r="A83" s="81">
        <v>8</v>
      </c>
      <c r="B83" s="118" t="s">
        <v>380</v>
      </c>
      <c r="C83" s="81" t="s">
        <v>410</v>
      </c>
      <c r="D83" s="124" t="s">
        <v>359</v>
      </c>
      <c r="E83" s="85" t="s">
        <v>347</v>
      </c>
      <c r="F83" s="81" t="s">
        <v>230</v>
      </c>
    </row>
    <row r="84" spans="1:6" ht="15" x14ac:dyDescent="0.25">
      <c r="A84" s="81">
        <v>8</v>
      </c>
      <c r="B84" s="107" t="s">
        <v>348</v>
      </c>
      <c r="C84" s="81" t="s">
        <v>410</v>
      </c>
      <c r="D84" s="10" t="s">
        <v>360</v>
      </c>
      <c r="E84" s="85" t="s">
        <v>347</v>
      </c>
      <c r="F84" s="81" t="s">
        <v>230</v>
      </c>
    </row>
    <row r="85" spans="1:6" ht="15" x14ac:dyDescent="0.25">
      <c r="A85" s="81">
        <v>8</v>
      </c>
      <c r="B85" s="117" t="s">
        <v>381</v>
      </c>
      <c r="C85" s="81" t="s">
        <v>410</v>
      </c>
      <c r="D85" s="124" t="s">
        <v>359</v>
      </c>
      <c r="E85" s="85" t="s">
        <v>347</v>
      </c>
      <c r="F85" s="81" t="s">
        <v>230</v>
      </c>
    </row>
    <row r="86" spans="1:6" ht="15" x14ac:dyDescent="0.25">
      <c r="A86" s="81">
        <v>8</v>
      </c>
      <c r="B86" s="81" t="s">
        <v>296</v>
      </c>
      <c r="C86" s="81" t="s">
        <v>410</v>
      </c>
      <c r="D86" s="124" t="s">
        <v>359</v>
      </c>
      <c r="E86" s="85" t="s">
        <v>347</v>
      </c>
      <c r="F86" s="81" t="s">
        <v>230</v>
      </c>
    </row>
    <row r="87" spans="1:6" ht="15" x14ac:dyDescent="0.25">
      <c r="A87" s="81">
        <v>8</v>
      </c>
      <c r="B87" s="107" t="s">
        <v>299</v>
      </c>
      <c r="C87" s="81" t="s">
        <v>410</v>
      </c>
      <c r="D87" s="10" t="s">
        <v>359</v>
      </c>
      <c r="E87" s="85" t="s">
        <v>347</v>
      </c>
      <c r="F87" s="81" t="s">
        <v>230</v>
      </c>
    </row>
    <row r="88" spans="1:6" ht="15" x14ac:dyDescent="0.25">
      <c r="A88" s="10">
        <v>8</v>
      </c>
      <c r="B88" s="10" t="s">
        <v>227</v>
      </c>
      <c r="C88" s="10" t="s">
        <v>410</v>
      </c>
      <c r="D88" s="10" t="s">
        <v>359</v>
      </c>
      <c r="E88" s="30" t="s">
        <v>347</v>
      </c>
      <c r="F88" s="10" t="s">
        <v>230</v>
      </c>
    </row>
    <row r="89" spans="1:6" ht="15" x14ac:dyDescent="0.25">
      <c r="A89" s="10">
        <v>8</v>
      </c>
      <c r="B89" s="10" t="s">
        <v>227</v>
      </c>
      <c r="C89" s="10" t="s">
        <v>410</v>
      </c>
      <c r="D89" s="10" t="s">
        <v>360</v>
      </c>
      <c r="E89" s="30" t="s">
        <v>347</v>
      </c>
      <c r="F89" s="10" t="s">
        <v>230</v>
      </c>
    </row>
    <row r="90" spans="1:6" ht="15" x14ac:dyDescent="0.25">
      <c r="A90" s="81">
        <v>8</v>
      </c>
      <c r="B90" s="107" t="s">
        <v>350</v>
      </c>
      <c r="C90" s="81" t="s">
        <v>410</v>
      </c>
      <c r="D90" s="124" t="s">
        <v>362</v>
      </c>
      <c r="E90" s="10" t="s">
        <v>344</v>
      </c>
      <c r="F90" s="81" t="s">
        <v>230</v>
      </c>
    </row>
    <row r="91" spans="1:6" ht="15" x14ac:dyDescent="0.25">
      <c r="A91" s="81">
        <v>8</v>
      </c>
      <c r="B91" s="81" t="s">
        <v>279</v>
      </c>
      <c r="C91" s="81" t="s">
        <v>410</v>
      </c>
      <c r="D91" s="124" t="s">
        <v>362</v>
      </c>
      <c r="E91" s="10" t="s">
        <v>344</v>
      </c>
      <c r="F91" s="81" t="s">
        <v>230</v>
      </c>
    </row>
    <row r="92" spans="1:6" ht="15" x14ac:dyDescent="0.25">
      <c r="A92" s="81">
        <v>8</v>
      </c>
      <c r="B92" s="81" t="s">
        <v>281</v>
      </c>
      <c r="C92" s="81" t="s">
        <v>410</v>
      </c>
      <c r="D92" s="124" t="s">
        <v>362</v>
      </c>
      <c r="E92" s="10" t="s">
        <v>344</v>
      </c>
      <c r="F92" s="81" t="s">
        <v>230</v>
      </c>
    </row>
    <row r="93" spans="1:6" ht="15" x14ac:dyDescent="0.25">
      <c r="A93" s="81">
        <v>8</v>
      </c>
      <c r="B93" s="81" t="s">
        <v>275</v>
      </c>
      <c r="C93" s="81" t="s">
        <v>410</v>
      </c>
      <c r="D93" s="81" t="s">
        <v>362</v>
      </c>
      <c r="E93" s="30" t="s">
        <v>344</v>
      </c>
      <c r="F93" s="81" t="s">
        <v>230</v>
      </c>
    </row>
    <row r="94" spans="1:6" ht="15" x14ac:dyDescent="0.25">
      <c r="A94" s="10">
        <v>8</v>
      </c>
      <c r="B94" s="10" t="s">
        <v>226</v>
      </c>
      <c r="C94" s="10" t="s">
        <v>410</v>
      </c>
      <c r="D94" s="10" t="s">
        <v>362</v>
      </c>
      <c r="E94" s="30" t="s">
        <v>344</v>
      </c>
      <c r="F94" s="10" t="s">
        <v>230</v>
      </c>
    </row>
    <row r="95" spans="1:6" ht="15" x14ac:dyDescent="0.25">
      <c r="A95" s="81">
        <v>2</v>
      </c>
      <c r="B95" s="81" t="s">
        <v>286</v>
      </c>
      <c r="C95" s="119" t="s">
        <v>260</v>
      </c>
      <c r="D95" s="81" t="s">
        <v>361</v>
      </c>
      <c r="E95" s="81" t="s">
        <v>358</v>
      </c>
      <c r="F95" s="81" t="s">
        <v>230</v>
      </c>
    </row>
    <row r="96" spans="1:6" ht="15" x14ac:dyDescent="0.25">
      <c r="A96" s="81">
        <v>3</v>
      </c>
      <c r="B96" s="107" t="s">
        <v>349</v>
      </c>
      <c r="C96" s="119" t="s">
        <v>260</v>
      </c>
      <c r="D96" s="81" t="s">
        <v>361</v>
      </c>
      <c r="E96" s="81" t="s">
        <v>358</v>
      </c>
      <c r="F96" s="81" t="s">
        <v>230</v>
      </c>
    </row>
    <row r="97" spans="1:6" ht="15" x14ac:dyDescent="0.25">
      <c r="A97" s="81">
        <v>3</v>
      </c>
      <c r="B97" s="81" t="s">
        <v>355</v>
      </c>
      <c r="C97" s="119" t="s">
        <v>260</v>
      </c>
      <c r="D97" s="81" t="s">
        <v>361</v>
      </c>
      <c r="E97" s="81" t="s">
        <v>358</v>
      </c>
      <c r="F97" s="81" t="s">
        <v>230</v>
      </c>
    </row>
    <row r="98" spans="1:6" ht="15" x14ac:dyDescent="0.25">
      <c r="A98" s="81">
        <v>3</v>
      </c>
      <c r="B98" s="107" t="s">
        <v>280</v>
      </c>
      <c r="C98" s="119" t="s">
        <v>260</v>
      </c>
      <c r="D98" s="81" t="s">
        <v>361</v>
      </c>
      <c r="E98" s="81" t="s">
        <v>358</v>
      </c>
      <c r="F98" s="81" t="s">
        <v>230</v>
      </c>
    </row>
    <row r="99" spans="1:6" ht="15" x14ac:dyDescent="0.25">
      <c r="A99" s="81">
        <v>3</v>
      </c>
      <c r="B99" s="81" t="s">
        <v>286</v>
      </c>
      <c r="C99" s="119" t="s">
        <v>260</v>
      </c>
      <c r="D99" s="81" t="s">
        <v>361</v>
      </c>
      <c r="E99" s="81" t="s">
        <v>358</v>
      </c>
      <c r="F99" s="81" t="s">
        <v>230</v>
      </c>
    </row>
    <row r="100" spans="1:6" ht="15" x14ac:dyDescent="0.25">
      <c r="A100" s="10">
        <v>4</v>
      </c>
      <c r="B100" s="10" t="s">
        <v>355</v>
      </c>
      <c r="C100" s="119" t="s">
        <v>260</v>
      </c>
      <c r="D100" s="10" t="s">
        <v>361</v>
      </c>
      <c r="E100" s="10" t="s">
        <v>358</v>
      </c>
      <c r="F100" s="10" t="s">
        <v>230</v>
      </c>
    </row>
    <row r="101" spans="1:6" ht="15" x14ac:dyDescent="0.25">
      <c r="A101" s="81">
        <v>4</v>
      </c>
      <c r="B101" s="107" t="s">
        <v>287</v>
      </c>
      <c r="C101" s="119" t="s">
        <v>260</v>
      </c>
      <c r="D101" s="81" t="s">
        <v>361</v>
      </c>
      <c r="E101" s="81" t="s">
        <v>358</v>
      </c>
      <c r="F101" s="81" t="s">
        <v>230</v>
      </c>
    </row>
    <row r="102" spans="1:6" ht="15" x14ac:dyDescent="0.25">
      <c r="A102" s="81">
        <v>4</v>
      </c>
      <c r="B102" s="81" t="s">
        <v>377</v>
      </c>
      <c r="C102" s="119" t="s">
        <v>260</v>
      </c>
      <c r="D102" s="81" t="s">
        <v>361</v>
      </c>
      <c r="E102" s="81" t="s">
        <v>358</v>
      </c>
      <c r="F102" s="81" t="s">
        <v>230</v>
      </c>
    </row>
    <row r="103" spans="1:6" ht="15" x14ac:dyDescent="0.25">
      <c r="A103" s="81">
        <v>5</v>
      </c>
      <c r="B103" s="81" t="s">
        <v>288</v>
      </c>
      <c r="C103" s="119" t="s">
        <v>260</v>
      </c>
      <c r="D103" s="81" t="s">
        <v>361</v>
      </c>
      <c r="E103" s="85" t="s">
        <v>358</v>
      </c>
      <c r="F103" s="81" t="s">
        <v>230</v>
      </c>
    </row>
    <row r="104" spans="1:6" ht="15" x14ac:dyDescent="0.25">
      <c r="A104" s="81">
        <v>6</v>
      </c>
      <c r="B104" s="81" t="s">
        <v>279</v>
      </c>
      <c r="C104" s="119" t="s">
        <v>260</v>
      </c>
      <c r="D104" s="81" t="s">
        <v>361</v>
      </c>
      <c r="E104" s="87" t="s">
        <v>357</v>
      </c>
      <c r="F104" s="81" t="s">
        <v>230</v>
      </c>
    </row>
    <row r="105" spans="1:6" ht="15" x14ac:dyDescent="0.25">
      <c r="A105" s="10">
        <v>6</v>
      </c>
      <c r="B105" s="10" t="s">
        <v>355</v>
      </c>
      <c r="C105" s="119" t="s">
        <v>260</v>
      </c>
      <c r="D105" s="10" t="s">
        <v>361</v>
      </c>
      <c r="E105" s="87" t="s">
        <v>357</v>
      </c>
      <c r="F105" s="10" t="s">
        <v>230</v>
      </c>
    </row>
    <row r="106" spans="1:6" ht="15" x14ac:dyDescent="0.25">
      <c r="A106" s="10">
        <v>6</v>
      </c>
      <c r="B106" s="10" t="s">
        <v>377</v>
      </c>
      <c r="C106" s="119" t="s">
        <v>260</v>
      </c>
      <c r="D106" s="10" t="s">
        <v>361</v>
      </c>
      <c r="E106" s="87" t="s">
        <v>357</v>
      </c>
      <c r="F106" s="10" t="s">
        <v>230</v>
      </c>
    </row>
    <row r="107" spans="1:6" ht="15" x14ac:dyDescent="0.25">
      <c r="A107" s="10">
        <v>7</v>
      </c>
      <c r="B107" s="10" t="s">
        <v>227</v>
      </c>
      <c r="C107" s="119" t="s">
        <v>260</v>
      </c>
      <c r="D107" s="10" t="s">
        <v>360</v>
      </c>
      <c r="E107" s="85" t="s">
        <v>356</v>
      </c>
      <c r="F107" s="10" t="s">
        <v>230</v>
      </c>
    </row>
    <row r="108" spans="1:6" ht="15" x14ac:dyDescent="0.25">
      <c r="A108" s="81">
        <v>7</v>
      </c>
      <c r="B108" s="81" t="s">
        <v>280</v>
      </c>
      <c r="C108" s="119" t="s">
        <v>260</v>
      </c>
      <c r="D108" s="81" t="s">
        <v>361</v>
      </c>
      <c r="E108" s="10" t="s">
        <v>357</v>
      </c>
      <c r="F108" s="81" t="s">
        <v>230</v>
      </c>
    </row>
    <row r="109" spans="1:6" ht="15" x14ac:dyDescent="0.25">
      <c r="A109" s="10">
        <v>7</v>
      </c>
      <c r="B109" s="10" t="s">
        <v>355</v>
      </c>
      <c r="C109" s="119" t="s">
        <v>260</v>
      </c>
      <c r="D109" s="10" t="s">
        <v>361</v>
      </c>
      <c r="E109" s="10" t="s">
        <v>357</v>
      </c>
      <c r="F109" s="10" t="s">
        <v>230</v>
      </c>
    </row>
    <row r="110" spans="1:6" ht="15" x14ac:dyDescent="0.25">
      <c r="A110" s="10">
        <v>7</v>
      </c>
      <c r="B110" s="10" t="s">
        <v>226</v>
      </c>
      <c r="C110" s="119" t="s">
        <v>260</v>
      </c>
      <c r="D110" s="10" t="s">
        <v>361</v>
      </c>
      <c r="E110" s="10" t="s">
        <v>357</v>
      </c>
      <c r="F110" s="10" t="s">
        <v>230</v>
      </c>
    </row>
    <row r="111" spans="1:6" ht="15" x14ac:dyDescent="0.25">
      <c r="A111" s="119">
        <v>8</v>
      </c>
      <c r="B111" s="119" t="s">
        <v>338</v>
      </c>
      <c r="C111" s="119" t="s">
        <v>260</v>
      </c>
      <c r="D111" s="119" t="s">
        <v>360</v>
      </c>
      <c r="E111" s="120" t="s">
        <v>356</v>
      </c>
      <c r="F111" s="119" t="s">
        <v>230</v>
      </c>
    </row>
    <row r="112" spans="1:6" ht="15" x14ac:dyDescent="0.25">
      <c r="A112" s="81">
        <v>8</v>
      </c>
      <c r="B112" s="118" t="s">
        <v>353</v>
      </c>
      <c r="C112" s="119" t="s">
        <v>260</v>
      </c>
      <c r="D112" s="10" t="s">
        <v>360</v>
      </c>
      <c r="E112" s="85" t="s">
        <v>356</v>
      </c>
      <c r="F112" s="81" t="s">
        <v>230</v>
      </c>
    </row>
    <row r="113" spans="1:6" ht="15" x14ac:dyDescent="0.25">
      <c r="A113" s="81">
        <v>8</v>
      </c>
      <c r="B113" s="118" t="s">
        <v>379</v>
      </c>
      <c r="C113" s="119" t="s">
        <v>260</v>
      </c>
      <c r="D113" s="81" t="s">
        <v>359</v>
      </c>
      <c r="E113" s="85" t="s">
        <v>356</v>
      </c>
      <c r="F113" s="81" t="s">
        <v>230</v>
      </c>
    </row>
    <row r="114" spans="1:6" ht="15" x14ac:dyDescent="0.25">
      <c r="A114" s="81">
        <v>8</v>
      </c>
      <c r="B114" s="118" t="s">
        <v>380</v>
      </c>
      <c r="C114" s="119" t="s">
        <v>260</v>
      </c>
      <c r="D114" s="81" t="s">
        <v>359</v>
      </c>
      <c r="E114" s="85" t="s">
        <v>356</v>
      </c>
      <c r="F114" s="81" t="s">
        <v>230</v>
      </c>
    </row>
    <row r="115" spans="1:6" ht="15" x14ac:dyDescent="0.25">
      <c r="A115" s="81">
        <v>8</v>
      </c>
      <c r="B115" s="107" t="s">
        <v>348</v>
      </c>
      <c r="C115" s="119" t="s">
        <v>260</v>
      </c>
      <c r="D115" s="10" t="s">
        <v>360</v>
      </c>
      <c r="E115" s="85" t="s">
        <v>356</v>
      </c>
      <c r="F115" s="81" t="s">
        <v>230</v>
      </c>
    </row>
    <row r="116" spans="1:6" ht="15" x14ac:dyDescent="0.25">
      <c r="A116" s="81">
        <v>8</v>
      </c>
      <c r="B116" s="117" t="s">
        <v>381</v>
      </c>
      <c r="C116" s="119" t="s">
        <v>260</v>
      </c>
      <c r="D116" s="81" t="s">
        <v>359</v>
      </c>
      <c r="E116" s="85" t="s">
        <v>356</v>
      </c>
      <c r="F116" s="81" t="s">
        <v>230</v>
      </c>
    </row>
    <row r="117" spans="1:6" ht="15" x14ac:dyDescent="0.25">
      <c r="A117" s="81">
        <v>8</v>
      </c>
      <c r="B117" s="81" t="s">
        <v>296</v>
      </c>
      <c r="C117" s="119" t="s">
        <v>260</v>
      </c>
      <c r="D117" s="81" t="s">
        <v>359</v>
      </c>
      <c r="E117" s="85" t="s">
        <v>356</v>
      </c>
      <c r="F117" s="81" t="s">
        <v>230</v>
      </c>
    </row>
    <row r="118" spans="1:6" ht="15" x14ac:dyDescent="0.25">
      <c r="A118" s="81">
        <v>8</v>
      </c>
      <c r="B118" s="107" t="s">
        <v>299</v>
      </c>
      <c r="C118" s="119" t="s">
        <v>260</v>
      </c>
      <c r="D118" s="81" t="s">
        <v>359</v>
      </c>
      <c r="E118" s="85" t="s">
        <v>356</v>
      </c>
      <c r="F118" s="81" t="s">
        <v>230</v>
      </c>
    </row>
    <row r="119" spans="1:6" ht="15" x14ac:dyDescent="0.25">
      <c r="A119" s="10">
        <v>8</v>
      </c>
      <c r="B119" s="10" t="s">
        <v>227</v>
      </c>
      <c r="C119" s="119" t="s">
        <v>260</v>
      </c>
      <c r="D119" s="10" t="s">
        <v>359</v>
      </c>
      <c r="E119" s="30" t="s">
        <v>356</v>
      </c>
      <c r="F119" s="10" t="s">
        <v>230</v>
      </c>
    </row>
    <row r="120" spans="1:6" ht="15" x14ac:dyDescent="0.25">
      <c r="A120" s="10">
        <v>8</v>
      </c>
      <c r="B120" s="10" t="s">
        <v>227</v>
      </c>
      <c r="C120" s="119" t="s">
        <v>260</v>
      </c>
      <c r="D120" s="10" t="s">
        <v>360</v>
      </c>
      <c r="E120" s="30" t="s">
        <v>356</v>
      </c>
      <c r="F120" s="10" t="s">
        <v>230</v>
      </c>
    </row>
    <row r="121" spans="1:6" ht="15" x14ac:dyDescent="0.25">
      <c r="A121" s="81">
        <v>8</v>
      </c>
      <c r="B121" s="107" t="s">
        <v>350</v>
      </c>
      <c r="C121" s="119" t="s">
        <v>260</v>
      </c>
      <c r="D121" s="81" t="s">
        <v>362</v>
      </c>
      <c r="E121" s="10" t="s">
        <v>357</v>
      </c>
      <c r="F121" s="81" t="s">
        <v>230</v>
      </c>
    </row>
    <row r="122" spans="1:6" ht="15" x14ac:dyDescent="0.25">
      <c r="A122" s="81">
        <v>8</v>
      </c>
      <c r="B122" s="81" t="s">
        <v>279</v>
      </c>
      <c r="C122" s="119" t="s">
        <v>260</v>
      </c>
      <c r="D122" s="81" t="s">
        <v>362</v>
      </c>
      <c r="E122" s="10" t="s">
        <v>357</v>
      </c>
      <c r="F122" s="81" t="s">
        <v>230</v>
      </c>
    </row>
    <row r="123" spans="1:6" ht="15" x14ac:dyDescent="0.25">
      <c r="A123" s="81">
        <v>8</v>
      </c>
      <c r="B123" s="81" t="s">
        <v>281</v>
      </c>
      <c r="C123" s="119" t="s">
        <v>260</v>
      </c>
      <c r="D123" s="81" t="s">
        <v>362</v>
      </c>
      <c r="E123" s="10" t="s">
        <v>357</v>
      </c>
      <c r="F123" s="81" t="s">
        <v>230</v>
      </c>
    </row>
    <row r="124" spans="1:6" ht="15" x14ac:dyDescent="0.25">
      <c r="A124" s="81">
        <v>8</v>
      </c>
      <c r="B124" s="81" t="s">
        <v>275</v>
      </c>
      <c r="C124" s="119" t="s">
        <v>260</v>
      </c>
      <c r="D124" s="81" t="s">
        <v>362</v>
      </c>
      <c r="E124" s="30" t="s">
        <v>357</v>
      </c>
      <c r="F124" s="81" t="s">
        <v>230</v>
      </c>
    </row>
    <row r="125" spans="1:6" ht="15" x14ac:dyDescent="0.25">
      <c r="A125" s="10">
        <v>8</v>
      </c>
      <c r="B125" s="10" t="s">
        <v>226</v>
      </c>
      <c r="C125" s="119" t="s">
        <v>260</v>
      </c>
      <c r="D125" s="10" t="s">
        <v>362</v>
      </c>
      <c r="E125" s="30" t="s">
        <v>357</v>
      </c>
      <c r="F125" s="10" t="s">
        <v>230</v>
      </c>
    </row>
    <row r="126" spans="1:6" ht="15" x14ac:dyDescent="0.25">
      <c r="A126" s="81">
        <v>2</v>
      </c>
      <c r="B126" s="81" t="s">
        <v>286</v>
      </c>
      <c r="C126" s="81" t="s">
        <v>201</v>
      </c>
      <c r="D126" s="81" t="s">
        <v>361</v>
      </c>
      <c r="E126" s="30" t="s">
        <v>321</v>
      </c>
      <c r="F126" s="81" t="s">
        <v>230</v>
      </c>
    </row>
    <row r="127" spans="1:6" ht="15" x14ac:dyDescent="0.25">
      <c r="A127" s="81">
        <v>3</v>
      </c>
      <c r="B127" s="107" t="s">
        <v>349</v>
      </c>
      <c r="C127" s="81" t="s">
        <v>201</v>
      </c>
      <c r="D127" s="124" t="s">
        <v>361</v>
      </c>
      <c r="E127" s="30" t="s">
        <v>321</v>
      </c>
      <c r="F127" s="81" t="s">
        <v>230</v>
      </c>
    </row>
    <row r="128" spans="1:6" ht="15" x14ac:dyDescent="0.25">
      <c r="A128" s="10">
        <v>3</v>
      </c>
      <c r="B128" s="10" t="s">
        <v>355</v>
      </c>
      <c r="C128" s="10" t="s">
        <v>201</v>
      </c>
      <c r="D128" s="124" t="s">
        <v>361</v>
      </c>
      <c r="E128" s="30" t="s">
        <v>321</v>
      </c>
      <c r="F128" s="10" t="s">
        <v>230</v>
      </c>
    </row>
    <row r="129" spans="1:6" ht="15" x14ac:dyDescent="0.25">
      <c r="A129" s="10">
        <v>3</v>
      </c>
      <c r="B129" s="107" t="s">
        <v>280</v>
      </c>
      <c r="C129" s="10" t="s">
        <v>201</v>
      </c>
      <c r="D129" s="124" t="s">
        <v>361</v>
      </c>
      <c r="E129" s="30" t="s">
        <v>321</v>
      </c>
      <c r="F129" s="10" t="s">
        <v>230</v>
      </c>
    </row>
    <row r="130" spans="1:6" ht="15" x14ac:dyDescent="0.25">
      <c r="A130" s="81">
        <v>3</v>
      </c>
      <c r="B130" s="81" t="s">
        <v>286</v>
      </c>
      <c r="C130" s="81" t="s">
        <v>201</v>
      </c>
      <c r="D130" s="81" t="s">
        <v>361</v>
      </c>
      <c r="E130" s="30" t="s">
        <v>321</v>
      </c>
      <c r="F130" s="81" t="s">
        <v>230</v>
      </c>
    </row>
    <row r="131" spans="1:6" ht="15" x14ac:dyDescent="0.25">
      <c r="A131" s="10">
        <v>4</v>
      </c>
      <c r="B131" s="10" t="s">
        <v>355</v>
      </c>
      <c r="C131" s="10" t="s">
        <v>201</v>
      </c>
      <c r="D131" s="124" t="s">
        <v>361</v>
      </c>
      <c r="E131" s="10" t="s">
        <v>321</v>
      </c>
      <c r="F131" s="10" t="s">
        <v>230</v>
      </c>
    </row>
    <row r="132" spans="1:6" ht="15" x14ac:dyDescent="0.25">
      <c r="A132" s="81">
        <v>4</v>
      </c>
      <c r="B132" s="107" t="s">
        <v>287</v>
      </c>
      <c r="C132" s="81" t="s">
        <v>201</v>
      </c>
      <c r="D132" s="124" t="s">
        <v>361</v>
      </c>
      <c r="E132" s="30" t="s">
        <v>321</v>
      </c>
      <c r="F132" s="81" t="s">
        <v>230</v>
      </c>
    </row>
    <row r="133" spans="1:6" ht="15" x14ac:dyDescent="0.25">
      <c r="A133" s="81">
        <v>4</v>
      </c>
      <c r="B133" s="81" t="s">
        <v>377</v>
      </c>
      <c r="C133" s="81" t="s">
        <v>201</v>
      </c>
      <c r="D133" s="81" t="s">
        <v>361</v>
      </c>
      <c r="E133" s="30" t="s">
        <v>321</v>
      </c>
      <c r="F133" s="81" t="s">
        <v>230</v>
      </c>
    </row>
    <row r="134" spans="1:6" ht="15" x14ac:dyDescent="0.25">
      <c r="A134" s="81">
        <v>5</v>
      </c>
      <c r="B134" s="81" t="s">
        <v>288</v>
      </c>
      <c r="C134" s="81" t="s">
        <v>201</v>
      </c>
      <c r="D134" s="81" t="s">
        <v>361</v>
      </c>
      <c r="E134" s="30" t="s">
        <v>321</v>
      </c>
      <c r="F134" s="81" t="s">
        <v>230</v>
      </c>
    </row>
    <row r="135" spans="1:6" ht="15" x14ac:dyDescent="0.25">
      <c r="A135" s="81">
        <v>6</v>
      </c>
      <c r="B135" s="81" t="s">
        <v>279</v>
      </c>
      <c r="C135" s="81" t="s">
        <v>201</v>
      </c>
      <c r="D135" s="124" t="s">
        <v>361</v>
      </c>
      <c r="E135" s="10" t="s">
        <v>321</v>
      </c>
      <c r="F135" s="81" t="s">
        <v>230</v>
      </c>
    </row>
    <row r="136" spans="1:6" ht="15" x14ac:dyDescent="0.25">
      <c r="A136" s="10">
        <v>6</v>
      </c>
      <c r="B136" s="10" t="s">
        <v>355</v>
      </c>
      <c r="C136" s="10" t="s">
        <v>201</v>
      </c>
      <c r="D136" s="124" t="s">
        <v>361</v>
      </c>
      <c r="E136" s="10" t="s">
        <v>321</v>
      </c>
      <c r="F136" s="10" t="s">
        <v>230</v>
      </c>
    </row>
    <row r="137" spans="1:6" ht="15" x14ac:dyDescent="0.25">
      <c r="A137" s="10">
        <v>6</v>
      </c>
      <c r="B137" s="10" t="s">
        <v>377</v>
      </c>
      <c r="C137" s="10" t="s">
        <v>201</v>
      </c>
      <c r="D137" s="124" t="s">
        <v>361</v>
      </c>
      <c r="E137" s="10" t="s">
        <v>321</v>
      </c>
      <c r="F137" s="10" t="s">
        <v>230</v>
      </c>
    </row>
    <row r="138" spans="1:6" ht="15" x14ac:dyDescent="0.25">
      <c r="A138" s="10">
        <v>7</v>
      </c>
      <c r="B138" s="10" t="s">
        <v>227</v>
      </c>
      <c r="C138" s="10" t="s">
        <v>201</v>
      </c>
      <c r="D138" s="10" t="s">
        <v>360</v>
      </c>
      <c r="E138" s="10" t="s">
        <v>304</v>
      </c>
      <c r="F138" s="10" t="s">
        <v>230</v>
      </c>
    </row>
    <row r="139" spans="1:6" ht="15" x14ac:dyDescent="0.25">
      <c r="A139" s="81">
        <v>7</v>
      </c>
      <c r="B139" s="81" t="s">
        <v>280</v>
      </c>
      <c r="C139" s="81" t="s">
        <v>201</v>
      </c>
      <c r="D139" s="124" t="s">
        <v>361</v>
      </c>
      <c r="E139" s="85" t="s">
        <v>321</v>
      </c>
      <c r="F139" s="81" t="s">
        <v>230</v>
      </c>
    </row>
    <row r="140" spans="1:6" ht="15" x14ac:dyDescent="0.25">
      <c r="A140" s="10">
        <v>7</v>
      </c>
      <c r="B140" s="10" t="s">
        <v>355</v>
      </c>
      <c r="C140" s="10" t="s">
        <v>201</v>
      </c>
      <c r="D140" s="10" t="s">
        <v>361</v>
      </c>
      <c r="E140" s="10" t="s">
        <v>321</v>
      </c>
      <c r="F140" s="10" t="s">
        <v>230</v>
      </c>
    </row>
    <row r="141" spans="1:6" ht="15" x14ac:dyDescent="0.25">
      <c r="A141" s="10">
        <v>7</v>
      </c>
      <c r="B141" s="10" t="s">
        <v>226</v>
      </c>
      <c r="C141" s="10" t="s">
        <v>201</v>
      </c>
      <c r="D141" s="10" t="s">
        <v>361</v>
      </c>
      <c r="E141" s="10" t="s">
        <v>321</v>
      </c>
      <c r="F141" s="10" t="s">
        <v>230</v>
      </c>
    </row>
    <row r="142" spans="1:6" ht="15" x14ac:dyDescent="0.25">
      <c r="A142" s="81">
        <v>8</v>
      </c>
      <c r="B142" s="107" t="s">
        <v>338</v>
      </c>
      <c r="C142" s="81" t="s">
        <v>201</v>
      </c>
      <c r="D142" s="10" t="s">
        <v>360</v>
      </c>
      <c r="E142" s="85" t="s">
        <v>304</v>
      </c>
      <c r="F142" s="81" t="s">
        <v>230</v>
      </c>
    </row>
    <row r="143" spans="1:6" ht="15" x14ac:dyDescent="0.25">
      <c r="A143" s="81">
        <v>8</v>
      </c>
      <c r="B143" s="118" t="s">
        <v>353</v>
      </c>
      <c r="C143" s="81" t="s">
        <v>201</v>
      </c>
      <c r="D143" s="10" t="s">
        <v>360</v>
      </c>
      <c r="E143" s="85" t="s">
        <v>304</v>
      </c>
      <c r="F143" s="81" t="s">
        <v>230</v>
      </c>
    </row>
    <row r="144" spans="1:6" ht="15" x14ac:dyDescent="0.25">
      <c r="A144" s="81">
        <v>8</v>
      </c>
      <c r="B144" s="118" t="s">
        <v>379</v>
      </c>
      <c r="C144" s="81" t="s">
        <v>201</v>
      </c>
      <c r="D144" s="124" t="s">
        <v>359</v>
      </c>
      <c r="E144" s="85" t="s">
        <v>304</v>
      </c>
      <c r="F144" s="81" t="s">
        <v>230</v>
      </c>
    </row>
    <row r="145" spans="1:6" ht="15" x14ac:dyDescent="0.25">
      <c r="A145" s="81">
        <v>8</v>
      </c>
      <c r="B145" s="118" t="s">
        <v>380</v>
      </c>
      <c r="C145" s="81" t="s">
        <v>201</v>
      </c>
      <c r="D145" s="124" t="s">
        <v>359</v>
      </c>
      <c r="E145" s="85" t="s">
        <v>304</v>
      </c>
      <c r="F145" s="81" t="s">
        <v>230</v>
      </c>
    </row>
    <row r="146" spans="1:6" ht="15" x14ac:dyDescent="0.25">
      <c r="A146" s="81">
        <v>8</v>
      </c>
      <c r="B146" s="107" t="s">
        <v>348</v>
      </c>
      <c r="C146" s="81" t="s">
        <v>201</v>
      </c>
      <c r="D146" s="10" t="s">
        <v>360</v>
      </c>
      <c r="E146" s="85" t="s">
        <v>304</v>
      </c>
      <c r="F146" s="81" t="s">
        <v>230</v>
      </c>
    </row>
    <row r="147" spans="1:6" ht="15" x14ac:dyDescent="0.25">
      <c r="A147" s="81">
        <v>8</v>
      </c>
      <c r="B147" s="117" t="s">
        <v>381</v>
      </c>
      <c r="C147" s="81" t="s">
        <v>201</v>
      </c>
      <c r="D147" s="124" t="s">
        <v>359</v>
      </c>
      <c r="E147" s="85" t="s">
        <v>304</v>
      </c>
      <c r="F147" s="81" t="s">
        <v>230</v>
      </c>
    </row>
    <row r="148" spans="1:6" ht="15" x14ac:dyDescent="0.25">
      <c r="A148" s="81">
        <v>8</v>
      </c>
      <c r="B148" s="81" t="s">
        <v>296</v>
      </c>
      <c r="C148" s="81" t="s">
        <v>201</v>
      </c>
      <c r="D148" s="124" t="s">
        <v>359</v>
      </c>
      <c r="E148" s="85" t="s">
        <v>304</v>
      </c>
      <c r="F148" s="81" t="s">
        <v>230</v>
      </c>
    </row>
    <row r="149" spans="1:6" ht="15" x14ac:dyDescent="0.25">
      <c r="A149" s="81">
        <v>8</v>
      </c>
      <c r="B149" s="107" t="s">
        <v>299</v>
      </c>
      <c r="C149" s="81" t="s">
        <v>201</v>
      </c>
      <c r="D149" s="10" t="s">
        <v>359</v>
      </c>
      <c r="E149" s="85" t="s">
        <v>304</v>
      </c>
      <c r="F149" s="81" t="s">
        <v>230</v>
      </c>
    </row>
    <row r="150" spans="1:6" ht="15" x14ac:dyDescent="0.25">
      <c r="A150" s="10">
        <v>8</v>
      </c>
      <c r="B150" s="10" t="s">
        <v>227</v>
      </c>
      <c r="C150" s="10" t="s">
        <v>201</v>
      </c>
      <c r="D150" s="10" t="s">
        <v>359</v>
      </c>
      <c r="E150" s="30" t="s">
        <v>304</v>
      </c>
      <c r="F150" s="10" t="s">
        <v>230</v>
      </c>
    </row>
    <row r="151" spans="1:6" ht="15" x14ac:dyDescent="0.25">
      <c r="A151" s="10">
        <v>8</v>
      </c>
      <c r="B151" s="10" t="s">
        <v>227</v>
      </c>
      <c r="C151" s="10" t="s">
        <v>201</v>
      </c>
      <c r="D151" s="10" t="s">
        <v>360</v>
      </c>
      <c r="E151" s="10" t="s">
        <v>304</v>
      </c>
      <c r="F151" s="10" t="s">
        <v>230</v>
      </c>
    </row>
    <row r="152" spans="1:6" ht="15" x14ac:dyDescent="0.25">
      <c r="A152" s="81">
        <v>8</v>
      </c>
      <c r="B152" s="107" t="s">
        <v>350</v>
      </c>
      <c r="C152" s="81" t="s">
        <v>201</v>
      </c>
      <c r="D152" s="124" t="s">
        <v>362</v>
      </c>
      <c r="E152" s="85" t="s">
        <v>321</v>
      </c>
      <c r="F152" s="81" t="s">
        <v>230</v>
      </c>
    </row>
    <row r="153" spans="1:6" ht="15" x14ac:dyDescent="0.25">
      <c r="A153" s="81">
        <v>8</v>
      </c>
      <c r="B153" s="81" t="s">
        <v>279</v>
      </c>
      <c r="C153" s="81" t="s">
        <v>201</v>
      </c>
      <c r="D153" s="124" t="s">
        <v>362</v>
      </c>
      <c r="E153" s="85" t="s">
        <v>321</v>
      </c>
      <c r="F153" s="81" t="s">
        <v>230</v>
      </c>
    </row>
    <row r="154" spans="1:6" ht="15" x14ac:dyDescent="0.25">
      <c r="A154" s="81">
        <v>8</v>
      </c>
      <c r="B154" s="81" t="s">
        <v>281</v>
      </c>
      <c r="C154" s="81" t="s">
        <v>201</v>
      </c>
      <c r="D154" s="124" t="s">
        <v>362</v>
      </c>
      <c r="E154" s="85" t="s">
        <v>321</v>
      </c>
      <c r="F154" s="81" t="s">
        <v>230</v>
      </c>
    </row>
    <row r="155" spans="1:6" ht="15" x14ac:dyDescent="0.25">
      <c r="A155" s="81">
        <v>8</v>
      </c>
      <c r="B155" s="81" t="s">
        <v>275</v>
      </c>
      <c r="C155" s="81" t="s">
        <v>201</v>
      </c>
      <c r="D155" s="81" t="s">
        <v>362</v>
      </c>
      <c r="E155" s="85" t="s">
        <v>321</v>
      </c>
      <c r="F155" s="81" t="s">
        <v>230</v>
      </c>
    </row>
    <row r="156" spans="1:6" ht="15" x14ac:dyDescent="0.25">
      <c r="A156" s="10">
        <v>8</v>
      </c>
      <c r="B156" s="10" t="s">
        <v>226</v>
      </c>
      <c r="C156" s="10" t="s">
        <v>201</v>
      </c>
      <c r="D156" s="10" t="s">
        <v>362</v>
      </c>
      <c r="E156" s="30" t="s">
        <v>321</v>
      </c>
      <c r="F156" s="10" t="s">
        <v>230</v>
      </c>
    </row>
    <row r="157" spans="1:6" ht="15" x14ac:dyDescent="0.25">
      <c r="A157" s="81">
        <v>2</v>
      </c>
      <c r="B157" s="81" t="s">
        <v>286</v>
      </c>
      <c r="C157" s="10" t="s">
        <v>336</v>
      </c>
      <c r="D157" s="81" t="s">
        <v>361</v>
      </c>
      <c r="E157" s="10" t="s">
        <v>320</v>
      </c>
      <c r="F157" s="81" t="s">
        <v>230</v>
      </c>
    </row>
    <row r="158" spans="1:6" ht="15" x14ac:dyDescent="0.25">
      <c r="A158" s="81">
        <v>3</v>
      </c>
      <c r="B158" s="107" t="s">
        <v>349</v>
      </c>
      <c r="C158" s="10" t="s">
        <v>336</v>
      </c>
      <c r="D158" s="124" t="s">
        <v>361</v>
      </c>
      <c r="E158" s="10" t="s">
        <v>320</v>
      </c>
      <c r="F158" s="81" t="s">
        <v>230</v>
      </c>
    </row>
    <row r="159" spans="1:6" ht="15" x14ac:dyDescent="0.25">
      <c r="A159" s="10">
        <v>3</v>
      </c>
      <c r="B159" s="10" t="s">
        <v>355</v>
      </c>
      <c r="C159" s="10" t="s">
        <v>336</v>
      </c>
      <c r="D159" s="124" t="s">
        <v>361</v>
      </c>
      <c r="E159" s="10" t="s">
        <v>320</v>
      </c>
      <c r="F159" s="10" t="s">
        <v>230</v>
      </c>
    </row>
    <row r="160" spans="1:6" ht="15" x14ac:dyDescent="0.25">
      <c r="A160" s="10">
        <v>3</v>
      </c>
      <c r="B160" s="107" t="s">
        <v>280</v>
      </c>
      <c r="C160" s="10" t="s">
        <v>336</v>
      </c>
      <c r="D160" s="124" t="s">
        <v>361</v>
      </c>
      <c r="E160" s="10" t="s">
        <v>320</v>
      </c>
      <c r="F160" s="10" t="s">
        <v>230</v>
      </c>
    </row>
    <row r="161" spans="1:6" ht="15" x14ac:dyDescent="0.25">
      <c r="A161" s="81">
        <v>3</v>
      </c>
      <c r="B161" s="81" t="s">
        <v>286</v>
      </c>
      <c r="C161" s="10" t="s">
        <v>336</v>
      </c>
      <c r="D161" s="81" t="s">
        <v>361</v>
      </c>
      <c r="E161" s="10" t="s">
        <v>320</v>
      </c>
      <c r="F161" s="81" t="s">
        <v>230</v>
      </c>
    </row>
    <row r="162" spans="1:6" ht="15" x14ac:dyDescent="0.25">
      <c r="A162" s="10">
        <v>4</v>
      </c>
      <c r="B162" s="10" t="s">
        <v>355</v>
      </c>
      <c r="C162" s="10" t="s">
        <v>336</v>
      </c>
      <c r="D162" s="124" t="s">
        <v>361</v>
      </c>
      <c r="E162" s="10" t="s">
        <v>320</v>
      </c>
      <c r="F162" s="10" t="s">
        <v>230</v>
      </c>
    </row>
    <row r="163" spans="1:6" ht="15" x14ac:dyDescent="0.25">
      <c r="A163" s="81">
        <v>4</v>
      </c>
      <c r="B163" s="107" t="s">
        <v>287</v>
      </c>
      <c r="C163" s="10" t="s">
        <v>336</v>
      </c>
      <c r="D163" s="124" t="s">
        <v>361</v>
      </c>
      <c r="E163" s="10" t="s">
        <v>320</v>
      </c>
      <c r="F163" s="81" t="s">
        <v>230</v>
      </c>
    </row>
    <row r="164" spans="1:6" ht="15" x14ac:dyDescent="0.25">
      <c r="A164" s="81">
        <v>4</v>
      </c>
      <c r="B164" s="81" t="s">
        <v>377</v>
      </c>
      <c r="C164" s="10" t="s">
        <v>336</v>
      </c>
      <c r="D164" s="81" t="s">
        <v>361</v>
      </c>
      <c r="E164" s="10" t="s">
        <v>320</v>
      </c>
      <c r="F164" s="81" t="s">
        <v>230</v>
      </c>
    </row>
    <row r="165" spans="1:6" ht="15" x14ac:dyDescent="0.25">
      <c r="A165" s="81">
        <v>5</v>
      </c>
      <c r="B165" s="81" t="s">
        <v>288</v>
      </c>
      <c r="C165" s="10" t="s">
        <v>336</v>
      </c>
      <c r="D165" s="81" t="s">
        <v>361</v>
      </c>
      <c r="E165" s="30" t="s">
        <v>320</v>
      </c>
      <c r="F165" s="81" t="s">
        <v>230</v>
      </c>
    </row>
    <row r="166" spans="1:6" ht="15" x14ac:dyDescent="0.25">
      <c r="A166" s="81">
        <v>6</v>
      </c>
      <c r="B166" s="81" t="s">
        <v>279</v>
      </c>
      <c r="C166" s="10" t="s">
        <v>336</v>
      </c>
      <c r="D166" s="124" t="s">
        <v>361</v>
      </c>
      <c r="E166" s="10" t="s">
        <v>320</v>
      </c>
      <c r="F166" s="81" t="s">
        <v>230</v>
      </c>
    </row>
    <row r="167" spans="1:6" ht="15" x14ac:dyDescent="0.25">
      <c r="A167" s="10">
        <v>6</v>
      </c>
      <c r="B167" s="10" t="s">
        <v>355</v>
      </c>
      <c r="C167" s="10" t="s">
        <v>336</v>
      </c>
      <c r="D167" s="124" t="s">
        <v>361</v>
      </c>
      <c r="E167" s="10" t="s">
        <v>320</v>
      </c>
      <c r="F167" s="10" t="s">
        <v>230</v>
      </c>
    </row>
    <row r="168" spans="1:6" ht="15" x14ac:dyDescent="0.25">
      <c r="A168" s="10">
        <v>6</v>
      </c>
      <c r="B168" s="10" t="s">
        <v>377</v>
      </c>
      <c r="C168" s="10" t="s">
        <v>336</v>
      </c>
      <c r="D168" s="124" t="s">
        <v>361</v>
      </c>
      <c r="E168" s="10" t="s">
        <v>320</v>
      </c>
      <c r="F168" s="10" t="s">
        <v>230</v>
      </c>
    </row>
    <row r="169" spans="1:6" ht="15" x14ac:dyDescent="0.25">
      <c r="A169" s="10">
        <v>7</v>
      </c>
      <c r="B169" s="10" t="s">
        <v>227</v>
      </c>
      <c r="C169" s="10" t="s">
        <v>336</v>
      </c>
      <c r="D169" s="10" t="s">
        <v>360</v>
      </c>
      <c r="E169" s="10" t="s">
        <v>305</v>
      </c>
      <c r="F169" s="10" t="s">
        <v>230</v>
      </c>
    </row>
    <row r="170" spans="1:6" ht="15" x14ac:dyDescent="0.25">
      <c r="A170" s="81">
        <v>7</v>
      </c>
      <c r="B170" s="81" t="s">
        <v>280</v>
      </c>
      <c r="C170" s="10" t="s">
        <v>336</v>
      </c>
      <c r="D170" s="124" t="s">
        <v>361</v>
      </c>
      <c r="E170" s="10" t="s">
        <v>320</v>
      </c>
      <c r="F170" s="81" t="s">
        <v>230</v>
      </c>
    </row>
    <row r="171" spans="1:6" ht="15" x14ac:dyDescent="0.25">
      <c r="A171" s="10">
        <v>7</v>
      </c>
      <c r="B171" s="10" t="s">
        <v>355</v>
      </c>
      <c r="C171" s="10" t="s">
        <v>336</v>
      </c>
      <c r="D171" s="10" t="s">
        <v>361</v>
      </c>
      <c r="E171" s="10" t="s">
        <v>320</v>
      </c>
      <c r="F171" s="10" t="s">
        <v>230</v>
      </c>
    </row>
    <row r="172" spans="1:6" ht="15" x14ac:dyDescent="0.25">
      <c r="A172" s="10">
        <v>7</v>
      </c>
      <c r="B172" s="10" t="s">
        <v>226</v>
      </c>
      <c r="C172" s="10" t="s">
        <v>336</v>
      </c>
      <c r="D172" s="10" t="s">
        <v>361</v>
      </c>
      <c r="E172" s="30" t="s">
        <v>320</v>
      </c>
      <c r="F172" s="10" t="s">
        <v>230</v>
      </c>
    </row>
    <row r="173" spans="1:6" ht="15" x14ac:dyDescent="0.25">
      <c r="A173" s="81">
        <v>8</v>
      </c>
      <c r="B173" s="107" t="s">
        <v>338</v>
      </c>
      <c r="C173" s="10" t="s">
        <v>336</v>
      </c>
      <c r="D173" s="10" t="s">
        <v>360</v>
      </c>
      <c r="E173" s="85" t="s">
        <v>305</v>
      </c>
      <c r="F173" s="81" t="s">
        <v>230</v>
      </c>
    </row>
    <row r="174" spans="1:6" ht="15" x14ac:dyDescent="0.25">
      <c r="A174" s="81">
        <v>8</v>
      </c>
      <c r="B174" s="118" t="s">
        <v>353</v>
      </c>
      <c r="C174" s="10" t="s">
        <v>336</v>
      </c>
      <c r="D174" s="10" t="s">
        <v>360</v>
      </c>
      <c r="E174" s="85" t="s">
        <v>305</v>
      </c>
      <c r="F174" s="81" t="s">
        <v>230</v>
      </c>
    </row>
    <row r="175" spans="1:6" ht="15" x14ac:dyDescent="0.25">
      <c r="A175" s="81">
        <v>8</v>
      </c>
      <c r="B175" s="118" t="s">
        <v>379</v>
      </c>
      <c r="C175" s="10" t="s">
        <v>336</v>
      </c>
      <c r="D175" s="124" t="s">
        <v>359</v>
      </c>
      <c r="E175" s="85" t="s">
        <v>305</v>
      </c>
      <c r="F175" s="81" t="s">
        <v>230</v>
      </c>
    </row>
    <row r="176" spans="1:6" ht="15" x14ac:dyDescent="0.25">
      <c r="A176" s="81">
        <v>8</v>
      </c>
      <c r="B176" s="118" t="s">
        <v>380</v>
      </c>
      <c r="C176" s="10" t="s">
        <v>336</v>
      </c>
      <c r="D176" s="124" t="s">
        <v>359</v>
      </c>
      <c r="E176" s="85" t="s">
        <v>305</v>
      </c>
      <c r="F176" s="81" t="s">
        <v>230</v>
      </c>
    </row>
    <row r="177" spans="1:6" ht="15" x14ac:dyDescent="0.25">
      <c r="A177" s="81">
        <v>8</v>
      </c>
      <c r="B177" s="107" t="s">
        <v>348</v>
      </c>
      <c r="C177" s="10" t="s">
        <v>336</v>
      </c>
      <c r="D177" s="10" t="s">
        <v>360</v>
      </c>
      <c r="E177" s="85" t="s">
        <v>305</v>
      </c>
      <c r="F177" s="81" t="s">
        <v>230</v>
      </c>
    </row>
    <row r="178" spans="1:6" ht="15" x14ac:dyDescent="0.25">
      <c r="A178" s="81">
        <v>8</v>
      </c>
      <c r="B178" s="117" t="s">
        <v>381</v>
      </c>
      <c r="C178" s="10" t="s">
        <v>336</v>
      </c>
      <c r="D178" s="124" t="s">
        <v>359</v>
      </c>
      <c r="E178" s="82" t="s">
        <v>305</v>
      </c>
      <c r="F178" s="81" t="s">
        <v>230</v>
      </c>
    </row>
    <row r="179" spans="1:6" ht="15" x14ac:dyDescent="0.25">
      <c r="A179" s="81">
        <v>8</v>
      </c>
      <c r="B179" s="81" t="s">
        <v>296</v>
      </c>
      <c r="C179" s="10" t="s">
        <v>336</v>
      </c>
      <c r="D179" s="124" t="s">
        <v>359</v>
      </c>
      <c r="E179" s="82" t="s">
        <v>305</v>
      </c>
      <c r="F179" s="81" t="s">
        <v>230</v>
      </c>
    </row>
    <row r="180" spans="1:6" ht="15" x14ac:dyDescent="0.25">
      <c r="A180" s="81">
        <v>8</v>
      </c>
      <c r="B180" s="107" t="s">
        <v>299</v>
      </c>
      <c r="C180" s="10" t="s">
        <v>336</v>
      </c>
      <c r="D180" s="10" t="s">
        <v>359</v>
      </c>
      <c r="E180" s="82" t="s">
        <v>305</v>
      </c>
      <c r="F180" s="81" t="s">
        <v>230</v>
      </c>
    </row>
    <row r="181" spans="1:6" ht="15" x14ac:dyDescent="0.25">
      <c r="A181" s="10">
        <v>8</v>
      </c>
      <c r="B181" s="10" t="s">
        <v>227</v>
      </c>
      <c r="C181" s="10" t="s">
        <v>336</v>
      </c>
      <c r="D181" s="10" t="s">
        <v>359</v>
      </c>
      <c r="E181" s="74" t="s">
        <v>305</v>
      </c>
      <c r="F181" s="10" t="s">
        <v>230</v>
      </c>
    </row>
    <row r="182" spans="1:6" ht="15" x14ac:dyDescent="0.25">
      <c r="A182" s="10">
        <v>8</v>
      </c>
      <c r="B182" s="10" t="s">
        <v>227</v>
      </c>
      <c r="C182" s="10" t="s">
        <v>336</v>
      </c>
      <c r="D182" s="10" t="s">
        <v>360</v>
      </c>
      <c r="E182" s="74" t="s">
        <v>305</v>
      </c>
      <c r="F182" s="10" t="s">
        <v>230</v>
      </c>
    </row>
    <row r="183" spans="1:6" ht="15" x14ac:dyDescent="0.25">
      <c r="A183" s="81">
        <v>8</v>
      </c>
      <c r="B183" s="107" t="s">
        <v>350</v>
      </c>
      <c r="C183" s="10" t="s">
        <v>336</v>
      </c>
      <c r="D183" s="124" t="s">
        <v>362</v>
      </c>
      <c r="E183" s="74" t="s">
        <v>320</v>
      </c>
      <c r="F183" s="81" t="s">
        <v>230</v>
      </c>
    </row>
    <row r="184" spans="1:6" ht="15" x14ac:dyDescent="0.25">
      <c r="A184" s="81">
        <v>8</v>
      </c>
      <c r="B184" s="81" t="s">
        <v>279</v>
      </c>
      <c r="C184" s="10" t="s">
        <v>336</v>
      </c>
      <c r="D184" s="124" t="s">
        <v>362</v>
      </c>
      <c r="E184" s="30" t="s">
        <v>320</v>
      </c>
      <c r="F184" s="81" t="s">
        <v>230</v>
      </c>
    </row>
    <row r="185" spans="1:6" ht="15" x14ac:dyDescent="0.25">
      <c r="A185" s="81">
        <v>8</v>
      </c>
      <c r="B185" s="81" t="s">
        <v>281</v>
      </c>
      <c r="C185" s="10" t="s">
        <v>336</v>
      </c>
      <c r="D185" s="124" t="s">
        <v>362</v>
      </c>
      <c r="E185" s="30" t="s">
        <v>320</v>
      </c>
      <c r="F185" s="81" t="s">
        <v>230</v>
      </c>
    </row>
    <row r="186" spans="1:6" ht="15" x14ac:dyDescent="0.25">
      <c r="A186" s="81">
        <v>8</v>
      </c>
      <c r="B186" s="81" t="s">
        <v>275</v>
      </c>
      <c r="C186" s="10" t="s">
        <v>336</v>
      </c>
      <c r="D186" s="81" t="s">
        <v>362</v>
      </c>
      <c r="E186" s="30" t="s">
        <v>320</v>
      </c>
      <c r="F186" s="81" t="s">
        <v>230</v>
      </c>
    </row>
    <row r="187" spans="1:6" ht="15" x14ac:dyDescent="0.25">
      <c r="A187" s="10">
        <v>8</v>
      </c>
      <c r="B187" s="10" t="s">
        <v>226</v>
      </c>
      <c r="C187" s="10" t="s">
        <v>336</v>
      </c>
      <c r="D187" s="10" t="s">
        <v>362</v>
      </c>
      <c r="E187" s="30" t="s">
        <v>320</v>
      </c>
      <c r="F187" s="10" t="s">
        <v>230</v>
      </c>
    </row>
    <row r="188" spans="1:6" ht="15" x14ac:dyDescent="0.25">
      <c r="A188" s="81">
        <v>2</v>
      </c>
      <c r="B188" s="81" t="s">
        <v>286</v>
      </c>
      <c r="C188" s="10" t="s">
        <v>337</v>
      </c>
      <c r="D188" s="81" t="s">
        <v>361</v>
      </c>
      <c r="E188" s="81" t="s">
        <v>276</v>
      </c>
      <c r="F188" s="81" t="s">
        <v>230</v>
      </c>
    </row>
    <row r="189" spans="1:6" ht="15" x14ac:dyDescent="0.25">
      <c r="A189" s="81">
        <v>3</v>
      </c>
      <c r="B189" s="107" t="s">
        <v>349</v>
      </c>
      <c r="C189" s="10" t="s">
        <v>337</v>
      </c>
      <c r="D189" s="124" t="s">
        <v>361</v>
      </c>
      <c r="E189" s="81" t="s">
        <v>276</v>
      </c>
      <c r="F189" s="81" t="s">
        <v>230</v>
      </c>
    </row>
    <row r="190" spans="1:6" ht="15" x14ac:dyDescent="0.25">
      <c r="A190" s="10">
        <v>3</v>
      </c>
      <c r="B190" s="10" t="s">
        <v>355</v>
      </c>
      <c r="C190" s="10" t="s">
        <v>337</v>
      </c>
      <c r="D190" s="124" t="s">
        <v>361</v>
      </c>
      <c r="E190" s="10" t="s">
        <v>276</v>
      </c>
      <c r="F190" s="10" t="s">
        <v>230</v>
      </c>
    </row>
    <row r="191" spans="1:6" ht="15" x14ac:dyDescent="0.25">
      <c r="A191" s="10">
        <v>3</v>
      </c>
      <c r="B191" s="107" t="s">
        <v>280</v>
      </c>
      <c r="C191" s="10" t="s">
        <v>337</v>
      </c>
      <c r="D191" s="124" t="s">
        <v>361</v>
      </c>
      <c r="E191" s="10" t="s">
        <v>276</v>
      </c>
      <c r="F191" s="10" t="s">
        <v>230</v>
      </c>
    </row>
    <row r="192" spans="1:6" ht="15" x14ac:dyDescent="0.25">
      <c r="A192" s="81">
        <v>3</v>
      </c>
      <c r="B192" s="81" t="s">
        <v>286</v>
      </c>
      <c r="C192" s="10" t="s">
        <v>337</v>
      </c>
      <c r="D192" s="81" t="s">
        <v>361</v>
      </c>
      <c r="E192" s="81" t="s">
        <v>276</v>
      </c>
      <c r="F192" s="81" t="s">
        <v>230</v>
      </c>
    </row>
    <row r="193" spans="1:6" ht="15" x14ac:dyDescent="0.25">
      <c r="A193" s="10">
        <v>4</v>
      </c>
      <c r="B193" s="10" t="s">
        <v>355</v>
      </c>
      <c r="C193" s="10" t="s">
        <v>337</v>
      </c>
      <c r="D193" s="124" t="s">
        <v>361</v>
      </c>
      <c r="E193" s="10" t="s">
        <v>276</v>
      </c>
      <c r="F193" s="10" t="s">
        <v>230</v>
      </c>
    </row>
    <row r="194" spans="1:6" ht="15" x14ac:dyDescent="0.25">
      <c r="A194" s="81">
        <v>4</v>
      </c>
      <c r="B194" s="107" t="s">
        <v>287</v>
      </c>
      <c r="C194" s="10" t="s">
        <v>337</v>
      </c>
      <c r="D194" s="124" t="s">
        <v>361</v>
      </c>
      <c r="E194" s="81" t="s">
        <v>276</v>
      </c>
      <c r="F194" s="81" t="s">
        <v>230</v>
      </c>
    </row>
    <row r="195" spans="1:6" ht="15" x14ac:dyDescent="0.25">
      <c r="A195" s="81">
        <v>4</v>
      </c>
      <c r="B195" s="81" t="s">
        <v>377</v>
      </c>
      <c r="C195" s="10" t="s">
        <v>337</v>
      </c>
      <c r="D195" s="81" t="s">
        <v>361</v>
      </c>
      <c r="E195" s="81" t="s">
        <v>276</v>
      </c>
      <c r="F195" s="81" t="s">
        <v>230</v>
      </c>
    </row>
    <row r="196" spans="1:6" ht="15" x14ac:dyDescent="0.25">
      <c r="A196" s="81">
        <v>5</v>
      </c>
      <c r="B196" s="81" t="s">
        <v>288</v>
      </c>
      <c r="C196" s="10" t="s">
        <v>337</v>
      </c>
      <c r="D196" s="81" t="s">
        <v>361</v>
      </c>
      <c r="E196" s="85" t="s">
        <v>276</v>
      </c>
      <c r="F196" s="81" t="s">
        <v>230</v>
      </c>
    </row>
    <row r="197" spans="1:6" ht="15" x14ac:dyDescent="0.25">
      <c r="A197" s="81">
        <v>6</v>
      </c>
      <c r="B197" s="81" t="s">
        <v>279</v>
      </c>
      <c r="C197" s="10" t="s">
        <v>337</v>
      </c>
      <c r="D197" s="124" t="s">
        <v>361</v>
      </c>
      <c r="E197" s="87" t="s">
        <v>339</v>
      </c>
      <c r="F197" s="81" t="s">
        <v>230</v>
      </c>
    </row>
    <row r="198" spans="1:6" ht="15" x14ac:dyDescent="0.25">
      <c r="A198" s="10">
        <v>6</v>
      </c>
      <c r="B198" s="10" t="s">
        <v>355</v>
      </c>
      <c r="C198" s="10" t="s">
        <v>337</v>
      </c>
      <c r="D198" s="124" t="s">
        <v>361</v>
      </c>
      <c r="E198" s="10" t="s">
        <v>339</v>
      </c>
      <c r="F198" s="10" t="s">
        <v>230</v>
      </c>
    </row>
    <row r="199" spans="1:6" ht="15" x14ac:dyDescent="0.25">
      <c r="A199" s="10">
        <v>6</v>
      </c>
      <c r="B199" s="10" t="s">
        <v>377</v>
      </c>
      <c r="C199" s="10" t="s">
        <v>337</v>
      </c>
      <c r="D199" s="124" t="s">
        <v>361</v>
      </c>
      <c r="E199" s="10" t="s">
        <v>339</v>
      </c>
      <c r="F199" s="10" t="s">
        <v>230</v>
      </c>
    </row>
    <row r="200" spans="1:6" ht="15" x14ac:dyDescent="0.25">
      <c r="A200" s="10">
        <v>7</v>
      </c>
      <c r="B200" s="10" t="s">
        <v>227</v>
      </c>
      <c r="C200" s="10" t="s">
        <v>337</v>
      </c>
      <c r="D200" s="10" t="s">
        <v>360</v>
      </c>
      <c r="E200" s="10" t="s">
        <v>346</v>
      </c>
      <c r="F200" s="10" t="s">
        <v>230</v>
      </c>
    </row>
    <row r="201" spans="1:6" ht="15" x14ac:dyDescent="0.25">
      <c r="A201" s="81">
        <v>7</v>
      </c>
      <c r="B201" s="81" t="s">
        <v>280</v>
      </c>
      <c r="C201" s="10" t="s">
        <v>337</v>
      </c>
      <c r="D201" s="124" t="s">
        <v>361</v>
      </c>
      <c r="E201" s="10" t="s">
        <v>339</v>
      </c>
      <c r="F201" s="81" t="s">
        <v>230</v>
      </c>
    </row>
    <row r="202" spans="1:6" ht="15" x14ac:dyDescent="0.25">
      <c r="A202" s="10">
        <v>7</v>
      </c>
      <c r="B202" s="10" t="s">
        <v>355</v>
      </c>
      <c r="C202" s="10" t="s">
        <v>337</v>
      </c>
      <c r="D202" s="10" t="s">
        <v>361</v>
      </c>
      <c r="E202" s="10" t="s">
        <v>339</v>
      </c>
      <c r="F202" s="10" t="s">
        <v>230</v>
      </c>
    </row>
    <row r="203" spans="1:6" ht="15" x14ac:dyDescent="0.25">
      <c r="A203" s="10">
        <v>7</v>
      </c>
      <c r="B203" s="10" t="s">
        <v>226</v>
      </c>
      <c r="C203" s="10" t="s">
        <v>337</v>
      </c>
      <c r="D203" s="10" t="s">
        <v>361</v>
      </c>
      <c r="E203" s="10" t="s">
        <v>339</v>
      </c>
      <c r="F203" s="10" t="s">
        <v>230</v>
      </c>
    </row>
    <row r="204" spans="1:6" ht="15" x14ac:dyDescent="0.25">
      <c r="A204" s="81">
        <v>8</v>
      </c>
      <c r="B204" s="107" t="s">
        <v>338</v>
      </c>
      <c r="C204" s="10" t="s">
        <v>337</v>
      </c>
      <c r="D204" s="10" t="s">
        <v>360</v>
      </c>
      <c r="E204" s="85" t="s">
        <v>346</v>
      </c>
      <c r="F204" s="81" t="s">
        <v>230</v>
      </c>
    </row>
    <row r="205" spans="1:6" ht="15" x14ac:dyDescent="0.25">
      <c r="A205" s="81">
        <v>8</v>
      </c>
      <c r="B205" s="118" t="s">
        <v>353</v>
      </c>
      <c r="C205" s="10" t="s">
        <v>337</v>
      </c>
      <c r="D205" s="10" t="s">
        <v>360</v>
      </c>
      <c r="E205" s="85" t="s">
        <v>346</v>
      </c>
      <c r="F205" s="81" t="s">
        <v>230</v>
      </c>
    </row>
    <row r="206" spans="1:6" ht="15" x14ac:dyDescent="0.25">
      <c r="A206" s="81">
        <v>8</v>
      </c>
      <c r="B206" s="118" t="s">
        <v>379</v>
      </c>
      <c r="C206" s="10" t="s">
        <v>337</v>
      </c>
      <c r="D206" s="124" t="s">
        <v>359</v>
      </c>
      <c r="E206" s="85" t="s">
        <v>346</v>
      </c>
      <c r="F206" s="81" t="s">
        <v>230</v>
      </c>
    </row>
    <row r="207" spans="1:6" ht="15" x14ac:dyDescent="0.25">
      <c r="A207" s="81">
        <v>8</v>
      </c>
      <c r="B207" s="118" t="s">
        <v>380</v>
      </c>
      <c r="C207" s="10" t="s">
        <v>337</v>
      </c>
      <c r="D207" s="124" t="s">
        <v>359</v>
      </c>
      <c r="E207" s="85" t="s">
        <v>346</v>
      </c>
      <c r="F207" s="81" t="s">
        <v>230</v>
      </c>
    </row>
    <row r="208" spans="1:6" ht="15" x14ac:dyDescent="0.25">
      <c r="A208" s="81">
        <v>8</v>
      </c>
      <c r="B208" s="107" t="s">
        <v>348</v>
      </c>
      <c r="C208" s="10" t="s">
        <v>337</v>
      </c>
      <c r="D208" s="10" t="s">
        <v>360</v>
      </c>
      <c r="E208" s="85" t="s">
        <v>346</v>
      </c>
      <c r="F208" s="81" t="s">
        <v>230</v>
      </c>
    </row>
    <row r="209" spans="1:6" ht="15" x14ac:dyDescent="0.25">
      <c r="A209" s="81">
        <v>8</v>
      </c>
      <c r="B209" s="117" t="s">
        <v>381</v>
      </c>
      <c r="C209" s="10" t="s">
        <v>337</v>
      </c>
      <c r="D209" s="124" t="s">
        <v>359</v>
      </c>
      <c r="E209" s="85" t="s">
        <v>346</v>
      </c>
      <c r="F209" s="81" t="s">
        <v>230</v>
      </c>
    </row>
    <row r="210" spans="1:6" ht="15" x14ac:dyDescent="0.25">
      <c r="A210" s="81">
        <v>8</v>
      </c>
      <c r="B210" s="81" t="s">
        <v>296</v>
      </c>
      <c r="C210" s="10" t="s">
        <v>337</v>
      </c>
      <c r="D210" s="124" t="s">
        <v>359</v>
      </c>
      <c r="E210" s="85" t="s">
        <v>346</v>
      </c>
      <c r="F210" s="81" t="s">
        <v>230</v>
      </c>
    </row>
    <row r="211" spans="1:6" ht="15" x14ac:dyDescent="0.25">
      <c r="A211" s="81">
        <v>8</v>
      </c>
      <c r="B211" s="107" t="s">
        <v>299</v>
      </c>
      <c r="C211" s="10" t="s">
        <v>337</v>
      </c>
      <c r="D211" s="10" t="s">
        <v>359</v>
      </c>
      <c r="E211" s="85" t="s">
        <v>346</v>
      </c>
      <c r="F211" s="81" t="s">
        <v>230</v>
      </c>
    </row>
    <row r="212" spans="1:6" ht="15" x14ac:dyDescent="0.25">
      <c r="A212" s="10">
        <v>8</v>
      </c>
      <c r="B212" s="10" t="s">
        <v>227</v>
      </c>
      <c r="C212" s="10" t="s">
        <v>337</v>
      </c>
      <c r="D212" s="10" t="s">
        <v>359</v>
      </c>
      <c r="E212" s="10" t="s">
        <v>346</v>
      </c>
      <c r="F212" s="10" t="s">
        <v>230</v>
      </c>
    </row>
    <row r="213" spans="1:6" ht="15" x14ac:dyDescent="0.25">
      <c r="A213" s="10">
        <v>8</v>
      </c>
      <c r="B213" s="10" t="s">
        <v>227</v>
      </c>
      <c r="C213" s="10" t="s">
        <v>337</v>
      </c>
      <c r="D213" s="10" t="s">
        <v>360</v>
      </c>
      <c r="E213" s="10" t="s">
        <v>346</v>
      </c>
      <c r="F213" s="10" t="s">
        <v>230</v>
      </c>
    </row>
    <row r="214" spans="1:6" ht="15" x14ac:dyDescent="0.25">
      <c r="A214" s="81">
        <v>8</v>
      </c>
      <c r="B214" s="107" t="s">
        <v>350</v>
      </c>
      <c r="C214" s="10" t="s">
        <v>337</v>
      </c>
      <c r="D214" s="124" t="s">
        <v>362</v>
      </c>
      <c r="E214" s="10" t="s">
        <v>339</v>
      </c>
      <c r="F214" s="81" t="s">
        <v>230</v>
      </c>
    </row>
    <row r="215" spans="1:6" ht="15" x14ac:dyDescent="0.25">
      <c r="A215" s="81">
        <v>8</v>
      </c>
      <c r="B215" s="81" t="s">
        <v>279</v>
      </c>
      <c r="C215" s="10" t="s">
        <v>337</v>
      </c>
      <c r="D215" s="124" t="s">
        <v>362</v>
      </c>
      <c r="E215" s="10" t="s">
        <v>339</v>
      </c>
      <c r="F215" s="81" t="s">
        <v>230</v>
      </c>
    </row>
    <row r="216" spans="1:6" ht="15" x14ac:dyDescent="0.25">
      <c r="A216" s="81">
        <v>8</v>
      </c>
      <c r="B216" s="81" t="s">
        <v>281</v>
      </c>
      <c r="C216" s="10" t="s">
        <v>337</v>
      </c>
      <c r="D216" s="124" t="s">
        <v>362</v>
      </c>
      <c r="E216" s="10" t="s">
        <v>339</v>
      </c>
      <c r="F216" s="81" t="s">
        <v>230</v>
      </c>
    </row>
    <row r="217" spans="1:6" ht="15" x14ac:dyDescent="0.25">
      <c r="A217" s="81">
        <v>8</v>
      </c>
      <c r="B217" s="81" t="s">
        <v>275</v>
      </c>
      <c r="C217" s="10" t="s">
        <v>337</v>
      </c>
      <c r="D217" s="81" t="s">
        <v>362</v>
      </c>
      <c r="E217" s="30" t="s">
        <v>339</v>
      </c>
      <c r="F217" s="81" t="s">
        <v>230</v>
      </c>
    </row>
    <row r="218" spans="1:6" ht="15" x14ac:dyDescent="0.25">
      <c r="A218" s="10">
        <v>8</v>
      </c>
      <c r="B218" s="10" t="s">
        <v>226</v>
      </c>
      <c r="C218" s="10" t="s">
        <v>337</v>
      </c>
      <c r="D218" s="10" t="s">
        <v>362</v>
      </c>
      <c r="E218" s="30" t="s">
        <v>339</v>
      </c>
      <c r="F218" s="10" t="s">
        <v>230</v>
      </c>
    </row>
    <row r="219" spans="1:6" ht="15" x14ac:dyDescent="0.25">
      <c r="A219"/>
      <c r="B219"/>
      <c r="C219"/>
      <c r="D219"/>
      <c r="E219"/>
      <c r="F219"/>
    </row>
    <row r="220" spans="1:6" ht="15" x14ac:dyDescent="0.25">
      <c r="A220"/>
      <c r="B220"/>
      <c r="C220"/>
      <c r="D220"/>
      <c r="E220"/>
      <c r="F220"/>
    </row>
    <row r="221" spans="1:6" ht="15" x14ac:dyDescent="0.25">
      <c r="A221"/>
      <c r="B221"/>
      <c r="C221"/>
      <c r="D221"/>
      <c r="E221"/>
      <c r="F221"/>
    </row>
    <row r="222" spans="1:6" ht="15" x14ac:dyDescent="0.25">
      <c r="A222"/>
      <c r="B222"/>
      <c r="C222"/>
      <c r="D222"/>
      <c r="E222"/>
      <c r="F222"/>
    </row>
    <row r="223" spans="1:6" ht="15" x14ac:dyDescent="0.25">
      <c r="A223"/>
      <c r="B223"/>
      <c r="C223"/>
      <c r="D223"/>
      <c r="E223"/>
      <c r="F223"/>
    </row>
    <row r="224" spans="1:6" ht="15" x14ac:dyDescent="0.25">
      <c r="A224"/>
      <c r="B224"/>
      <c r="C224"/>
      <c r="D224"/>
      <c r="E224"/>
      <c r="F224"/>
    </row>
    <row r="225" spans="1:6" ht="15" x14ac:dyDescent="0.25">
      <c r="A225"/>
      <c r="B225"/>
      <c r="C225"/>
      <c r="D225"/>
      <c r="E225"/>
      <c r="F225"/>
    </row>
    <row r="226" spans="1:6" ht="15" x14ac:dyDescent="0.25">
      <c r="A226"/>
      <c r="B226"/>
      <c r="C226"/>
      <c r="D226"/>
      <c r="E226"/>
      <c r="F226"/>
    </row>
    <row r="227" spans="1:6" ht="15" x14ac:dyDescent="0.25">
      <c r="A227"/>
      <c r="B227"/>
      <c r="C227"/>
      <c r="D227"/>
      <c r="E227"/>
      <c r="F227"/>
    </row>
    <row r="228" spans="1:6" ht="15" x14ac:dyDescent="0.25">
      <c r="A228"/>
      <c r="B228"/>
      <c r="C228"/>
      <c r="D228"/>
      <c r="E228"/>
      <c r="F228"/>
    </row>
    <row r="229" spans="1:6" ht="15" x14ac:dyDescent="0.25">
      <c r="A229"/>
      <c r="B229"/>
      <c r="C229"/>
      <c r="D229"/>
      <c r="E229"/>
      <c r="F229"/>
    </row>
    <row r="230" spans="1:6" ht="15" x14ac:dyDescent="0.25">
      <c r="A230"/>
      <c r="B230"/>
      <c r="C230"/>
      <c r="D230"/>
      <c r="E230"/>
      <c r="F230"/>
    </row>
    <row r="231" spans="1:6" ht="15" x14ac:dyDescent="0.25">
      <c r="A231"/>
      <c r="B231"/>
      <c r="C231"/>
      <c r="D231"/>
      <c r="E231"/>
      <c r="F231"/>
    </row>
    <row r="232" spans="1:6" ht="15" x14ac:dyDescent="0.25">
      <c r="A232"/>
      <c r="B232"/>
      <c r="C232"/>
      <c r="D232"/>
      <c r="E232"/>
      <c r="F232"/>
    </row>
    <row r="233" spans="1:6" ht="15" x14ac:dyDescent="0.25">
      <c r="A233"/>
      <c r="B233"/>
      <c r="C233"/>
      <c r="D233"/>
      <c r="E233"/>
      <c r="F233"/>
    </row>
    <row r="234" spans="1:6" ht="15" x14ac:dyDescent="0.25">
      <c r="A234"/>
      <c r="B234"/>
      <c r="C234"/>
      <c r="D234"/>
      <c r="E234"/>
      <c r="F234"/>
    </row>
    <row r="235" spans="1:6" ht="15" x14ac:dyDescent="0.25">
      <c r="A235"/>
      <c r="B235"/>
      <c r="C235"/>
      <c r="D235"/>
      <c r="E235"/>
      <c r="F235"/>
    </row>
    <row r="236" spans="1:6" ht="15" x14ac:dyDescent="0.25">
      <c r="A236"/>
      <c r="B236"/>
      <c r="C236"/>
      <c r="D236"/>
      <c r="E236"/>
      <c r="F236"/>
    </row>
    <row r="237" spans="1:6" ht="15" x14ac:dyDescent="0.25">
      <c r="A237"/>
      <c r="B237"/>
      <c r="C237"/>
      <c r="D237"/>
      <c r="E237"/>
      <c r="F237"/>
    </row>
    <row r="238" spans="1:6" ht="15" x14ac:dyDescent="0.25">
      <c r="A238"/>
      <c r="B238"/>
      <c r="C238"/>
      <c r="D238"/>
      <c r="E238"/>
      <c r="F238"/>
    </row>
    <row r="239" spans="1:6" ht="15" x14ac:dyDescent="0.25">
      <c r="A239"/>
      <c r="B239"/>
      <c r="C239"/>
      <c r="D239"/>
      <c r="E239"/>
      <c r="F239"/>
    </row>
    <row r="240" spans="1:6" ht="15" x14ac:dyDescent="0.25">
      <c r="A240"/>
      <c r="B240"/>
      <c r="C240"/>
      <c r="D240"/>
      <c r="E240"/>
      <c r="F240"/>
    </row>
    <row r="241" spans="1:6" ht="15" x14ac:dyDescent="0.25">
      <c r="A241"/>
      <c r="B241"/>
      <c r="C241"/>
      <c r="D241"/>
      <c r="E241"/>
      <c r="F241"/>
    </row>
    <row r="242" spans="1:6" ht="15" x14ac:dyDescent="0.25">
      <c r="A242"/>
      <c r="B242"/>
      <c r="C242"/>
      <c r="D242"/>
      <c r="E242"/>
      <c r="F242"/>
    </row>
    <row r="243" spans="1:6" ht="15" x14ac:dyDescent="0.25">
      <c r="A243"/>
      <c r="B243"/>
      <c r="C243"/>
      <c r="D243"/>
      <c r="E243"/>
      <c r="F243"/>
    </row>
    <row r="244" spans="1:6" ht="15" x14ac:dyDescent="0.25">
      <c r="A244"/>
      <c r="B244"/>
      <c r="C244"/>
      <c r="D244"/>
      <c r="E244"/>
      <c r="F244"/>
    </row>
    <row r="245" spans="1:6" ht="15" x14ac:dyDescent="0.25">
      <c r="A245"/>
      <c r="B245"/>
      <c r="C245"/>
      <c r="D245"/>
      <c r="E245"/>
      <c r="F245"/>
    </row>
    <row r="246" spans="1:6" ht="15" x14ac:dyDescent="0.25">
      <c r="A246"/>
      <c r="B246"/>
      <c r="C246"/>
      <c r="D246"/>
      <c r="E246"/>
      <c r="F246"/>
    </row>
    <row r="247" spans="1:6" ht="15" x14ac:dyDescent="0.25">
      <c r="A247"/>
      <c r="B247"/>
      <c r="C247"/>
      <c r="D247"/>
      <c r="E247"/>
      <c r="F247"/>
    </row>
    <row r="248" spans="1:6" ht="15" x14ac:dyDescent="0.25">
      <c r="A248"/>
      <c r="B248"/>
      <c r="C248"/>
      <c r="D248"/>
      <c r="E248"/>
      <c r="F248"/>
    </row>
    <row r="249" spans="1:6" ht="15" x14ac:dyDescent="0.25">
      <c r="A249"/>
      <c r="B249"/>
      <c r="C249"/>
      <c r="D249"/>
      <c r="E249"/>
      <c r="F249"/>
    </row>
    <row r="250" spans="1:6" ht="15" x14ac:dyDescent="0.25">
      <c r="A250"/>
      <c r="B250"/>
      <c r="C250"/>
      <c r="D250"/>
      <c r="E250"/>
      <c r="F250"/>
    </row>
    <row r="251" spans="1:6" ht="15" x14ac:dyDescent="0.25">
      <c r="A251"/>
      <c r="B251"/>
      <c r="C251"/>
      <c r="D251"/>
      <c r="E251"/>
      <c r="F251"/>
    </row>
    <row r="252" spans="1:6" ht="15" x14ac:dyDescent="0.25">
      <c r="A252"/>
      <c r="B252"/>
      <c r="C252"/>
      <c r="D252"/>
      <c r="E252"/>
      <c r="F252"/>
    </row>
    <row r="253" spans="1:6" ht="15" x14ac:dyDescent="0.25">
      <c r="A253"/>
      <c r="B253"/>
      <c r="C253"/>
      <c r="D253"/>
      <c r="E253"/>
      <c r="F253"/>
    </row>
    <row r="254" spans="1:6" ht="15" x14ac:dyDescent="0.25">
      <c r="A254"/>
      <c r="B254"/>
      <c r="C254"/>
      <c r="D254"/>
      <c r="E254"/>
      <c r="F254"/>
    </row>
    <row r="255" spans="1:6" ht="15" x14ac:dyDescent="0.25">
      <c r="A255"/>
      <c r="B255"/>
      <c r="C255"/>
      <c r="D255"/>
      <c r="E255"/>
      <c r="F255"/>
    </row>
    <row r="256" spans="1:6" ht="15" x14ac:dyDescent="0.25">
      <c r="A256"/>
      <c r="B256"/>
      <c r="C256"/>
      <c r="D256"/>
      <c r="E256"/>
      <c r="F256"/>
    </row>
    <row r="257" spans="1:6" ht="15" x14ac:dyDescent="0.25">
      <c r="A257"/>
      <c r="B257"/>
      <c r="C257"/>
      <c r="D257"/>
      <c r="E257"/>
      <c r="F257"/>
    </row>
    <row r="258" spans="1:6" ht="15" x14ac:dyDescent="0.25">
      <c r="A258"/>
      <c r="B258"/>
      <c r="C258"/>
      <c r="D258"/>
      <c r="E258"/>
      <c r="F258"/>
    </row>
    <row r="259" spans="1:6" ht="15" x14ac:dyDescent="0.25">
      <c r="A259"/>
      <c r="B259"/>
      <c r="C259"/>
      <c r="D259"/>
      <c r="E259"/>
      <c r="F259"/>
    </row>
    <row r="260" spans="1:6" ht="15" x14ac:dyDescent="0.25">
      <c r="A260"/>
      <c r="B260"/>
      <c r="C260"/>
      <c r="D260"/>
      <c r="E260"/>
      <c r="F260"/>
    </row>
    <row r="261" spans="1:6" ht="15" x14ac:dyDescent="0.25">
      <c r="A261" s="5"/>
      <c r="B261" s="5"/>
      <c r="C261" s="5"/>
      <c r="D261" s="5"/>
      <c r="E261" s="5"/>
      <c r="F261" s="5"/>
    </row>
    <row r="262" spans="1:6" ht="15" x14ac:dyDescent="0.25">
      <c r="A262" s="5"/>
      <c r="B262" s="5"/>
      <c r="C262" s="5"/>
      <c r="D262" s="5"/>
      <c r="E262" s="5"/>
      <c r="F262" s="5"/>
    </row>
    <row r="263" spans="1:6" ht="15" x14ac:dyDescent="0.25">
      <c r="A263" s="5"/>
      <c r="B263" s="5"/>
      <c r="C263" s="5"/>
      <c r="D263" s="5"/>
      <c r="E263" s="5"/>
      <c r="F263" s="5"/>
    </row>
    <row r="264" spans="1:6" ht="15" x14ac:dyDescent="0.25">
      <c r="A264" s="5"/>
      <c r="B264" s="5"/>
      <c r="C264" s="5"/>
      <c r="D264" s="5"/>
      <c r="E264" s="5"/>
      <c r="F264" s="5"/>
    </row>
    <row r="265" spans="1:6" ht="15" x14ac:dyDescent="0.25">
      <c r="A265" s="5"/>
      <c r="B265" s="5"/>
      <c r="C265" s="5"/>
      <c r="D265" s="5"/>
      <c r="E265" s="5"/>
      <c r="F265" s="5"/>
    </row>
    <row r="266" spans="1:6" ht="15" x14ac:dyDescent="0.25">
      <c r="A266" s="5"/>
      <c r="B266" s="5"/>
      <c r="C266" s="5"/>
      <c r="D266" s="5"/>
      <c r="E266" s="5"/>
      <c r="F266" s="5"/>
    </row>
    <row r="267" spans="1:6" ht="15" x14ac:dyDescent="0.25">
      <c r="A267" s="5"/>
      <c r="B267" s="5"/>
      <c r="C267" s="5"/>
      <c r="D267" s="5"/>
      <c r="E267" s="5"/>
      <c r="F267" s="5"/>
    </row>
    <row r="268" spans="1:6" ht="15" x14ac:dyDescent="0.25">
      <c r="A268" s="5"/>
      <c r="B268" s="5"/>
      <c r="C268" s="5"/>
      <c r="D268" s="5"/>
      <c r="E268" s="5"/>
      <c r="F268" s="5"/>
    </row>
    <row r="269" spans="1:6" ht="15" x14ac:dyDescent="0.25">
      <c r="A269" s="5"/>
      <c r="B269" s="5"/>
      <c r="C269" s="5"/>
      <c r="D269" s="5"/>
      <c r="E269" s="5"/>
      <c r="F269" s="5"/>
    </row>
    <row r="270" spans="1:6" ht="15" x14ac:dyDescent="0.25">
      <c r="A270" s="5"/>
      <c r="B270" s="5"/>
      <c r="C270" s="5"/>
      <c r="D270" s="5"/>
      <c r="E270" s="5"/>
      <c r="F270" s="5"/>
    </row>
    <row r="271" spans="1:6" ht="15" x14ac:dyDescent="0.25">
      <c r="A271" s="5"/>
      <c r="B271" s="5"/>
      <c r="C271" s="5"/>
      <c r="D271" s="5"/>
      <c r="E271" s="5"/>
      <c r="F271" s="5"/>
    </row>
    <row r="272" spans="1:6" ht="15" x14ac:dyDescent="0.25">
      <c r="A272" s="5"/>
      <c r="B272" s="5"/>
      <c r="C272" s="5"/>
      <c r="D272" s="5"/>
      <c r="E272" s="5"/>
      <c r="F272" s="5"/>
    </row>
    <row r="273" spans="1:6" ht="15" x14ac:dyDescent="0.25">
      <c r="A273" s="5"/>
      <c r="B273" s="5"/>
      <c r="C273" s="5"/>
      <c r="D273" s="5"/>
      <c r="E273" s="5"/>
      <c r="F273" s="5"/>
    </row>
    <row r="274" spans="1:6" ht="15" x14ac:dyDescent="0.25">
      <c r="A274" s="5"/>
      <c r="B274" s="5"/>
      <c r="C274" s="5"/>
      <c r="D274" s="5"/>
      <c r="E274" s="5"/>
      <c r="F274" s="5"/>
    </row>
    <row r="275" spans="1:6" ht="15" x14ac:dyDescent="0.25">
      <c r="A275" s="5"/>
      <c r="B275" s="5"/>
      <c r="C275" s="5"/>
      <c r="D275" s="5"/>
      <c r="E275" s="5"/>
      <c r="F275" s="5"/>
    </row>
    <row r="276" spans="1:6" ht="15" x14ac:dyDescent="0.25">
      <c r="A276" s="5"/>
      <c r="B276" s="5"/>
      <c r="C276" s="5"/>
      <c r="D276" s="5"/>
      <c r="E276" s="5"/>
      <c r="F276" s="5"/>
    </row>
    <row r="277" spans="1:6" ht="15" x14ac:dyDescent="0.25">
      <c r="A277" s="5"/>
      <c r="B277" s="5"/>
      <c r="C277" s="5"/>
      <c r="D277" s="5"/>
      <c r="E277" s="5"/>
      <c r="F277" s="5"/>
    </row>
    <row r="278" spans="1:6" ht="15" x14ac:dyDescent="0.25">
      <c r="A278" s="5"/>
      <c r="B278" s="5"/>
      <c r="C278" s="5"/>
      <c r="D278" s="5"/>
      <c r="E278" s="5"/>
      <c r="F278" s="5"/>
    </row>
    <row r="279" spans="1:6" ht="15" x14ac:dyDescent="0.25">
      <c r="A279" s="5"/>
      <c r="B279" s="5"/>
      <c r="C279" s="5"/>
      <c r="D279" s="5"/>
      <c r="E279" s="5"/>
      <c r="F279" s="5"/>
    </row>
    <row r="280" spans="1:6" ht="15" x14ac:dyDescent="0.25">
      <c r="A280" s="5"/>
      <c r="B280" s="5"/>
      <c r="C280" s="5"/>
      <c r="D280" s="5"/>
      <c r="E280" s="5"/>
      <c r="F280" s="5"/>
    </row>
    <row r="281" spans="1:6" ht="15" x14ac:dyDescent="0.25">
      <c r="A281" s="5"/>
      <c r="B281" s="5"/>
      <c r="C281" s="5"/>
      <c r="D281" s="5"/>
      <c r="E281" s="5"/>
      <c r="F281" s="5"/>
    </row>
    <row r="282" spans="1:6" ht="15" x14ac:dyDescent="0.25">
      <c r="A282" s="5"/>
      <c r="B282" s="5"/>
      <c r="C282" s="5"/>
      <c r="D282" s="5"/>
      <c r="E282" s="5"/>
      <c r="F282" s="5"/>
    </row>
    <row r="283" spans="1:6" ht="15" x14ac:dyDescent="0.25">
      <c r="A283" s="5"/>
      <c r="B283" s="5"/>
      <c r="C283" s="5"/>
      <c r="D283" s="5"/>
      <c r="E283" s="5"/>
      <c r="F283" s="5"/>
    </row>
    <row r="284" spans="1:6" ht="15" x14ac:dyDescent="0.25">
      <c r="A284" s="5"/>
      <c r="B284" s="5"/>
      <c r="C284" s="5"/>
      <c r="D284" s="5"/>
      <c r="E284" s="5"/>
      <c r="F284" s="5"/>
    </row>
    <row r="285" spans="1:6" ht="15" x14ac:dyDescent="0.25">
      <c r="A285" s="5"/>
      <c r="B285" s="5"/>
      <c r="C285" s="5"/>
      <c r="D285" s="5"/>
      <c r="E285" s="5"/>
      <c r="F285" s="5"/>
    </row>
    <row r="286" spans="1:6" ht="15" x14ac:dyDescent="0.25">
      <c r="A286" s="5"/>
      <c r="B286" s="5"/>
      <c r="C286" s="5"/>
      <c r="D286" s="5"/>
      <c r="E286" s="5"/>
      <c r="F286" s="5"/>
    </row>
    <row r="287" spans="1:6" ht="15" x14ac:dyDescent="0.25">
      <c r="A287" s="5"/>
      <c r="B287" s="5"/>
      <c r="C287" s="5"/>
      <c r="D287" s="5"/>
      <c r="E287" s="5"/>
      <c r="F287" s="5"/>
    </row>
    <row r="288" spans="1:6" ht="15" x14ac:dyDescent="0.25">
      <c r="A288" s="5"/>
      <c r="B288" s="5"/>
      <c r="C288" s="5"/>
      <c r="D288" s="5"/>
      <c r="E288" s="5"/>
      <c r="F288" s="5"/>
    </row>
    <row r="289" spans="1:6" ht="15" x14ac:dyDescent="0.25">
      <c r="A289" s="5"/>
      <c r="B289" s="5"/>
      <c r="C289" s="5"/>
      <c r="D289" s="5"/>
      <c r="E289" s="5"/>
      <c r="F289" s="5"/>
    </row>
    <row r="290" spans="1:6" ht="15" x14ac:dyDescent="0.25">
      <c r="A290" s="5"/>
      <c r="B290" s="5"/>
      <c r="C290" s="5"/>
      <c r="D290" s="5"/>
      <c r="E290" s="5"/>
      <c r="F290" s="5"/>
    </row>
    <row r="291" spans="1:6" ht="15" x14ac:dyDescent="0.25">
      <c r="A291" s="5"/>
      <c r="B291" s="5"/>
      <c r="C291" s="5"/>
      <c r="D291" s="5"/>
      <c r="E291" s="5"/>
      <c r="F291" s="5"/>
    </row>
    <row r="292" spans="1:6" ht="15" x14ac:dyDescent="0.25">
      <c r="A292" s="5"/>
      <c r="B292" s="5"/>
      <c r="C292" s="5"/>
      <c r="D292" s="5"/>
      <c r="E292" s="5"/>
      <c r="F292" s="5"/>
    </row>
    <row r="293" spans="1:6" ht="15" x14ac:dyDescent="0.25">
      <c r="A293" s="5"/>
      <c r="B293" s="5"/>
      <c r="C293" s="5"/>
      <c r="D293" s="5"/>
      <c r="E293" s="5"/>
      <c r="F293" s="5"/>
    </row>
    <row r="294" spans="1:6" ht="15" x14ac:dyDescent="0.25">
      <c r="A294" s="5"/>
      <c r="B294" s="5"/>
      <c r="C294" s="5"/>
      <c r="D294" s="5"/>
      <c r="E294" s="5"/>
      <c r="F294" s="5"/>
    </row>
    <row r="295" spans="1:6" ht="15" x14ac:dyDescent="0.25">
      <c r="A295" s="5"/>
      <c r="B295" s="5"/>
      <c r="C295" s="5"/>
      <c r="D295" s="5"/>
      <c r="E295" s="5"/>
      <c r="F295" s="5"/>
    </row>
    <row r="296" spans="1:6" ht="15" x14ac:dyDescent="0.25">
      <c r="A296" s="5"/>
      <c r="B296" s="5"/>
      <c r="C296" s="5"/>
      <c r="D296" s="5"/>
      <c r="E296" s="5"/>
      <c r="F296" s="5"/>
    </row>
    <row r="297" spans="1:6" ht="15" x14ac:dyDescent="0.25">
      <c r="A297" s="5"/>
      <c r="B297" s="5"/>
      <c r="C297" s="5"/>
      <c r="D297" s="5"/>
      <c r="E297" s="5"/>
      <c r="F297" s="5"/>
    </row>
    <row r="298" spans="1:6" ht="15" x14ac:dyDescent="0.25">
      <c r="A298" s="5"/>
      <c r="B298" s="5"/>
      <c r="C298" s="5"/>
      <c r="D298" s="5"/>
      <c r="E298" s="5"/>
      <c r="F298" s="5"/>
    </row>
    <row r="299" spans="1:6" ht="15" x14ac:dyDescent="0.25">
      <c r="A299" s="5"/>
      <c r="B299" s="5"/>
      <c r="C299" s="5"/>
      <c r="D299" s="5"/>
      <c r="E299" s="5"/>
      <c r="F299" s="5"/>
    </row>
    <row r="300" spans="1:6" ht="15" x14ac:dyDescent="0.25">
      <c r="A300" s="5"/>
      <c r="B300" s="5"/>
      <c r="C300" s="5"/>
      <c r="D300" s="5"/>
      <c r="E300" s="5"/>
      <c r="F300" s="5"/>
    </row>
    <row r="301" spans="1:6" ht="15" x14ac:dyDescent="0.25">
      <c r="A301" s="5"/>
      <c r="B301" s="5"/>
      <c r="C301" s="5"/>
      <c r="D301" s="5"/>
      <c r="E301" s="5"/>
      <c r="F301" s="5"/>
    </row>
    <row r="302" spans="1:6" ht="15" x14ac:dyDescent="0.25">
      <c r="A302" s="5"/>
      <c r="B302" s="5"/>
      <c r="C302" s="5"/>
      <c r="D302" s="5"/>
      <c r="E302" s="5"/>
      <c r="F302" s="5"/>
    </row>
    <row r="303" spans="1:6" ht="15" x14ac:dyDescent="0.25">
      <c r="A303" s="5"/>
      <c r="B303" s="5"/>
      <c r="C303" s="5"/>
      <c r="D303" s="5"/>
      <c r="E303" s="5"/>
      <c r="F303" s="5"/>
    </row>
    <row r="304" spans="1:6" ht="15" x14ac:dyDescent="0.25">
      <c r="A304" s="5"/>
      <c r="B304" s="5"/>
      <c r="C304" s="5"/>
      <c r="D304" s="5"/>
      <c r="E304" s="5"/>
      <c r="F304" s="5"/>
    </row>
    <row r="305" spans="1:6" ht="15" x14ac:dyDescent="0.25">
      <c r="A305" s="5"/>
      <c r="B305" s="5"/>
      <c r="C305" s="5"/>
      <c r="D305" s="5"/>
      <c r="E305" s="5"/>
      <c r="F305" s="5"/>
    </row>
    <row r="306" spans="1:6" ht="15" x14ac:dyDescent="0.25">
      <c r="A306" s="5"/>
      <c r="B306" s="5"/>
      <c r="C306" s="5"/>
      <c r="D306" s="5"/>
      <c r="E306" s="5"/>
      <c r="F306" s="5"/>
    </row>
    <row r="307" spans="1:6" ht="15" x14ac:dyDescent="0.25">
      <c r="A307" s="5"/>
      <c r="B307" s="5"/>
      <c r="C307" s="5"/>
      <c r="D307" s="5"/>
      <c r="E307" s="5"/>
      <c r="F307" s="5"/>
    </row>
    <row r="308" spans="1:6" ht="15" x14ac:dyDescent="0.25">
      <c r="A308" s="5"/>
      <c r="B308" s="5"/>
      <c r="C308" s="5"/>
      <c r="D308" s="5"/>
      <c r="E308" s="5"/>
      <c r="F308" s="5"/>
    </row>
    <row r="309" spans="1:6" ht="15" x14ac:dyDescent="0.25">
      <c r="A309" s="5"/>
      <c r="B309" s="5"/>
      <c r="C309" s="5"/>
      <c r="D309" s="5"/>
      <c r="E309" s="5"/>
      <c r="F309" s="5"/>
    </row>
    <row r="310" spans="1:6" ht="15" x14ac:dyDescent="0.25">
      <c r="A310" s="5"/>
      <c r="B310" s="5"/>
      <c r="C310" s="5"/>
      <c r="D310" s="5"/>
      <c r="E310" s="5"/>
      <c r="F310" s="5"/>
    </row>
    <row r="311" spans="1:6" ht="15" x14ac:dyDescent="0.25">
      <c r="A311" s="5"/>
      <c r="B311" s="5"/>
      <c r="C311" s="5"/>
      <c r="D311" s="5"/>
      <c r="E311" s="5"/>
      <c r="F311" s="5"/>
    </row>
    <row r="312" spans="1:6" ht="15" x14ac:dyDescent="0.25">
      <c r="A312" s="5"/>
      <c r="B312" s="5"/>
      <c r="C312" s="5"/>
      <c r="D312" s="5"/>
      <c r="E312" s="5"/>
      <c r="F312" s="5"/>
    </row>
    <row r="313" spans="1:6" ht="15" x14ac:dyDescent="0.25">
      <c r="A313" s="5"/>
      <c r="B313" s="5"/>
      <c r="C313" s="5"/>
      <c r="D313" s="5"/>
      <c r="E313" s="5"/>
      <c r="F313" s="5"/>
    </row>
    <row r="314" spans="1:6" ht="15" x14ac:dyDescent="0.25">
      <c r="A314" s="5"/>
      <c r="B314" s="5"/>
      <c r="C314" s="5"/>
      <c r="D314" s="5"/>
      <c r="E314" s="5"/>
      <c r="F314" s="5"/>
    </row>
    <row r="315" spans="1:6" ht="15" x14ac:dyDescent="0.25">
      <c r="A315" s="5"/>
      <c r="B315" s="5"/>
      <c r="C315" s="5"/>
      <c r="D315" s="5"/>
      <c r="E315" s="5"/>
      <c r="F315" s="5"/>
    </row>
    <row r="316" spans="1:6" ht="15" x14ac:dyDescent="0.25">
      <c r="A316" s="5"/>
      <c r="B316" s="5"/>
      <c r="C316" s="5"/>
      <c r="D316" s="5"/>
      <c r="E316" s="5"/>
      <c r="F316" s="5"/>
    </row>
    <row r="317" spans="1:6" ht="15" x14ac:dyDescent="0.25">
      <c r="A317" s="5"/>
      <c r="B317" s="5"/>
      <c r="C317" s="5"/>
      <c r="D317" s="5"/>
      <c r="E317" s="5"/>
      <c r="F317" s="5"/>
    </row>
    <row r="318" spans="1:6" ht="15" x14ac:dyDescent="0.25">
      <c r="A318" s="5"/>
      <c r="B318" s="5"/>
      <c r="C318" s="5"/>
      <c r="D318" s="5"/>
      <c r="E318" s="5"/>
      <c r="F318" s="5"/>
    </row>
    <row r="319" spans="1:6" ht="15" x14ac:dyDescent="0.25">
      <c r="A319" s="5"/>
      <c r="B319" s="5"/>
      <c r="C319" s="5"/>
      <c r="D319" s="5"/>
      <c r="E319" s="5"/>
      <c r="F319" s="5"/>
    </row>
    <row r="320" spans="1:6" ht="15" x14ac:dyDescent="0.25">
      <c r="A320" s="5"/>
      <c r="B320" s="5"/>
      <c r="C320" s="5"/>
      <c r="D320" s="5"/>
      <c r="E320" s="5"/>
      <c r="F320" s="5"/>
    </row>
    <row r="321" spans="1:6" ht="15" x14ac:dyDescent="0.25">
      <c r="A321" s="5"/>
      <c r="B321" s="5"/>
      <c r="C321" s="5"/>
      <c r="D321" s="5"/>
      <c r="E321" s="5"/>
      <c r="F321" s="5"/>
    </row>
    <row r="322" spans="1:6" ht="15" x14ac:dyDescent="0.25">
      <c r="A322" s="5"/>
      <c r="B322" s="5"/>
      <c r="C322" s="5"/>
      <c r="D322" s="5"/>
      <c r="E322" s="5"/>
      <c r="F322" s="5"/>
    </row>
    <row r="323" spans="1:6" ht="15" x14ac:dyDescent="0.25">
      <c r="A323" s="5"/>
      <c r="B323" s="5"/>
      <c r="C323" s="5"/>
      <c r="D323" s="5"/>
      <c r="E323" s="5"/>
      <c r="F323" s="5"/>
    </row>
    <row r="324" spans="1:6" ht="15" x14ac:dyDescent="0.25">
      <c r="A324" s="5"/>
      <c r="B324" s="5"/>
      <c r="C324" s="5"/>
      <c r="D324" s="5"/>
      <c r="E324" s="5"/>
      <c r="F324" s="5"/>
    </row>
    <row r="325" spans="1:6" ht="15" x14ac:dyDescent="0.25">
      <c r="A325" s="5"/>
      <c r="B325" s="5"/>
      <c r="C325" s="5"/>
      <c r="D325" s="5"/>
      <c r="E325" s="5"/>
      <c r="F325" s="5"/>
    </row>
    <row r="326" spans="1:6" ht="15" x14ac:dyDescent="0.25">
      <c r="A326" s="5"/>
      <c r="B326" s="5"/>
      <c r="C326" s="5"/>
      <c r="D326" s="5"/>
      <c r="E326" s="5"/>
      <c r="F326" s="5"/>
    </row>
    <row r="327" spans="1:6" ht="15" x14ac:dyDescent="0.25">
      <c r="A327" s="5"/>
      <c r="B327" s="5"/>
      <c r="C327" s="5"/>
      <c r="D327" s="5"/>
      <c r="E327" s="5"/>
      <c r="F327" s="5"/>
    </row>
    <row r="328" spans="1:6" ht="15" x14ac:dyDescent="0.25">
      <c r="A328" s="5"/>
      <c r="B328" s="5"/>
      <c r="C328" s="5"/>
      <c r="D328" s="5"/>
      <c r="E328" s="5"/>
      <c r="F328" s="5"/>
    </row>
    <row r="329" spans="1:6" ht="15" x14ac:dyDescent="0.25">
      <c r="A329" s="5"/>
      <c r="B329" s="5"/>
      <c r="C329" s="5"/>
      <c r="D329" s="5"/>
      <c r="E329" s="5"/>
      <c r="F329" s="5"/>
    </row>
    <row r="330" spans="1:6" ht="15" x14ac:dyDescent="0.25">
      <c r="A330" s="5"/>
      <c r="B330" s="5"/>
      <c r="C330" s="5"/>
      <c r="D330" s="5"/>
      <c r="E330" s="5"/>
      <c r="F330" s="5"/>
    </row>
    <row r="331" spans="1:6" ht="15" x14ac:dyDescent="0.25">
      <c r="A331" s="5"/>
      <c r="B331" s="5"/>
      <c r="C331" s="5"/>
      <c r="D331" s="5"/>
      <c r="E331" s="5"/>
      <c r="F331" s="5"/>
    </row>
    <row r="332" spans="1:6" ht="15" x14ac:dyDescent="0.25">
      <c r="A332" s="5"/>
      <c r="B332" s="5"/>
      <c r="C332" s="5"/>
      <c r="D332" s="5"/>
      <c r="E332" s="5"/>
      <c r="F332" s="5"/>
    </row>
    <row r="333" spans="1:6" ht="15" x14ac:dyDescent="0.25">
      <c r="A333" s="5"/>
      <c r="B333" s="5"/>
      <c r="C333" s="5"/>
      <c r="D333" s="5"/>
      <c r="E333" s="5"/>
      <c r="F333" s="5"/>
    </row>
    <row r="334" spans="1:6" ht="15" x14ac:dyDescent="0.25">
      <c r="A334" s="5"/>
      <c r="B334" s="5"/>
      <c r="C334" s="5"/>
      <c r="D334" s="5"/>
      <c r="E334" s="5"/>
      <c r="F334" s="5"/>
    </row>
    <row r="335" spans="1:6" ht="15" x14ac:dyDescent="0.25">
      <c r="A335" s="5"/>
      <c r="B335" s="5"/>
      <c r="C335" s="5"/>
      <c r="D335" s="5"/>
      <c r="E335" s="5"/>
      <c r="F335" s="5"/>
    </row>
    <row r="336" spans="1:6" ht="15" x14ac:dyDescent="0.25">
      <c r="A336" s="5"/>
      <c r="B336" s="5"/>
      <c r="C336" s="5"/>
      <c r="D336" s="5"/>
      <c r="E336" s="5"/>
      <c r="F336" s="5"/>
    </row>
    <row r="337" spans="1:6" ht="15" x14ac:dyDescent="0.25">
      <c r="A337" s="5"/>
      <c r="B337" s="5"/>
      <c r="C337" s="5"/>
      <c r="D337" s="5"/>
      <c r="E337" s="5"/>
      <c r="F337" s="5"/>
    </row>
    <row r="338" spans="1:6" ht="15" x14ac:dyDescent="0.25">
      <c r="A338" s="5"/>
      <c r="B338" s="5"/>
      <c r="C338" s="5"/>
      <c r="D338" s="5"/>
      <c r="E338" s="5"/>
      <c r="F338" s="5"/>
    </row>
    <row r="339" spans="1:6" ht="15" x14ac:dyDescent="0.25">
      <c r="A339" s="5"/>
      <c r="B339" s="5"/>
      <c r="C339" s="5"/>
      <c r="D339" s="5"/>
      <c r="E339" s="5"/>
      <c r="F339" s="5"/>
    </row>
    <row r="340" spans="1:6" ht="15" x14ac:dyDescent="0.25">
      <c r="A340" s="5"/>
      <c r="B340" s="5"/>
      <c r="C340" s="5"/>
      <c r="D340" s="5"/>
      <c r="E340" s="5"/>
      <c r="F340" s="5"/>
    </row>
    <row r="341" spans="1:6" ht="15" x14ac:dyDescent="0.25">
      <c r="A341" s="5"/>
      <c r="B341" s="5"/>
      <c r="C341" s="5"/>
      <c r="D341" s="5"/>
      <c r="E341" s="5"/>
      <c r="F341" s="5"/>
    </row>
    <row r="342" spans="1:6" ht="15" x14ac:dyDescent="0.25">
      <c r="A342" s="5"/>
      <c r="B342" s="5"/>
      <c r="C342" s="5"/>
      <c r="D342" s="5"/>
      <c r="E342" s="5"/>
      <c r="F342" s="5"/>
    </row>
    <row r="343" spans="1:6" ht="15" x14ac:dyDescent="0.25">
      <c r="A343" s="5"/>
      <c r="B343" s="5"/>
      <c r="C343" s="5"/>
      <c r="D343" s="5"/>
      <c r="E343" s="5"/>
      <c r="F343" s="5"/>
    </row>
    <row r="344" spans="1:6" ht="15" x14ac:dyDescent="0.25">
      <c r="A344" s="5"/>
      <c r="B344" s="5"/>
      <c r="C344" s="5"/>
      <c r="D344" s="5"/>
      <c r="E344" s="5"/>
      <c r="F344" s="5"/>
    </row>
    <row r="345" spans="1:6" ht="15" x14ac:dyDescent="0.25">
      <c r="A345" s="5"/>
      <c r="B345" s="5"/>
      <c r="C345" s="5"/>
      <c r="D345" s="5"/>
      <c r="E345" s="5"/>
      <c r="F345" s="5"/>
    </row>
    <row r="346" spans="1:6" ht="15" x14ac:dyDescent="0.25">
      <c r="A346" s="5"/>
      <c r="B346" s="5"/>
      <c r="C346" s="5"/>
      <c r="D346" s="5"/>
      <c r="E346" s="5"/>
      <c r="F346" s="5"/>
    </row>
    <row r="347" spans="1:6" ht="15" x14ac:dyDescent="0.25">
      <c r="A347" s="5"/>
      <c r="B347" s="5"/>
      <c r="C347" s="5"/>
      <c r="D347" s="5"/>
      <c r="E347" s="5"/>
      <c r="F347" s="5"/>
    </row>
    <row r="348" spans="1:6" ht="15" x14ac:dyDescent="0.25">
      <c r="A348" s="5"/>
      <c r="B348" s="5"/>
      <c r="C348" s="5"/>
      <c r="D348" s="5"/>
      <c r="E348" s="5"/>
      <c r="F348" s="5"/>
    </row>
    <row r="349" spans="1:6" ht="15" x14ac:dyDescent="0.25">
      <c r="A349" s="5"/>
      <c r="B349" s="5"/>
      <c r="C349" s="5"/>
      <c r="D349" s="5"/>
      <c r="E349" s="5"/>
      <c r="F349" s="5"/>
    </row>
    <row r="350" spans="1:6" ht="15" x14ac:dyDescent="0.25">
      <c r="A350" s="5"/>
      <c r="B350" s="5"/>
      <c r="C350" s="5"/>
      <c r="D350" s="5"/>
      <c r="E350" s="5"/>
      <c r="F350" s="5"/>
    </row>
    <row r="351" spans="1:6" ht="15" x14ac:dyDescent="0.25">
      <c r="A351" s="5"/>
      <c r="B351" s="5"/>
      <c r="C351" s="5"/>
      <c r="D351" s="5"/>
      <c r="E351" s="5"/>
      <c r="F351" s="5"/>
    </row>
    <row r="352" spans="1:6" ht="15" x14ac:dyDescent="0.25">
      <c r="A352" s="5"/>
      <c r="B352" s="5"/>
      <c r="C352" s="5"/>
      <c r="D352" s="5"/>
      <c r="E352" s="5"/>
      <c r="F352" s="5"/>
    </row>
    <row r="353" spans="1:6" ht="15" x14ac:dyDescent="0.25">
      <c r="A353" s="5"/>
      <c r="B353" s="5"/>
      <c r="C353" s="5"/>
      <c r="D353" s="5"/>
      <c r="E353" s="5"/>
      <c r="F353" s="5"/>
    </row>
    <row r="354" spans="1:6" ht="15" x14ac:dyDescent="0.25">
      <c r="A354" s="5"/>
      <c r="B354" s="5"/>
      <c r="C354" s="5"/>
      <c r="D354" s="5"/>
      <c r="E354" s="5"/>
      <c r="F354" s="5"/>
    </row>
    <row r="355" spans="1:6" ht="15" x14ac:dyDescent="0.25">
      <c r="A355" s="5"/>
      <c r="B355" s="5"/>
      <c r="C355" s="5"/>
      <c r="D355" s="5"/>
      <c r="E355" s="5"/>
      <c r="F355" s="5"/>
    </row>
    <row r="356" spans="1:6" ht="15" x14ac:dyDescent="0.25">
      <c r="A356" s="5"/>
      <c r="B356" s="5"/>
      <c r="C356" s="5"/>
      <c r="D356" s="5"/>
      <c r="E356" s="5"/>
      <c r="F356" s="5"/>
    </row>
    <row r="357" spans="1:6" ht="15" x14ac:dyDescent="0.25">
      <c r="A357" s="5"/>
      <c r="B357" s="5"/>
      <c r="C357" s="5"/>
      <c r="D357" s="5"/>
      <c r="E357" s="5"/>
      <c r="F357" s="5"/>
    </row>
    <row r="358" spans="1:6" ht="15" x14ac:dyDescent="0.25">
      <c r="A358" s="5"/>
      <c r="B358" s="5"/>
      <c r="C358" s="5"/>
      <c r="D358" s="5"/>
      <c r="E358" s="5"/>
      <c r="F358" s="5"/>
    </row>
    <row r="359" spans="1:6" ht="15" x14ac:dyDescent="0.25">
      <c r="A359" s="5"/>
      <c r="B359" s="5"/>
      <c r="C359" s="5"/>
      <c r="D359" s="5"/>
      <c r="E359" s="5"/>
      <c r="F359" s="5"/>
    </row>
    <row r="360" spans="1:6" ht="15" x14ac:dyDescent="0.25">
      <c r="A360" s="5"/>
      <c r="B360" s="5"/>
      <c r="C360" s="5"/>
      <c r="D360" s="5"/>
      <c r="E360" s="5"/>
      <c r="F360" s="5"/>
    </row>
    <row r="361" spans="1:6" ht="15" x14ac:dyDescent="0.25">
      <c r="A361" s="5"/>
      <c r="B361" s="5"/>
      <c r="C361" s="5"/>
      <c r="D361" s="5"/>
      <c r="E361" s="5"/>
      <c r="F361" s="5"/>
    </row>
    <row r="362" spans="1:6" ht="15" x14ac:dyDescent="0.25">
      <c r="A362" s="5"/>
      <c r="B362" s="5"/>
      <c r="C362" s="5"/>
      <c r="D362" s="5"/>
      <c r="E362" s="5"/>
      <c r="F362" s="5"/>
    </row>
    <row r="363" spans="1:6" ht="15" x14ac:dyDescent="0.25">
      <c r="A363" s="5"/>
      <c r="B363" s="5"/>
      <c r="C363" s="5"/>
      <c r="D363" s="5"/>
      <c r="E363" s="5"/>
      <c r="F363" s="5"/>
    </row>
    <row r="364" spans="1:6" ht="15" x14ac:dyDescent="0.25">
      <c r="A364" s="5"/>
      <c r="B364" s="5"/>
      <c r="C364" s="5"/>
      <c r="D364" s="5"/>
      <c r="E364" s="5"/>
      <c r="F364" s="5"/>
    </row>
    <row r="365" spans="1:6" ht="15" x14ac:dyDescent="0.25">
      <c r="A365" s="5"/>
      <c r="B365" s="5"/>
      <c r="C365" s="5"/>
      <c r="D365" s="5"/>
      <c r="E365" s="5"/>
      <c r="F365" s="5"/>
    </row>
    <row r="366" spans="1:6" ht="15" x14ac:dyDescent="0.25">
      <c r="A366" s="5"/>
      <c r="B366" s="5"/>
      <c r="C366" s="5"/>
      <c r="D366" s="5"/>
      <c r="E366" s="5"/>
      <c r="F366" s="5"/>
    </row>
    <row r="367" spans="1:6" ht="15" x14ac:dyDescent="0.25">
      <c r="A367" s="5"/>
      <c r="B367" s="5"/>
      <c r="C367" s="5"/>
      <c r="D367" s="5"/>
      <c r="E367" s="5"/>
      <c r="F367" s="5"/>
    </row>
    <row r="368" spans="1:6" ht="15" x14ac:dyDescent="0.25">
      <c r="A368" s="5"/>
      <c r="B368" s="5"/>
      <c r="C368" s="5"/>
      <c r="D368" s="5"/>
      <c r="E368" s="5"/>
      <c r="F368" s="5"/>
    </row>
    <row r="369" spans="1:6" ht="15" x14ac:dyDescent="0.25">
      <c r="A369" s="5"/>
      <c r="B369" s="5"/>
      <c r="C369" s="5"/>
      <c r="D369" s="5"/>
      <c r="E369" s="5"/>
      <c r="F369" s="5"/>
    </row>
    <row r="370" spans="1:6" ht="15" x14ac:dyDescent="0.25">
      <c r="A370" s="5"/>
      <c r="B370" s="5"/>
      <c r="C370" s="5"/>
      <c r="D370" s="5"/>
      <c r="E370" s="5"/>
      <c r="F370" s="5"/>
    </row>
    <row r="371" spans="1:6" ht="15" x14ac:dyDescent="0.25">
      <c r="A371" s="5"/>
      <c r="B371" s="5"/>
      <c r="C371" s="5"/>
      <c r="D371" s="5"/>
      <c r="E371" s="5"/>
      <c r="F371" s="5"/>
    </row>
    <row r="372" spans="1:6" ht="15" x14ac:dyDescent="0.25">
      <c r="A372" s="5"/>
      <c r="B372" s="5"/>
      <c r="C372" s="5"/>
      <c r="D372" s="5"/>
      <c r="E372" s="5"/>
      <c r="F372" s="5"/>
    </row>
    <row r="373" spans="1:6" ht="15" x14ac:dyDescent="0.25">
      <c r="A373" s="5"/>
      <c r="B373" s="5"/>
      <c r="C373" s="5"/>
      <c r="D373" s="5"/>
      <c r="E373" s="5"/>
      <c r="F373" s="5"/>
    </row>
    <row r="374" spans="1:6" ht="15" x14ac:dyDescent="0.25">
      <c r="A374" s="5"/>
      <c r="B374" s="5"/>
      <c r="C374" s="5"/>
      <c r="D374" s="5"/>
      <c r="E374" s="5"/>
      <c r="F374" s="5"/>
    </row>
    <row r="375" spans="1:6" ht="15" x14ac:dyDescent="0.25">
      <c r="A375" s="5"/>
      <c r="B375" s="5"/>
      <c r="C375" s="5"/>
      <c r="D375" s="5"/>
      <c r="E375" s="5"/>
      <c r="F375" s="5"/>
    </row>
    <row r="376" spans="1:6" ht="15" x14ac:dyDescent="0.25">
      <c r="A376" s="5"/>
      <c r="B376" s="5"/>
      <c r="C376" s="5"/>
      <c r="D376" s="5"/>
      <c r="E376" s="5"/>
      <c r="F376" s="5"/>
    </row>
    <row r="377" spans="1:6" ht="15" x14ac:dyDescent="0.25">
      <c r="A377" s="5"/>
      <c r="B377" s="5"/>
      <c r="C377" s="5"/>
      <c r="D377" s="5"/>
      <c r="E377" s="5"/>
      <c r="F377" s="5"/>
    </row>
    <row r="378" spans="1:6" ht="15" x14ac:dyDescent="0.25">
      <c r="A378" s="5"/>
      <c r="B378" s="5"/>
      <c r="C378" s="5"/>
      <c r="D378" s="5"/>
      <c r="E378" s="5"/>
      <c r="F378" s="5"/>
    </row>
    <row r="379" spans="1:6" ht="15" x14ac:dyDescent="0.25">
      <c r="A379" s="5"/>
      <c r="B379" s="5"/>
      <c r="C379" s="5"/>
      <c r="D379" s="5"/>
      <c r="E379" s="5"/>
      <c r="F379" s="5"/>
    </row>
    <row r="380" spans="1:6" ht="15" x14ac:dyDescent="0.25">
      <c r="A380" s="5"/>
      <c r="B380" s="5"/>
      <c r="C380" s="5"/>
      <c r="D380" s="5"/>
      <c r="E380" s="5"/>
      <c r="F380" s="5"/>
    </row>
    <row r="381" spans="1:6" ht="15" x14ac:dyDescent="0.25">
      <c r="A381" s="5"/>
      <c r="B381" s="5"/>
      <c r="C381" s="5"/>
      <c r="D381" s="5"/>
      <c r="E381" s="5"/>
      <c r="F381" s="5"/>
    </row>
    <row r="382" spans="1:6" ht="15" x14ac:dyDescent="0.25">
      <c r="A382" s="5"/>
      <c r="B382" s="5"/>
      <c r="C382" s="5"/>
      <c r="D382" s="5"/>
      <c r="E382" s="5"/>
      <c r="F382" s="5"/>
    </row>
    <row r="383" spans="1:6" ht="15" x14ac:dyDescent="0.25">
      <c r="A383" s="5"/>
      <c r="B383" s="5"/>
      <c r="C383" s="5"/>
      <c r="D383" s="5"/>
      <c r="E383" s="5"/>
      <c r="F383" s="5"/>
    </row>
    <row r="384" spans="1:6" ht="15" x14ac:dyDescent="0.25">
      <c r="A384" s="5"/>
      <c r="B384" s="5"/>
      <c r="C384" s="5"/>
      <c r="D384" s="5"/>
      <c r="E384" s="5"/>
      <c r="F384" s="5"/>
    </row>
    <row r="385" spans="1:6" ht="15" x14ac:dyDescent="0.25">
      <c r="A385" s="5"/>
      <c r="B385" s="5"/>
      <c r="C385" s="5"/>
      <c r="D385" s="5"/>
      <c r="E385" s="5"/>
      <c r="F385" s="5"/>
    </row>
    <row r="386" spans="1:6" ht="15" x14ac:dyDescent="0.25">
      <c r="A386" s="5"/>
      <c r="B386" s="5"/>
      <c r="C386" s="5"/>
      <c r="D386" s="5"/>
      <c r="E386" s="5"/>
      <c r="F386" s="5"/>
    </row>
    <row r="387" spans="1:6" ht="15" x14ac:dyDescent="0.25">
      <c r="A387" s="5"/>
      <c r="B387" s="5"/>
      <c r="C387" s="5"/>
      <c r="D387" s="5"/>
      <c r="E387" s="5"/>
      <c r="F387" s="5"/>
    </row>
    <row r="388" spans="1:6" ht="15" x14ac:dyDescent="0.25">
      <c r="A388" s="5"/>
      <c r="B388" s="5"/>
      <c r="C388" s="5"/>
      <c r="D388" s="5"/>
      <c r="E388" s="5"/>
      <c r="F388" s="5"/>
    </row>
    <row r="389" spans="1:6" ht="15" x14ac:dyDescent="0.25">
      <c r="A389" s="5"/>
      <c r="B389" s="5"/>
      <c r="C389" s="5"/>
      <c r="D389" s="5"/>
      <c r="E389" s="5"/>
      <c r="F389" s="5"/>
    </row>
    <row r="390" spans="1:6" ht="15" x14ac:dyDescent="0.25">
      <c r="A390" s="5"/>
      <c r="B390" s="5"/>
      <c r="C390" s="5"/>
      <c r="D390" s="5"/>
      <c r="E390" s="5"/>
      <c r="F390" s="5"/>
    </row>
    <row r="391" spans="1:6" ht="15" x14ac:dyDescent="0.25">
      <c r="A391" s="5"/>
      <c r="B391" s="5"/>
      <c r="C391" s="5"/>
      <c r="D391" s="5"/>
      <c r="E391" s="5"/>
      <c r="F391" s="5"/>
    </row>
    <row r="392" spans="1:6" ht="15" x14ac:dyDescent="0.25">
      <c r="A392" s="5"/>
      <c r="B392" s="5"/>
      <c r="C392" s="5"/>
      <c r="D392" s="5"/>
      <c r="E392" s="5"/>
      <c r="F392" s="5"/>
    </row>
    <row r="393" spans="1:6" ht="15" x14ac:dyDescent="0.25">
      <c r="A393" s="5"/>
      <c r="B393" s="5"/>
      <c r="C393" s="5"/>
      <c r="D393" s="5"/>
      <c r="E393" s="5"/>
      <c r="F393" s="5"/>
    </row>
    <row r="394" spans="1:6" ht="15" x14ac:dyDescent="0.25">
      <c r="A394" s="5"/>
      <c r="B394" s="5"/>
      <c r="C394" s="5"/>
      <c r="D394" s="5"/>
      <c r="E394" s="5"/>
      <c r="F394" s="5"/>
    </row>
    <row r="395" spans="1:6" ht="15" x14ac:dyDescent="0.25">
      <c r="A395" s="5"/>
      <c r="B395" s="5"/>
      <c r="C395" s="5"/>
      <c r="D395" s="5"/>
      <c r="E395" s="5"/>
      <c r="F395" s="5"/>
    </row>
    <row r="396" spans="1:6" ht="15" x14ac:dyDescent="0.25">
      <c r="A396" s="5"/>
      <c r="B396" s="5"/>
      <c r="C396" s="5"/>
      <c r="D396" s="5"/>
      <c r="E396" s="5"/>
      <c r="F396" s="5"/>
    </row>
    <row r="397" spans="1:6" ht="15" x14ac:dyDescent="0.25">
      <c r="A397" s="5"/>
      <c r="B397" s="5"/>
      <c r="C397" s="5"/>
      <c r="D397" s="5"/>
      <c r="E397" s="5"/>
      <c r="F397" s="5"/>
    </row>
    <row r="398" spans="1:6" ht="15" x14ac:dyDescent="0.25">
      <c r="A398" s="5"/>
      <c r="B398" s="5"/>
      <c r="C398" s="5"/>
      <c r="D398" s="5"/>
      <c r="E398" s="5"/>
      <c r="F398" s="5"/>
    </row>
    <row r="399" spans="1:6" ht="15" x14ac:dyDescent="0.25">
      <c r="A399" s="5"/>
      <c r="B399" s="5"/>
      <c r="C399" s="5"/>
      <c r="D399" s="5"/>
      <c r="E399" s="5"/>
      <c r="F399" s="5"/>
    </row>
    <row r="400" spans="1:6" ht="15" x14ac:dyDescent="0.25">
      <c r="A400" s="5"/>
      <c r="B400" s="5"/>
      <c r="C400" s="5"/>
      <c r="D400" s="5"/>
      <c r="E400" s="5"/>
      <c r="F400" s="5"/>
    </row>
    <row r="401" spans="1:6" ht="15" x14ac:dyDescent="0.25">
      <c r="A401" s="5"/>
      <c r="B401" s="5"/>
      <c r="C401" s="5"/>
      <c r="D401" s="5"/>
      <c r="E401" s="5"/>
      <c r="F401" s="5"/>
    </row>
    <row r="402" spans="1:6" ht="15" x14ac:dyDescent="0.25">
      <c r="A402" s="5"/>
      <c r="B402" s="5"/>
      <c r="C402" s="5"/>
      <c r="D402" s="5"/>
      <c r="E402" s="5"/>
      <c r="F402" s="5"/>
    </row>
    <row r="403" spans="1:6" ht="15" x14ac:dyDescent="0.25">
      <c r="A403" s="5"/>
      <c r="B403" s="5"/>
      <c r="C403" s="5"/>
      <c r="D403" s="5"/>
      <c r="E403" s="5"/>
      <c r="F403" s="5"/>
    </row>
    <row r="404" spans="1:6" ht="15" x14ac:dyDescent="0.25">
      <c r="A404" s="5"/>
      <c r="B404" s="5"/>
      <c r="C404" s="5"/>
      <c r="D404" s="5"/>
      <c r="E404" s="5"/>
      <c r="F404" s="5"/>
    </row>
    <row r="405" spans="1:6" ht="15" x14ac:dyDescent="0.25">
      <c r="A405" s="5"/>
      <c r="B405" s="5"/>
      <c r="C405" s="5"/>
      <c r="D405" s="5"/>
      <c r="E405" s="5"/>
      <c r="F405" s="5"/>
    </row>
    <row r="406" spans="1:6" ht="15" x14ac:dyDescent="0.25">
      <c r="A406" s="5"/>
      <c r="B406" s="5"/>
      <c r="C406" s="5"/>
      <c r="D406" s="5"/>
      <c r="E406" s="5"/>
      <c r="F406" s="5"/>
    </row>
    <row r="407" spans="1:6" ht="15" x14ac:dyDescent="0.25">
      <c r="A407" s="5"/>
      <c r="B407" s="5"/>
      <c r="C407" s="5"/>
      <c r="D407" s="5"/>
      <c r="E407" s="5"/>
      <c r="F407" s="5"/>
    </row>
    <row r="408" spans="1:6" ht="15" x14ac:dyDescent="0.25">
      <c r="A408" s="5"/>
      <c r="B408" s="5"/>
      <c r="C408" s="5"/>
      <c r="D408" s="5"/>
      <c r="E408" s="5"/>
      <c r="F408" s="5"/>
    </row>
    <row r="409" spans="1:6" ht="15" x14ac:dyDescent="0.25">
      <c r="A409" s="5"/>
      <c r="B409" s="5"/>
      <c r="C409" s="5"/>
      <c r="D409" s="5"/>
      <c r="E409" s="5"/>
      <c r="F409" s="5"/>
    </row>
    <row r="410" spans="1:6" ht="15" x14ac:dyDescent="0.25">
      <c r="A410" s="5"/>
      <c r="B410" s="5"/>
      <c r="C410" s="5"/>
      <c r="D410" s="5"/>
      <c r="E410" s="5"/>
      <c r="F410" s="5"/>
    </row>
    <row r="411" spans="1:6" ht="15" x14ac:dyDescent="0.25">
      <c r="A411" s="5"/>
      <c r="B411" s="5"/>
      <c r="C411" s="5"/>
      <c r="D411" s="5"/>
      <c r="E411" s="5"/>
      <c r="F411" s="5"/>
    </row>
    <row r="412" spans="1:6" ht="15" x14ac:dyDescent="0.25">
      <c r="A412" s="5"/>
      <c r="B412" s="5"/>
      <c r="C412" s="5"/>
      <c r="D412" s="5"/>
      <c r="E412" s="5"/>
      <c r="F412" s="5"/>
    </row>
    <row r="413" spans="1:6" ht="15" x14ac:dyDescent="0.25">
      <c r="A413" s="5"/>
      <c r="B413" s="5"/>
      <c r="C413" s="5"/>
      <c r="D413" s="5"/>
      <c r="E413" s="5"/>
      <c r="F413" s="5"/>
    </row>
    <row r="414" spans="1:6" ht="15" x14ac:dyDescent="0.25">
      <c r="A414" s="5"/>
      <c r="B414" s="5"/>
      <c r="C414" s="5"/>
      <c r="D414" s="5"/>
      <c r="E414" s="5"/>
      <c r="F414" s="5"/>
    </row>
    <row r="415" spans="1:6" ht="15" x14ac:dyDescent="0.25">
      <c r="A415" s="5"/>
      <c r="B415" s="5"/>
      <c r="C415" s="5"/>
      <c r="D415" s="5"/>
      <c r="E415" s="5"/>
      <c r="F415" s="5"/>
    </row>
    <row r="416" spans="1:6" ht="15" x14ac:dyDescent="0.25">
      <c r="A416" s="5"/>
      <c r="B416" s="5"/>
      <c r="C416" s="5"/>
      <c r="D416" s="5"/>
      <c r="E416" s="5"/>
      <c r="F416" s="5"/>
    </row>
    <row r="417" spans="1:6" ht="15" x14ac:dyDescent="0.25">
      <c r="A417" s="5"/>
      <c r="B417" s="5"/>
      <c r="C417" s="5"/>
      <c r="D417" s="5"/>
      <c r="E417" s="5"/>
      <c r="F417" s="5"/>
    </row>
    <row r="418" spans="1:6" ht="15" x14ac:dyDescent="0.25">
      <c r="A418" s="5"/>
      <c r="B418" s="5"/>
      <c r="C418" s="5"/>
      <c r="D418" s="5"/>
      <c r="E418" s="5"/>
      <c r="F418" s="5"/>
    </row>
    <row r="419" spans="1:6" ht="15" x14ac:dyDescent="0.25">
      <c r="A419" s="5"/>
      <c r="B419" s="5"/>
      <c r="C419" s="5"/>
      <c r="D419" s="5"/>
      <c r="E419" s="5"/>
      <c r="F419" s="5"/>
    </row>
    <row r="420" spans="1:6" ht="15" x14ac:dyDescent="0.25">
      <c r="A420" s="5"/>
      <c r="B420" s="5"/>
      <c r="C420" s="5"/>
      <c r="D420" s="5"/>
      <c r="E420" s="5"/>
      <c r="F420" s="5"/>
    </row>
    <row r="421" spans="1:6" ht="15" x14ac:dyDescent="0.25">
      <c r="A421" s="5"/>
      <c r="B421" s="5"/>
      <c r="C421" s="5"/>
      <c r="D421" s="5"/>
      <c r="E421" s="5"/>
      <c r="F421" s="5"/>
    </row>
    <row r="422" spans="1:6" ht="15" x14ac:dyDescent="0.25">
      <c r="A422" s="5"/>
      <c r="B422" s="5"/>
      <c r="C422" s="5"/>
      <c r="D422" s="5"/>
      <c r="E422" s="5"/>
      <c r="F422" s="5"/>
    </row>
    <row r="423" spans="1:6" ht="15" x14ac:dyDescent="0.25">
      <c r="A423" s="5"/>
      <c r="B423" s="5"/>
      <c r="C423" s="5"/>
      <c r="D423" s="5"/>
      <c r="E423" s="5"/>
      <c r="F423" s="5"/>
    </row>
    <row r="424" spans="1:6" ht="15" x14ac:dyDescent="0.25">
      <c r="A424" s="5"/>
      <c r="B424" s="5"/>
      <c r="C424" s="5"/>
      <c r="D424" s="5"/>
      <c r="E424" s="5"/>
      <c r="F424" s="5"/>
    </row>
    <row r="425" spans="1:6" ht="15" x14ac:dyDescent="0.25">
      <c r="A425" s="5"/>
      <c r="B425" s="5"/>
      <c r="C425" s="5"/>
      <c r="D425" s="5"/>
      <c r="E425" s="5"/>
      <c r="F425" s="5"/>
    </row>
    <row r="426" spans="1:6" ht="15" x14ac:dyDescent="0.25">
      <c r="A426" s="5"/>
      <c r="B426" s="5"/>
      <c r="C426" s="5"/>
      <c r="D426" s="5"/>
      <c r="E426" s="5"/>
      <c r="F426" s="5"/>
    </row>
    <row r="427" spans="1:6" ht="15" x14ac:dyDescent="0.25">
      <c r="A427" s="5"/>
      <c r="B427" s="5"/>
      <c r="C427" s="5"/>
      <c r="D427" s="5"/>
      <c r="E427" s="5"/>
      <c r="F427" s="5"/>
    </row>
    <row r="428" spans="1:6" ht="15" x14ac:dyDescent="0.25">
      <c r="A428" s="5"/>
      <c r="B428" s="5"/>
      <c r="C428" s="5"/>
      <c r="D428" s="5"/>
      <c r="E428" s="5"/>
      <c r="F428" s="5"/>
    </row>
    <row r="429" spans="1:6" ht="15" x14ac:dyDescent="0.25">
      <c r="A429" s="5"/>
      <c r="B429" s="5"/>
      <c r="C429" s="5"/>
      <c r="D429" s="5"/>
      <c r="E429" s="5"/>
      <c r="F429" s="5"/>
    </row>
    <row r="430" spans="1:6" ht="15" x14ac:dyDescent="0.25">
      <c r="A430" s="5"/>
      <c r="B430" s="5"/>
      <c r="C430" s="5"/>
      <c r="D430" s="5"/>
      <c r="E430" s="5"/>
      <c r="F430" s="5"/>
    </row>
    <row r="431" spans="1:6" ht="15" x14ac:dyDescent="0.25">
      <c r="A431" s="5"/>
      <c r="B431" s="5"/>
      <c r="C431" s="5"/>
      <c r="D431" s="5"/>
      <c r="E431" s="5"/>
      <c r="F431" s="5"/>
    </row>
    <row r="432" spans="1:6" ht="15" x14ac:dyDescent="0.25">
      <c r="A432" s="5"/>
      <c r="B432" s="5"/>
      <c r="C432" s="5"/>
      <c r="D432" s="5"/>
      <c r="E432" s="5"/>
      <c r="F432" s="5"/>
    </row>
    <row r="433" spans="1:6" ht="15" x14ac:dyDescent="0.25">
      <c r="A433" s="5"/>
      <c r="B433" s="5"/>
      <c r="C433" s="5"/>
      <c r="D433" s="5"/>
      <c r="E433" s="5"/>
      <c r="F433" s="5"/>
    </row>
    <row r="434" spans="1:6" ht="15" x14ac:dyDescent="0.25">
      <c r="A434" s="5"/>
      <c r="B434" s="5"/>
      <c r="C434" s="5"/>
      <c r="D434" s="5"/>
      <c r="E434" s="5"/>
      <c r="F434" s="5"/>
    </row>
    <row r="435" spans="1:6" ht="15" x14ac:dyDescent="0.25">
      <c r="A435" s="5"/>
      <c r="B435" s="5"/>
      <c r="C435" s="5"/>
      <c r="D435" s="5"/>
      <c r="E435" s="5"/>
      <c r="F435" s="5"/>
    </row>
    <row r="436" spans="1:6" ht="15" x14ac:dyDescent="0.25">
      <c r="A436" s="5"/>
      <c r="B436" s="5"/>
      <c r="C436" s="5"/>
      <c r="D436" s="5"/>
      <c r="E436" s="5"/>
      <c r="F436" s="5"/>
    </row>
    <row r="437" spans="1:6" ht="15" x14ac:dyDescent="0.25">
      <c r="A437" s="5"/>
      <c r="B437" s="5"/>
      <c r="C437" s="5"/>
      <c r="D437" s="5"/>
      <c r="E437" s="5"/>
      <c r="F437" s="5"/>
    </row>
    <row r="438" spans="1:6" ht="15" x14ac:dyDescent="0.25">
      <c r="A438" s="5"/>
      <c r="B438" s="5"/>
      <c r="C438" s="5"/>
      <c r="D438" s="5"/>
      <c r="E438" s="5"/>
      <c r="F438" s="5"/>
    </row>
    <row r="439" spans="1:6" ht="15" x14ac:dyDescent="0.25">
      <c r="A439" s="5"/>
      <c r="B439" s="5"/>
      <c r="C439" s="5"/>
      <c r="D439" s="5"/>
      <c r="E439" s="5"/>
      <c r="F439" s="5"/>
    </row>
    <row r="440" spans="1:6" ht="15" x14ac:dyDescent="0.25">
      <c r="A440" s="5"/>
      <c r="B440" s="5"/>
      <c r="C440" s="5"/>
      <c r="D440" s="5"/>
      <c r="E440" s="5"/>
      <c r="F440" s="5"/>
    </row>
    <row r="441" spans="1:6" ht="15" x14ac:dyDescent="0.25">
      <c r="A441" s="5"/>
      <c r="B441" s="5"/>
      <c r="C441" s="5"/>
      <c r="D441" s="5"/>
      <c r="E441" s="5"/>
      <c r="F441" s="5"/>
    </row>
    <row r="442" spans="1:6" ht="15" x14ac:dyDescent="0.25">
      <c r="A442" s="5"/>
      <c r="B442" s="5"/>
      <c r="C442" s="5"/>
      <c r="D442" s="5"/>
      <c r="E442" s="5"/>
      <c r="F442" s="5"/>
    </row>
    <row r="443" spans="1:6" ht="15" x14ac:dyDescent="0.25">
      <c r="A443" s="5"/>
      <c r="B443" s="5"/>
      <c r="C443" s="5"/>
      <c r="D443" s="5"/>
      <c r="E443" s="5"/>
      <c r="F443" s="5"/>
    </row>
    <row r="444" spans="1:6" ht="15" x14ac:dyDescent="0.25">
      <c r="A444" s="5"/>
      <c r="B444" s="5"/>
      <c r="C444" s="5"/>
      <c r="D444" s="5"/>
      <c r="E444" s="5"/>
      <c r="F444" s="5"/>
    </row>
    <row r="445" spans="1:6" ht="15" x14ac:dyDescent="0.25">
      <c r="A445" s="5"/>
      <c r="B445" s="5"/>
      <c r="C445" s="5"/>
      <c r="D445" s="5"/>
      <c r="E445" s="5"/>
      <c r="F445" s="5"/>
    </row>
    <row r="446" spans="1:6" ht="15" x14ac:dyDescent="0.25">
      <c r="A446" s="5"/>
      <c r="B446" s="5"/>
      <c r="C446" s="5"/>
      <c r="D446" s="5"/>
      <c r="E446" s="5"/>
      <c r="F446" s="5"/>
    </row>
    <row r="447" spans="1:6" ht="15" x14ac:dyDescent="0.25">
      <c r="A447" s="5"/>
      <c r="B447" s="5"/>
      <c r="C447" s="5"/>
      <c r="D447" s="5"/>
      <c r="E447" s="5"/>
      <c r="F447" s="5"/>
    </row>
    <row r="448" spans="1:6" ht="15" x14ac:dyDescent="0.25">
      <c r="A448" s="5"/>
      <c r="B448" s="5"/>
      <c r="C448" s="5"/>
      <c r="D448" s="5"/>
      <c r="E448" s="5"/>
      <c r="F448" s="5"/>
    </row>
    <row r="449" spans="1:6" ht="15" x14ac:dyDescent="0.25">
      <c r="A449" s="5"/>
      <c r="B449" s="5"/>
      <c r="C449" s="5"/>
      <c r="D449" s="5"/>
      <c r="E449" s="5"/>
      <c r="F449" s="5"/>
    </row>
    <row r="450" spans="1:6" ht="15" x14ac:dyDescent="0.25">
      <c r="A450" s="5"/>
      <c r="B450" s="5"/>
      <c r="C450" s="5"/>
      <c r="D450" s="5"/>
      <c r="E450" s="5"/>
      <c r="F450" s="5"/>
    </row>
    <row r="451" spans="1:6" ht="15" x14ac:dyDescent="0.25">
      <c r="A451" s="5"/>
      <c r="B451" s="5"/>
      <c r="C451" s="5"/>
      <c r="D451" s="5"/>
      <c r="E451" s="5"/>
      <c r="F451" s="5"/>
    </row>
    <row r="452" spans="1:6" ht="15" x14ac:dyDescent="0.25">
      <c r="A452" s="5"/>
      <c r="B452" s="5"/>
      <c r="C452" s="5"/>
      <c r="D452" s="5"/>
      <c r="E452" s="5"/>
      <c r="F452" s="5"/>
    </row>
    <row r="453" spans="1:6" ht="15" x14ac:dyDescent="0.25">
      <c r="A453" s="5"/>
      <c r="B453" s="5"/>
      <c r="C453" s="5"/>
      <c r="D453" s="5"/>
      <c r="E453" s="5"/>
      <c r="F453" s="5"/>
    </row>
    <row r="454" spans="1:6" ht="15" x14ac:dyDescent="0.25">
      <c r="A454" s="5"/>
      <c r="B454" s="5"/>
      <c r="C454" s="5"/>
      <c r="D454" s="5"/>
      <c r="E454" s="5"/>
      <c r="F454" s="5"/>
    </row>
    <row r="455" spans="1:6" ht="15" x14ac:dyDescent="0.25">
      <c r="A455" s="5"/>
      <c r="B455" s="5"/>
      <c r="C455" s="5"/>
      <c r="D455" s="5"/>
      <c r="E455" s="5"/>
      <c r="F455" s="5"/>
    </row>
    <row r="456" spans="1:6" ht="15" x14ac:dyDescent="0.25">
      <c r="A456" s="5"/>
      <c r="B456" s="5"/>
      <c r="C456" s="5"/>
      <c r="D456" s="5"/>
      <c r="E456" s="5"/>
      <c r="F456" s="5"/>
    </row>
    <row r="457" spans="1:6" ht="15" x14ac:dyDescent="0.25">
      <c r="A457" s="5"/>
      <c r="B457" s="5"/>
      <c r="C457" s="5"/>
      <c r="D457" s="5"/>
      <c r="E457" s="5"/>
      <c r="F457" s="5"/>
    </row>
    <row r="458" spans="1:6" ht="15" x14ac:dyDescent="0.25">
      <c r="A458" s="5"/>
      <c r="B458" s="5"/>
      <c r="C458" s="5"/>
      <c r="D458" s="5"/>
      <c r="E458" s="5"/>
      <c r="F458" s="5"/>
    </row>
    <row r="459" spans="1:6" ht="15" x14ac:dyDescent="0.25">
      <c r="A459" s="5"/>
      <c r="B459" s="5"/>
      <c r="C459" s="5"/>
      <c r="D459" s="5"/>
      <c r="E459" s="5"/>
      <c r="F459" s="5"/>
    </row>
    <row r="460" spans="1:6" ht="15" x14ac:dyDescent="0.25">
      <c r="A460" s="5"/>
      <c r="B460" s="5"/>
      <c r="C460" s="5"/>
      <c r="D460" s="5"/>
      <c r="E460" s="5"/>
      <c r="F460" s="5"/>
    </row>
    <row r="461" spans="1:6" ht="15" x14ac:dyDescent="0.25">
      <c r="A461" s="5"/>
      <c r="B461" s="5"/>
      <c r="C461" s="5"/>
      <c r="D461" s="5"/>
      <c r="E461" s="5"/>
      <c r="F461" s="5"/>
    </row>
    <row r="462" spans="1:6" ht="15" x14ac:dyDescent="0.25">
      <c r="A462" s="5"/>
      <c r="B462" s="5"/>
      <c r="C462" s="5"/>
      <c r="D462" s="5"/>
      <c r="E462" s="5"/>
      <c r="F462" s="5"/>
    </row>
    <row r="463" spans="1:6" ht="15" x14ac:dyDescent="0.25">
      <c r="A463" s="5"/>
      <c r="B463" s="5"/>
      <c r="C463" s="5"/>
      <c r="D463" s="5"/>
      <c r="E463" s="5"/>
      <c r="F463" s="5"/>
    </row>
    <row r="464" spans="1:6" ht="15" x14ac:dyDescent="0.25">
      <c r="A464" s="5"/>
      <c r="B464" s="5"/>
      <c r="C464" s="5"/>
      <c r="D464" s="5"/>
      <c r="E464" s="5"/>
      <c r="F464" s="5"/>
    </row>
    <row r="465" spans="1:6" ht="15" x14ac:dyDescent="0.25">
      <c r="A465" s="5"/>
      <c r="B465" s="5"/>
      <c r="C465" s="5"/>
      <c r="D465" s="5"/>
      <c r="E465" s="5"/>
      <c r="F465" s="5"/>
    </row>
    <row r="466" spans="1:6" ht="15" x14ac:dyDescent="0.25">
      <c r="A466" s="5"/>
      <c r="B466" s="5"/>
      <c r="C466" s="5"/>
      <c r="D466" s="5"/>
      <c r="E466" s="5"/>
      <c r="F466" s="5"/>
    </row>
    <row r="467" spans="1:6" ht="15" x14ac:dyDescent="0.25">
      <c r="A467" s="5"/>
      <c r="B467" s="5"/>
      <c r="C467" s="5"/>
      <c r="D467" s="5"/>
      <c r="E467" s="5"/>
      <c r="F467" s="5"/>
    </row>
    <row r="468" spans="1:6" ht="15" x14ac:dyDescent="0.25">
      <c r="A468" s="5"/>
      <c r="B468" s="5"/>
      <c r="C468" s="5"/>
      <c r="D468" s="5"/>
      <c r="E468" s="5"/>
      <c r="F468" s="5"/>
    </row>
    <row r="469" spans="1:6" ht="15" x14ac:dyDescent="0.25">
      <c r="A469" s="5"/>
      <c r="B469" s="5"/>
      <c r="C469" s="5"/>
      <c r="D469" s="5"/>
      <c r="E469" s="5"/>
      <c r="F469" s="5"/>
    </row>
    <row r="470" spans="1:6" ht="15" x14ac:dyDescent="0.25">
      <c r="A470" s="5"/>
      <c r="B470" s="5"/>
      <c r="C470" s="5"/>
      <c r="D470" s="5"/>
      <c r="E470" s="5"/>
      <c r="F470" s="5"/>
    </row>
    <row r="471" spans="1:6" ht="15" x14ac:dyDescent="0.25">
      <c r="A471" s="5"/>
      <c r="B471" s="5"/>
      <c r="C471" s="5"/>
      <c r="D471" s="5"/>
      <c r="E471" s="5"/>
      <c r="F471" s="5"/>
    </row>
    <row r="472" spans="1:6" ht="15" x14ac:dyDescent="0.25">
      <c r="A472" s="5"/>
      <c r="B472" s="5"/>
      <c r="C472" s="5"/>
      <c r="D472" s="5"/>
      <c r="E472" s="5"/>
      <c r="F472" s="5"/>
    </row>
    <row r="473" spans="1:6" ht="15" x14ac:dyDescent="0.25">
      <c r="A473" s="5"/>
      <c r="B473" s="5"/>
      <c r="C473" s="5"/>
      <c r="D473" s="5"/>
      <c r="E473" s="5"/>
      <c r="F473" s="5"/>
    </row>
    <row r="474" spans="1:6" ht="15" x14ac:dyDescent="0.25">
      <c r="A474" s="5"/>
      <c r="B474" s="5"/>
      <c r="C474" s="5"/>
      <c r="D474" s="5"/>
      <c r="E474" s="5"/>
      <c r="F474" s="5"/>
    </row>
    <row r="475" spans="1:6" ht="15" x14ac:dyDescent="0.25">
      <c r="A475" s="5"/>
      <c r="B475" s="5"/>
      <c r="C475" s="5"/>
      <c r="D475" s="5"/>
      <c r="E475" s="5"/>
      <c r="F475" s="5"/>
    </row>
    <row r="476" spans="1:6" ht="15" x14ac:dyDescent="0.25">
      <c r="A476" s="5"/>
      <c r="B476" s="5"/>
      <c r="C476" s="5"/>
      <c r="D476" s="5"/>
      <c r="E476" s="5"/>
      <c r="F476" s="5"/>
    </row>
    <row r="477" spans="1:6" ht="15" x14ac:dyDescent="0.25">
      <c r="A477" s="5"/>
      <c r="B477" s="5"/>
      <c r="C477" s="5"/>
      <c r="D477" s="5"/>
      <c r="E477" s="5"/>
      <c r="F477" s="5"/>
    </row>
    <row r="478" spans="1:6" ht="15" x14ac:dyDescent="0.25">
      <c r="A478" s="5"/>
      <c r="B478" s="5"/>
      <c r="C478" s="5"/>
      <c r="D478" s="5"/>
      <c r="E478" s="5"/>
      <c r="F478" s="5"/>
    </row>
    <row r="479" spans="1:6" ht="15" x14ac:dyDescent="0.25">
      <c r="A479" s="5"/>
      <c r="B479" s="5"/>
      <c r="C479" s="5"/>
      <c r="D479" s="5"/>
      <c r="E479" s="5"/>
      <c r="F479" s="5"/>
    </row>
    <row r="480" spans="1:6" ht="15" x14ac:dyDescent="0.25">
      <c r="A480" s="5"/>
      <c r="B480" s="5"/>
      <c r="C480" s="5"/>
      <c r="D480" s="5"/>
      <c r="E480" s="5"/>
      <c r="F480" s="5"/>
    </row>
    <row r="481" spans="1:6" ht="15" x14ac:dyDescent="0.25">
      <c r="A481" s="5"/>
      <c r="B481" s="5"/>
      <c r="C481" s="5"/>
      <c r="D481" s="5"/>
      <c r="E481" s="5"/>
      <c r="F481" s="5"/>
    </row>
    <row r="482" spans="1:6" ht="15" x14ac:dyDescent="0.25">
      <c r="A482" s="5"/>
      <c r="B482" s="5"/>
      <c r="C482" s="5"/>
      <c r="D482" s="5"/>
      <c r="E482" s="5"/>
      <c r="F482" s="5"/>
    </row>
    <row r="483" spans="1:6" ht="15" x14ac:dyDescent="0.25">
      <c r="A483" s="5"/>
      <c r="B483" s="5"/>
      <c r="C483" s="5"/>
      <c r="D483" s="5"/>
      <c r="E483" s="5"/>
      <c r="F483" s="5"/>
    </row>
    <row r="484" spans="1:6" ht="15" x14ac:dyDescent="0.25">
      <c r="A484" s="5"/>
      <c r="B484" s="5"/>
      <c r="C484" s="5"/>
      <c r="D484" s="5"/>
      <c r="E484" s="5"/>
      <c r="F484" s="5"/>
    </row>
    <row r="485" spans="1:6" ht="15" x14ac:dyDescent="0.25">
      <c r="A485" s="5"/>
      <c r="B485" s="5"/>
      <c r="C485" s="5"/>
      <c r="D485" s="5"/>
      <c r="E485" s="5"/>
      <c r="F485" s="5"/>
    </row>
    <row r="486" spans="1:6" ht="15" x14ac:dyDescent="0.25">
      <c r="A486" s="5"/>
      <c r="B486" s="5"/>
      <c r="C486" s="5"/>
      <c r="D486" s="5"/>
      <c r="E486" s="5"/>
      <c r="F486" s="5"/>
    </row>
    <row r="487" spans="1:6" ht="15" x14ac:dyDescent="0.25">
      <c r="A487" s="5"/>
      <c r="B487" s="5"/>
      <c r="C487" s="5"/>
      <c r="D487" s="5"/>
      <c r="E487" s="5"/>
      <c r="F487" s="5"/>
    </row>
    <row r="488" spans="1:6" ht="15" x14ac:dyDescent="0.25">
      <c r="A488" s="5"/>
      <c r="B488" s="5"/>
      <c r="C488" s="5"/>
      <c r="D488" s="5"/>
      <c r="E488" s="5"/>
      <c r="F488" s="5"/>
    </row>
    <row r="489" spans="1:6" ht="15" x14ac:dyDescent="0.25">
      <c r="A489" s="5"/>
      <c r="B489" s="5"/>
      <c r="C489" s="5"/>
      <c r="D489" s="5"/>
      <c r="E489" s="5"/>
      <c r="F489" s="5"/>
    </row>
    <row r="490" spans="1:6" ht="15" x14ac:dyDescent="0.25">
      <c r="A490" s="5"/>
      <c r="B490" s="5"/>
      <c r="C490" s="5"/>
      <c r="D490" s="5"/>
      <c r="E490" s="5"/>
      <c r="F490" s="5"/>
    </row>
    <row r="491" spans="1:6" ht="15" x14ac:dyDescent="0.25">
      <c r="A491" s="5"/>
      <c r="B491" s="5"/>
      <c r="C491" s="5"/>
      <c r="D491" s="5"/>
      <c r="E491" s="5"/>
      <c r="F491" s="5"/>
    </row>
    <row r="492" spans="1:6" ht="15" x14ac:dyDescent="0.25">
      <c r="A492" s="5"/>
      <c r="B492" s="5"/>
      <c r="C492" s="5"/>
      <c r="D492" s="5"/>
      <c r="E492" s="5"/>
      <c r="F492" s="5"/>
    </row>
    <row r="493" spans="1:6" ht="15" x14ac:dyDescent="0.25">
      <c r="A493" s="5"/>
      <c r="B493" s="5"/>
      <c r="C493" s="5"/>
      <c r="D493" s="5"/>
      <c r="E493" s="5"/>
      <c r="F493" s="5"/>
    </row>
    <row r="494" spans="1:6" ht="15" x14ac:dyDescent="0.25">
      <c r="A494" s="5"/>
      <c r="B494" s="5"/>
      <c r="C494" s="5"/>
      <c r="D494" s="5"/>
      <c r="E494" s="5"/>
      <c r="F494" s="5"/>
    </row>
    <row r="495" spans="1:6" ht="15" x14ac:dyDescent="0.25">
      <c r="A495" s="5"/>
      <c r="B495" s="5"/>
      <c r="C495" s="5"/>
      <c r="D495" s="5"/>
      <c r="E495" s="5"/>
      <c r="F495" s="5"/>
    </row>
    <row r="496" spans="1:6" ht="15" x14ac:dyDescent="0.25">
      <c r="A496" s="5"/>
      <c r="B496" s="5"/>
      <c r="C496" s="5"/>
      <c r="D496" s="5"/>
      <c r="E496" s="5"/>
      <c r="F496" s="5"/>
    </row>
    <row r="497" spans="1:6" ht="15" x14ac:dyDescent="0.25">
      <c r="A497" s="5"/>
      <c r="B497" s="5"/>
      <c r="C497" s="5"/>
      <c r="D497" s="5"/>
      <c r="E497" s="5"/>
      <c r="F497" s="5"/>
    </row>
    <row r="498" spans="1:6" ht="15" x14ac:dyDescent="0.25">
      <c r="A498" s="5"/>
      <c r="B498" s="5"/>
      <c r="C498" s="5"/>
      <c r="D498" s="5"/>
      <c r="E498" s="5"/>
      <c r="F498" s="5"/>
    </row>
    <row r="499" spans="1:6" ht="15" x14ac:dyDescent="0.25">
      <c r="A499" s="5"/>
      <c r="B499" s="5"/>
      <c r="C499" s="5"/>
      <c r="D499" s="5"/>
      <c r="E499" s="5"/>
      <c r="F499" s="5"/>
    </row>
    <row r="500" spans="1:6" ht="15" x14ac:dyDescent="0.25">
      <c r="A500" s="5"/>
      <c r="B500" s="5"/>
      <c r="C500" s="5"/>
      <c r="D500" s="5"/>
      <c r="E500" s="5"/>
      <c r="F500" s="5"/>
    </row>
    <row r="501" spans="1:6" ht="15" x14ac:dyDescent="0.25">
      <c r="A501" s="5"/>
      <c r="B501" s="5"/>
      <c r="C501" s="5"/>
      <c r="D501" s="5"/>
      <c r="E501" s="5"/>
      <c r="F501" s="5"/>
    </row>
    <row r="502" spans="1:6" ht="15" x14ac:dyDescent="0.25">
      <c r="A502" s="5"/>
      <c r="B502" s="5"/>
      <c r="C502" s="5"/>
      <c r="D502" s="5"/>
      <c r="E502" s="5"/>
      <c r="F502" s="5"/>
    </row>
    <row r="503" spans="1:6" ht="15" x14ac:dyDescent="0.25">
      <c r="A503" s="5"/>
      <c r="B503" s="5"/>
      <c r="C503" s="5"/>
      <c r="D503" s="5"/>
      <c r="E503" s="5"/>
      <c r="F503" s="5"/>
    </row>
    <row r="504" spans="1:6" ht="15" x14ac:dyDescent="0.25">
      <c r="A504" s="5"/>
      <c r="B504" s="5"/>
      <c r="C504" s="5"/>
      <c r="D504" s="5"/>
      <c r="E504" s="5"/>
      <c r="F504" s="5"/>
    </row>
    <row r="505" spans="1:6" ht="15" x14ac:dyDescent="0.25">
      <c r="A505" s="5"/>
      <c r="B505" s="5"/>
      <c r="C505" s="5"/>
      <c r="D505" s="5"/>
      <c r="E505" s="5"/>
      <c r="F505" s="5"/>
    </row>
    <row r="506" spans="1:6" ht="15" x14ac:dyDescent="0.25">
      <c r="A506" s="5"/>
      <c r="B506" s="5"/>
      <c r="C506" s="5"/>
      <c r="D506" s="5"/>
      <c r="E506" s="5"/>
      <c r="F506" s="5"/>
    </row>
    <row r="507" spans="1:6" ht="15" x14ac:dyDescent="0.25">
      <c r="A507" s="5"/>
      <c r="B507" s="5"/>
      <c r="C507" s="5"/>
      <c r="D507" s="5"/>
      <c r="E507" s="5"/>
      <c r="F507" s="5"/>
    </row>
    <row r="508" spans="1:6" ht="15" x14ac:dyDescent="0.25">
      <c r="A508" s="5"/>
      <c r="B508" s="5"/>
      <c r="C508" s="5"/>
      <c r="D508" s="5"/>
      <c r="E508" s="5"/>
      <c r="F508" s="5"/>
    </row>
    <row r="509" spans="1:6" ht="15" x14ac:dyDescent="0.25">
      <c r="A509" s="5"/>
      <c r="B509" s="5"/>
      <c r="C509" s="5"/>
      <c r="D509" s="5"/>
      <c r="E509" s="5"/>
      <c r="F509" s="5"/>
    </row>
    <row r="510" spans="1:6" ht="15" x14ac:dyDescent="0.25">
      <c r="A510" s="5"/>
      <c r="B510" s="5"/>
      <c r="C510" s="5"/>
      <c r="D510" s="5"/>
      <c r="E510" s="5"/>
      <c r="F510" s="5"/>
    </row>
    <row r="511" spans="1:6" ht="15" x14ac:dyDescent="0.25">
      <c r="A511" s="5"/>
      <c r="B511" s="5"/>
      <c r="C511" s="5"/>
      <c r="D511" s="5"/>
      <c r="E511" s="5"/>
      <c r="F511" s="5"/>
    </row>
    <row r="512" spans="1:6" ht="15" x14ac:dyDescent="0.25">
      <c r="A512" s="5"/>
      <c r="B512" s="5"/>
      <c r="C512" s="5"/>
      <c r="D512" s="5"/>
      <c r="E512" s="5"/>
      <c r="F512" s="5"/>
    </row>
    <row r="513" spans="1:6" ht="15" x14ac:dyDescent="0.25">
      <c r="A513" s="5"/>
      <c r="B513" s="5"/>
      <c r="C513" s="5"/>
      <c r="D513" s="5"/>
      <c r="E513" s="5"/>
      <c r="F513" s="5"/>
    </row>
    <row r="514" spans="1:6" ht="15" x14ac:dyDescent="0.25">
      <c r="A514" s="5"/>
      <c r="B514" s="5"/>
      <c r="C514" s="5"/>
      <c r="D514" s="5"/>
      <c r="E514" s="5"/>
      <c r="F514" s="5"/>
    </row>
    <row r="515" spans="1:6" ht="15" x14ac:dyDescent="0.25">
      <c r="A515" s="5"/>
      <c r="B515" s="5"/>
      <c r="C515" s="5"/>
      <c r="D515" s="5"/>
      <c r="E515" s="5"/>
      <c r="F515" s="5"/>
    </row>
    <row r="516" spans="1:6" ht="15" x14ac:dyDescent="0.25">
      <c r="A516" s="5"/>
      <c r="B516" s="5"/>
      <c r="C516" s="5"/>
      <c r="D516" s="5"/>
      <c r="E516" s="5"/>
      <c r="F516" s="5"/>
    </row>
    <row r="517" spans="1:6" ht="15" x14ac:dyDescent="0.25">
      <c r="A517" s="5"/>
      <c r="B517" s="5"/>
      <c r="C517" s="5"/>
      <c r="D517" s="5"/>
      <c r="E517" s="5"/>
      <c r="F517" s="5"/>
    </row>
    <row r="518" spans="1:6" ht="15" x14ac:dyDescent="0.25">
      <c r="A518" s="5"/>
      <c r="B518" s="5"/>
      <c r="C518" s="5"/>
      <c r="D518" s="5"/>
      <c r="E518" s="5"/>
      <c r="F518" s="5"/>
    </row>
    <row r="519" spans="1:6" ht="15" x14ac:dyDescent="0.25">
      <c r="A519" s="5"/>
      <c r="B519" s="5"/>
      <c r="C519" s="5"/>
      <c r="D519" s="5"/>
      <c r="E519" s="5"/>
      <c r="F519" s="5"/>
    </row>
    <row r="520" spans="1:6" ht="15" x14ac:dyDescent="0.25">
      <c r="A520" s="5"/>
      <c r="B520" s="5"/>
      <c r="C520" s="5"/>
      <c r="D520" s="5"/>
      <c r="E520" s="5"/>
      <c r="F520" s="5"/>
    </row>
    <row r="521" spans="1:6" ht="15" x14ac:dyDescent="0.25">
      <c r="A521" s="5"/>
      <c r="B521" s="5"/>
      <c r="C521" s="5"/>
      <c r="D521" s="5"/>
      <c r="E521" s="5"/>
      <c r="F521" s="5"/>
    </row>
    <row r="522" spans="1:6" ht="15" x14ac:dyDescent="0.25">
      <c r="A522" s="5"/>
      <c r="B522" s="5"/>
      <c r="C522" s="5"/>
      <c r="D522" s="5"/>
      <c r="E522" s="5"/>
      <c r="F522" s="5"/>
    </row>
    <row r="523" spans="1:6" ht="15" x14ac:dyDescent="0.25">
      <c r="A523" s="5"/>
      <c r="B523" s="5"/>
      <c r="C523" s="5"/>
      <c r="D523" s="5"/>
      <c r="E523" s="5"/>
      <c r="F523" s="5"/>
    </row>
    <row r="524" spans="1:6" ht="15" x14ac:dyDescent="0.25">
      <c r="A524" s="5"/>
      <c r="B524" s="5"/>
      <c r="C524" s="5"/>
      <c r="D524" s="5"/>
      <c r="E524" s="5"/>
      <c r="F524" s="5"/>
    </row>
    <row r="525" spans="1:6" ht="15" x14ac:dyDescent="0.25">
      <c r="A525" s="5"/>
      <c r="B525" s="5"/>
      <c r="C525" s="5"/>
      <c r="D525" s="5"/>
      <c r="E525" s="5"/>
      <c r="F525" s="5"/>
    </row>
    <row r="526" spans="1:6" ht="15" x14ac:dyDescent="0.25">
      <c r="A526" s="5"/>
      <c r="B526" s="5"/>
      <c r="C526" s="5"/>
      <c r="D526" s="5"/>
      <c r="E526" s="5"/>
      <c r="F526" s="5"/>
    </row>
    <row r="527" spans="1:6" ht="15" x14ac:dyDescent="0.25">
      <c r="A527" s="5"/>
      <c r="B527" s="5"/>
      <c r="C527" s="5"/>
      <c r="D527" s="5"/>
      <c r="E527" s="5"/>
      <c r="F527" s="5"/>
    </row>
    <row r="528" spans="1:6" ht="15" x14ac:dyDescent="0.25">
      <c r="A528" s="5"/>
      <c r="B528" s="5"/>
      <c r="C528" s="5"/>
      <c r="D528" s="5"/>
      <c r="E528" s="5"/>
      <c r="F528" s="5"/>
    </row>
    <row r="529" spans="1:6" ht="15" x14ac:dyDescent="0.25">
      <c r="A529" s="5"/>
      <c r="B529" s="5"/>
      <c r="C529" s="5"/>
      <c r="D529" s="5"/>
      <c r="E529" s="5"/>
      <c r="F529" s="5"/>
    </row>
    <row r="530" spans="1:6" ht="15" x14ac:dyDescent="0.25">
      <c r="A530" s="5"/>
      <c r="B530" s="5"/>
      <c r="C530" s="5"/>
      <c r="D530" s="5"/>
      <c r="E530" s="5"/>
      <c r="F530" s="5"/>
    </row>
    <row r="531" spans="1:6" ht="15" x14ac:dyDescent="0.25">
      <c r="A531" s="5"/>
      <c r="B531" s="5"/>
      <c r="C531" s="5"/>
      <c r="D531" s="5"/>
      <c r="E531" s="5"/>
      <c r="F531" s="5"/>
    </row>
    <row r="532" spans="1:6" ht="15" x14ac:dyDescent="0.25">
      <c r="A532" s="5"/>
      <c r="B532" s="5"/>
      <c r="C532" s="5"/>
      <c r="D532" s="5"/>
      <c r="E532" s="5"/>
      <c r="F532" s="5"/>
    </row>
    <row r="533" spans="1:6" ht="15" x14ac:dyDescent="0.25">
      <c r="A533" s="5"/>
      <c r="B533" s="5"/>
      <c r="C533" s="5"/>
      <c r="D533" s="5"/>
      <c r="E533" s="5"/>
      <c r="F533" s="5"/>
    </row>
    <row r="534" spans="1:6" ht="15" x14ac:dyDescent="0.25">
      <c r="A534" s="5"/>
      <c r="B534" s="5"/>
      <c r="C534" s="5"/>
      <c r="D534" s="5"/>
      <c r="E534" s="5"/>
      <c r="F534" s="5"/>
    </row>
    <row r="535" spans="1:6" ht="15" x14ac:dyDescent="0.25">
      <c r="A535" s="5"/>
      <c r="B535" s="5"/>
      <c r="C535" s="5"/>
      <c r="D535" s="5"/>
      <c r="E535" s="5"/>
      <c r="F535" s="5"/>
    </row>
    <row r="536" spans="1:6" ht="15" x14ac:dyDescent="0.25">
      <c r="A536" s="5"/>
      <c r="B536" s="5"/>
      <c r="C536" s="5"/>
      <c r="D536" s="5"/>
      <c r="E536" s="5"/>
      <c r="F536" s="5"/>
    </row>
    <row r="537" spans="1:6" ht="15" x14ac:dyDescent="0.25">
      <c r="A537" s="5"/>
      <c r="B537" s="5"/>
      <c r="C537" s="5"/>
      <c r="D537" s="5"/>
      <c r="E537" s="5"/>
      <c r="F537" s="5"/>
    </row>
    <row r="538" spans="1:6" ht="15" x14ac:dyDescent="0.25">
      <c r="A538" s="5"/>
      <c r="B538" s="5"/>
      <c r="C538" s="5"/>
      <c r="D538" s="5"/>
      <c r="E538" s="5"/>
      <c r="F538" s="5"/>
    </row>
    <row r="539" spans="1:6" ht="15" x14ac:dyDescent="0.25">
      <c r="A539" s="5"/>
      <c r="B539" s="5"/>
      <c r="C539" s="5"/>
      <c r="D539" s="5"/>
      <c r="E539" s="5"/>
      <c r="F539" s="5"/>
    </row>
    <row r="540" spans="1:6" ht="15" x14ac:dyDescent="0.25">
      <c r="A540" s="5"/>
      <c r="B540" s="5"/>
      <c r="C540" s="5"/>
      <c r="D540" s="5"/>
      <c r="E540" s="5"/>
      <c r="F540" s="5"/>
    </row>
    <row r="541" spans="1:6" ht="15" x14ac:dyDescent="0.25">
      <c r="A541" s="5"/>
      <c r="B541" s="5"/>
      <c r="C541" s="5"/>
      <c r="D541" s="5"/>
      <c r="E541" s="5"/>
      <c r="F541" s="5"/>
    </row>
    <row r="542" spans="1:6" ht="15" x14ac:dyDescent="0.25">
      <c r="A542" s="5"/>
      <c r="B542" s="5"/>
      <c r="C542" s="5"/>
      <c r="D542" s="5"/>
      <c r="E542" s="5"/>
      <c r="F542" s="5"/>
    </row>
    <row r="543" spans="1:6" ht="15" x14ac:dyDescent="0.25">
      <c r="A543" s="5"/>
      <c r="B543" s="5"/>
      <c r="C543" s="5"/>
      <c r="D543" s="5"/>
      <c r="E543" s="5"/>
      <c r="F543" s="5"/>
    </row>
    <row r="544" spans="1:6" ht="15" x14ac:dyDescent="0.25">
      <c r="A544" s="5"/>
      <c r="B544" s="5"/>
      <c r="C544" s="5"/>
      <c r="D544" s="5"/>
      <c r="E544" s="5"/>
      <c r="F544" s="5"/>
    </row>
    <row r="545" spans="1:6" ht="15" x14ac:dyDescent="0.25">
      <c r="A545" s="5"/>
      <c r="B545" s="5"/>
      <c r="C545" s="5"/>
      <c r="D545" s="5"/>
      <c r="E545" s="5"/>
      <c r="F545" s="5"/>
    </row>
    <row r="546" spans="1:6" ht="15" x14ac:dyDescent="0.25">
      <c r="A546" s="5"/>
      <c r="B546" s="5"/>
      <c r="C546" s="5"/>
      <c r="D546" s="5"/>
      <c r="E546" s="5"/>
      <c r="F546" s="5"/>
    </row>
    <row r="547" spans="1:6" ht="15" x14ac:dyDescent="0.25">
      <c r="A547" s="5"/>
      <c r="B547" s="5"/>
      <c r="C547" s="5"/>
      <c r="D547" s="5"/>
      <c r="E547" s="5"/>
      <c r="F547" s="5"/>
    </row>
    <row r="548" spans="1:6" ht="15" x14ac:dyDescent="0.25">
      <c r="A548" s="5"/>
      <c r="B548" s="5"/>
      <c r="C548" s="5"/>
      <c r="D548" s="5"/>
      <c r="E548" s="5"/>
      <c r="F548" s="5"/>
    </row>
    <row r="549" spans="1:6" ht="15" x14ac:dyDescent="0.25">
      <c r="A549" s="5"/>
      <c r="B549" s="5"/>
      <c r="C549" s="5"/>
      <c r="D549" s="5"/>
      <c r="E549" s="5"/>
      <c r="F549" s="5"/>
    </row>
    <row r="550" spans="1:6" ht="15" x14ac:dyDescent="0.25">
      <c r="A550" s="5"/>
      <c r="B550" s="5"/>
      <c r="C550" s="5"/>
      <c r="D550" s="5"/>
      <c r="E550" s="5"/>
      <c r="F550" s="5"/>
    </row>
    <row r="551" spans="1:6" ht="15" x14ac:dyDescent="0.25">
      <c r="A551" s="5"/>
      <c r="B551" s="5"/>
      <c r="C551" s="5"/>
      <c r="D551" s="5"/>
      <c r="E551" s="5"/>
      <c r="F551" s="5"/>
    </row>
    <row r="552" spans="1:6" ht="15" x14ac:dyDescent="0.25">
      <c r="A552" s="5"/>
      <c r="B552" s="5"/>
      <c r="C552" s="5"/>
      <c r="D552" s="5"/>
      <c r="E552" s="5"/>
      <c r="F552" s="5"/>
    </row>
    <row r="553" spans="1:6" ht="15" x14ac:dyDescent="0.25">
      <c r="A553" s="5"/>
      <c r="B553" s="5"/>
      <c r="C553" s="5"/>
      <c r="D553" s="5"/>
      <c r="E553" s="5"/>
      <c r="F553" s="5"/>
    </row>
    <row r="554" spans="1:6" ht="15" x14ac:dyDescent="0.25">
      <c r="A554" s="5"/>
      <c r="B554" s="5"/>
      <c r="C554" s="5"/>
      <c r="D554" s="5"/>
      <c r="E554" s="5"/>
      <c r="F554" s="5"/>
    </row>
    <row r="555" spans="1:6" ht="15" x14ac:dyDescent="0.25">
      <c r="A555" s="5"/>
      <c r="B555" s="5"/>
      <c r="C555" s="5"/>
      <c r="D555" s="5"/>
      <c r="E555" s="5"/>
      <c r="F555" s="5"/>
    </row>
    <row r="556" spans="1:6" ht="15" x14ac:dyDescent="0.25">
      <c r="A556" s="5"/>
      <c r="B556" s="5"/>
      <c r="C556" s="5"/>
      <c r="D556" s="5"/>
      <c r="E556" s="5"/>
      <c r="F556" s="5"/>
    </row>
    <row r="557" spans="1:6" ht="15" x14ac:dyDescent="0.25">
      <c r="A557" s="5"/>
      <c r="B557" s="5"/>
      <c r="C557" s="5"/>
      <c r="D557" s="5"/>
      <c r="E557" s="5"/>
      <c r="F557" s="5"/>
    </row>
    <row r="558" spans="1:6" ht="15" x14ac:dyDescent="0.25">
      <c r="A558" s="5"/>
      <c r="B558" s="5"/>
      <c r="C558" s="5"/>
      <c r="D558" s="5"/>
      <c r="E558" s="5"/>
      <c r="F558" s="5"/>
    </row>
    <row r="559" spans="1:6" ht="15" x14ac:dyDescent="0.25">
      <c r="A559" s="5"/>
      <c r="B559" s="5"/>
      <c r="C559" s="5"/>
      <c r="D559" s="5"/>
      <c r="E559" s="5"/>
      <c r="F559" s="5"/>
    </row>
    <row r="560" spans="1:6" ht="15" x14ac:dyDescent="0.25">
      <c r="A560" s="5"/>
      <c r="B560" s="5"/>
      <c r="C560" s="5"/>
      <c r="D560" s="5"/>
      <c r="E560" s="5"/>
      <c r="F560" s="5"/>
    </row>
    <row r="561" spans="1:6" ht="15" x14ac:dyDescent="0.25">
      <c r="A561" s="5"/>
      <c r="B561" s="5"/>
      <c r="C561" s="5"/>
      <c r="D561" s="5"/>
      <c r="E561" s="5"/>
      <c r="F561" s="5"/>
    </row>
    <row r="562" spans="1:6" ht="15" x14ac:dyDescent="0.25">
      <c r="A562" s="5"/>
      <c r="B562" s="5"/>
      <c r="C562" s="5"/>
      <c r="D562" s="5"/>
      <c r="E562" s="5"/>
      <c r="F562" s="5"/>
    </row>
    <row r="563" spans="1:6" ht="15" x14ac:dyDescent="0.25">
      <c r="A563" s="5"/>
      <c r="B563" s="5"/>
      <c r="C563" s="5"/>
      <c r="D563" s="5"/>
      <c r="E563" s="5"/>
      <c r="F563" s="5"/>
    </row>
    <row r="564" spans="1:6" ht="15" x14ac:dyDescent="0.25">
      <c r="A564" s="5"/>
      <c r="B564" s="5"/>
      <c r="C564" s="5"/>
      <c r="D564" s="5"/>
      <c r="E564" s="5"/>
      <c r="F564" s="5"/>
    </row>
    <row r="565" spans="1:6" ht="15" x14ac:dyDescent="0.25">
      <c r="A565" s="5"/>
      <c r="B565" s="5"/>
      <c r="C565" s="5"/>
      <c r="D565" s="5"/>
      <c r="E565" s="5"/>
      <c r="F565" s="5"/>
    </row>
    <row r="566" spans="1:6" ht="15" x14ac:dyDescent="0.25">
      <c r="A566" s="5"/>
      <c r="B566" s="5"/>
      <c r="C566" s="5"/>
      <c r="D566" s="5"/>
      <c r="E566" s="5"/>
      <c r="F566" s="5"/>
    </row>
    <row r="567" spans="1:6" ht="15" x14ac:dyDescent="0.25">
      <c r="A567" s="5"/>
      <c r="B567" s="5"/>
      <c r="C567" s="5"/>
      <c r="D567" s="5"/>
      <c r="E567" s="5"/>
      <c r="F567" s="5"/>
    </row>
    <row r="568" spans="1:6" ht="15" x14ac:dyDescent="0.25">
      <c r="A568" s="5"/>
      <c r="B568" s="5"/>
      <c r="C568" s="5"/>
      <c r="D568" s="5"/>
      <c r="E568" s="5"/>
      <c r="F568" s="5"/>
    </row>
    <row r="569" spans="1:6" ht="15" x14ac:dyDescent="0.25">
      <c r="A569" s="5"/>
      <c r="B569" s="5"/>
      <c r="C569" s="5"/>
      <c r="D569" s="5"/>
      <c r="E569" s="5"/>
      <c r="F569" s="5"/>
    </row>
    <row r="570" spans="1:6" ht="15" x14ac:dyDescent="0.25">
      <c r="A570" s="5"/>
      <c r="B570" s="5"/>
      <c r="C570" s="5"/>
      <c r="D570" s="5"/>
      <c r="E570" s="5"/>
      <c r="F570" s="5"/>
    </row>
    <row r="571" spans="1:6" ht="15" x14ac:dyDescent="0.25">
      <c r="A571" s="5"/>
      <c r="B571" s="5"/>
      <c r="C571" s="5"/>
      <c r="D571" s="5"/>
      <c r="E571" s="5"/>
      <c r="F571" s="5"/>
    </row>
    <row r="572" spans="1:6" ht="15" x14ac:dyDescent="0.25">
      <c r="A572" s="5"/>
      <c r="B572" s="5"/>
      <c r="C572" s="5"/>
      <c r="D572" s="5"/>
      <c r="E572" s="5"/>
      <c r="F572" s="5"/>
    </row>
    <row r="573" spans="1:6" ht="15" x14ac:dyDescent="0.25">
      <c r="A573" s="5"/>
      <c r="B573" s="5"/>
      <c r="C573" s="5"/>
      <c r="D573" s="5"/>
      <c r="E573" s="5"/>
      <c r="F573" s="5"/>
    </row>
    <row r="574" spans="1:6" ht="15" x14ac:dyDescent="0.25">
      <c r="A574" s="5"/>
      <c r="B574" s="5"/>
      <c r="C574" s="5"/>
      <c r="D574" s="5"/>
      <c r="E574" s="5"/>
      <c r="F574" s="5"/>
    </row>
    <row r="575" spans="1:6" ht="15" x14ac:dyDescent="0.25">
      <c r="A575" s="5"/>
      <c r="B575" s="5"/>
      <c r="C575" s="5"/>
      <c r="D575" s="5"/>
      <c r="E575" s="5"/>
      <c r="F575" s="5"/>
    </row>
    <row r="576" spans="1:6" ht="15" x14ac:dyDescent="0.25">
      <c r="A576" s="5"/>
      <c r="B576" s="5"/>
      <c r="C576" s="5"/>
      <c r="D576" s="5"/>
      <c r="E576" s="5"/>
      <c r="F576" s="5"/>
    </row>
    <row r="577" spans="1:6" ht="15" x14ac:dyDescent="0.25">
      <c r="A577" s="5"/>
      <c r="B577" s="5"/>
      <c r="C577" s="5"/>
      <c r="D577" s="5"/>
      <c r="E577" s="5"/>
      <c r="F577" s="5"/>
    </row>
    <row r="578" spans="1:6" ht="15" x14ac:dyDescent="0.25">
      <c r="A578" s="5"/>
      <c r="B578" s="5"/>
      <c r="C578" s="5"/>
      <c r="D578" s="5"/>
      <c r="E578" s="5"/>
      <c r="F578" s="5"/>
    </row>
    <row r="579" spans="1:6" ht="15" x14ac:dyDescent="0.25">
      <c r="A579" s="5"/>
      <c r="B579" s="5"/>
      <c r="C579" s="5"/>
      <c r="D579" s="5"/>
      <c r="E579" s="5"/>
      <c r="F579" s="5"/>
    </row>
    <row r="580" spans="1:6" ht="15" x14ac:dyDescent="0.25">
      <c r="A580" s="5"/>
      <c r="B580" s="5"/>
      <c r="C580" s="5"/>
      <c r="D580" s="5"/>
      <c r="E580" s="5"/>
      <c r="F580" s="5"/>
    </row>
    <row r="581" spans="1:6" ht="15" x14ac:dyDescent="0.25">
      <c r="A581" s="5"/>
      <c r="B581" s="5"/>
      <c r="C581" s="5"/>
      <c r="D581" s="5"/>
      <c r="E581" s="5"/>
      <c r="F581" s="5"/>
    </row>
    <row r="582" spans="1:6" ht="15" x14ac:dyDescent="0.25">
      <c r="A582" s="5"/>
      <c r="B582" s="5"/>
      <c r="C582" s="5"/>
      <c r="D582" s="5"/>
      <c r="E582" s="5"/>
      <c r="F582" s="5"/>
    </row>
    <row r="583" spans="1:6" ht="15" x14ac:dyDescent="0.25">
      <c r="A583" s="5"/>
      <c r="B583" s="5"/>
      <c r="C583" s="5"/>
      <c r="D583" s="5"/>
      <c r="E583" s="5"/>
      <c r="F583" s="5"/>
    </row>
    <row r="584" spans="1:6" ht="15" x14ac:dyDescent="0.25">
      <c r="A584" s="5"/>
      <c r="B584" s="5"/>
      <c r="C584" s="5"/>
      <c r="D584" s="5"/>
      <c r="E584" s="5"/>
      <c r="F584" s="5"/>
    </row>
    <row r="585" spans="1:6" ht="15" x14ac:dyDescent="0.25">
      <c r="A585" s="5"/>
      <c r="B585" s="5"/>
      <c r="C585" s="5"/>
      <c r="D585" s="5"/>
      <c r="E585" s="5"/>
      <c r="F585" s="5"/>
    </row>
    <row r="586" spans="1:6" ht="15" x14ac:dyDescent="0.25">
      <c r="A586" s="5"/>
      <c r="B586" s="5"/>
      <c r="C586" s="5"/>
      <c r="D586" s="5"/>
      <c r="E586" s="5"/>
      <c r="F586" s="5"/>
    </row>
    <row r="587" spans="1:6" ht="15" x14ac:dyDescent="0.25">
      <c r="A587" s="5"/>
      <c r="B587" s="5"/>
      <c r="C587" s="5"/>
      <c r="D587" s="5"/>
      <c r="E587" s="5"/>
      <c r="F587" s="5"/>
    </row>
    <row r="588" spans="1:6" ht="15" x14ac:dyDescent="0.25">
      <c r="A588" s="5"/>
      <c r="B588" s="5"/>
      <c r="C588" s="5"/>
      <c r="D588" s="5"/>
      <c r="E588" s="5"/>
      <c r="F588" s="5"/>
    </row>
    <row r="589" spans="1:6" ht="15" x14ac:dyDescent="0.25">
      <c r="A589" s="5"/>
      <c r="B589" s="5"/>
      <c r="C589" s="5"/>
      <c r="D589" s="5"/>
      <c r="E589" s="5"/>
      <c r="F589" s="5"/>
    </row>
    <row r="590" spans="1:6" ht="15" x14ac:dyDescent="0.25">
      <c r="A590" s="5"/>
      <c r="B590" s="5"/>
      <c r="C590" s="5"/>
      <c r="D590" s="5"/>
      <c r="E590" s="5"/>
      <c r="F590" s="5"/>
    </row>
    <row r="591" spans="1:6" ht="15" x14ac:dyDescent="0.25">
      <c r="A591" s="5"/>
      <c r="B591" s="5"/>
      <c r="C591" s="5"/>
      <c r="D591" s="5"/>
      <c r="E591" s="5"/>
      <c r="F591" s="5"/>
    </row>
    <row r="592" spans="1:6" ht="15" x14ac:dyDescent="0.25">
      <c r="A592" s="5"/>
      <c r="B592" s="5"/>
      <c r="C592" s="5"/>
      <c r="D592" s="5"/>
      <c r="E592" s="5"/>
      <c r="F592" s="5"/>
    </row>
    <row r="593" spans="1:6" ht="15" x14ac:dyDescent="0.25">
      <c r="A593" s="5"/>
      <c r="B593" s="5"/>
      <c r="C593" s="5"/>
      <c r="D593" s="5"/>
      <c r="E593" s="5"/>
      <c r="F593" s="5"/>
    </row>
    <row r="594" spans="1:6" ht="15" x14ac:dyDescent="0.25">
      <c r="A594" s="5"/>
      <c r="B594" s="5"/>
      <c r="C594" s="5"/>
      <c r="D594" s="5"/>
      <c r="E594" s="5"/>
      <c r="F594" s="5"/>
    </row>
    <row r="595" spans="1:6" ht="15" x14ac:dyDescent="0.25">
      <c r="A595" s="5"/>
      <c r="B595" s="5"/>
      <c r="C595" s="5"/>
      <c r="D595" s="5"/>
      <c r="E595" s="5"/>
      <c r="F595" s="5"/>
    </row>
    <row r="596" spans="1:6" ht="15" x14ac:dyDescent="0.25">
      <c r="A596" s="5"/>
      <c r="B596" s="5"/>
      <c r="C596" s="5"/>
      <c r="D596" s="5"/>
      <c r="E596" s="5"/>
      <c r="F596" s="5"/>
    </row>
    <row r="597" spans="1:6" ht="15" x14ac:dyDescent="0.25">
      <c r="A597" s="5"/>
      <c r="B597" s="5"/>
      <c r="C597" s="5"/>
      <c r="D597" s="5"/>
      <c r="E597" s="5"/>
      <c r="F597" s="5"/>
    </row>
    <row r="598" spans="1:6" ht="15" x14ac:dyDescent="0.25">
      <c r="A598" s="5"/>
      <c r="B598" s="5"/>
      <c r="C598" s="5"/>
      <c r="D598" s="5"/>
      <c r="E598" s="5"/>
      <c r="F598" s="5"/>
    </row>
    <row r="599" spans="1:6" ht="15" x14ac:dyDescent="0.25">
      <c r="A599" s="5"/>
      <c r="B599" s="5"/>
      <c r="C599" s="5"/>
      <c r="D599" s="5"/>
      <c r="E599" s="5"/>
      <c r="F599" s="5"/>
    </row>
    <row r="600" spans="1:6" ht="15" x14ac:dyDescent="0.25">
      <c r="A600" s="5"/>
      <c r="B600" s="5"/>
      <c r="C600" s="5"/>
      <c r="D600" s="5"/>
      <c r="E600" s="5"/>
      <c r="F600" s="5"/>
    </row>
    <row r="601" spans="1:6" ht="15" x14ac:dyDescent="0.25">
      <c r="A601" s="5"/>
      <c r="B601" s="5"/>
      <c r="C601" s="5"/>
      <c r="D601" s="5"/>
      <c r="E601" s="5"/>
      <c r="F601" s="5"/>
    </row>
    <row r="602" spans="1:6" ht="15" x14ac:dyDescent="0.25">
      <c r="A602" s="5"/>
      <c r="B602" s="5"/>
      <c r="C602" s="5"/>
      <c r="D602" s="5"/>
      <c r="E602" s="5"/>
      <c r="F602" s="5"/>
    </row>
    <row r="603" spans="1:6" ht="15" x14ac:dyDescent="0.25">
      <c r="A603" s="5"/>
      <c r="B603" s="5"/>
      <c r="C603" s="5"/>
      <c r="D603" s="5"/>
      <c r="E603" s="5"/>
      <c r="F603" s="5"/>
    </row>
    <row r="604" spans="1:6" ht="15" x14ac:dyDescent="0.25">
      <c r="A604" s="5"/>
      <c r="B604" s="5"/>
      <c r="C604" s="5"/>
      <c r="D604" s="5"/>
      <c r="E604" s="5"/>
      <c r="F604" s="5"/>
    </row>
    <row r="605" spans="1:6" ht="15" x14ac:dyDescent="0.25">
      <c r="A605" s="5"/>
      <c r="B605" s="5"/>
      <c r="C605" s="5"/>
      <c r="D605" s="5"/>
      <c r="E605" s="5"/>
      <c r="F605" s="5"/>
    </row>
    <row r="606" spans="1:6" ht="15" x14ac:dyDescent="0.25">
      <c r="A606" s="5"/>
      <c r="B606" s="5"/>
      <c r="C606" s="5"/>
      <c r="D606" s="5"/>
      <c r="E606" s="5"/>
      <c r="F606" s="5"/>
    </row>
    <row r="607" spans="1:6" ht="15" x14ac:dyDescent="0.25">
      <c r="A607" s="5"/>
      <c r="B607" s="5"/>
      <c r="C607" s="5"/>
      <c r="D607" s="5"/>
      <c r="E607" s="5"/>
      <c r="F607" s="5"/>
    </row>
    <row r="608" spans="1:6" ht="15" x14ac:dyDescent="0.25">
      <c r="A608" s="5"/>
      <c r="B608" s="5"/>
      <c r="C608" s="5"/>
      <c r="D608" s="5"/>
      <c r="E608" s="5"/>
      <c r="F608" s="5"/>
    </row>
    <row r="609" spans="1:6" ht="15" x14ac:dyDescent="0.25">
      <c r="A609" s="5"/>
      <c r="B609" s="5"/>
      <c r="C609" s="5"/>
      <c r="D609" s="5"/>
      <c r="E609" s="5"/>
      <c r="F609" s="5"/>
    </row>
    <row r="610" spans="1:6" ht="15" x14ac:dyDescent="0.25">
      <c r="A610" s="5"/>
      <c r="B610" s="5"/>
      <c r="C610" s="5"/>
      <c r="D610" s="5"/>
      <c r="E610" s="5"/>
      <c r="F610" s="5"/>
    </row>
    <row r="611" spans="1:6" ht="15" x14ac:dyDescent="0.25">
      <c r="A611" s="5"/>
      <c r="B611" s="5"/>
      <c r="C611" s="5"/>
      <c r="D611" s="5"/>
      <c r="E611" s="5"/>
      <c r="F611" s="5"/>
    </row>
    <row r="612" spans="1:6" ht="15" x14ac:dyDescent="0.25">
      <c r="A612" s="5"/>
      <c r="B612" s="5"/>
      <c r="C612" s="5"/>
      <c r="D612" s="5"/>
      <c r="E612" s="5"/>
      <c r="F612" s="5"/>
    </row>
    <row r="613" spans="1:6" ht="15" x14ac:dyDescent="0.25">
      <c r="A613" s="5"/>
      <c r="B613" s="5"/>
      <c r="C613" s="5"/>
      <c r="D613" s="5"/>
      <c r="E613" s="5"/>
      <c r="F613" s="5"/>
    </row>
    <row r="614" spans="1:6" ht="15" x14ac:dyDescent="0.25">
      <c r="A614" s="5"/>
      <c r="B614" s="5"/>
      <c r="C614" s="5"/>
      <c r="D614" s="5"/>
      <c r="E614" s="5"/>
      <c r="F614" s="5"/>
    </row>
    <row r="615" spans="1:6" ht="15" x14ac:dyDescent="0.25">
      <c r="A615" s="5"/>
      <c r="B615" s="5"/>
      <c r="C615" s="5"/>
      <c r="D615" s="5"/>
      <c r="E615" s="5"/>
      <c r="F615" s="5"/>
    </row>
    <row r="616" spans="1:6" ht="15" x14ac:dyDescent="0.25">
      <c r="A616" s="5"/>
      <c r="B616" s="5"/>
      <c r="C616" s="5"/>
      <c r="D616" s="5"/>
      <c r="E616" s="5"/>
      <c r="F616" s="5"/>
    </row>
    <row r="617" spans="1:6" ht="15" x14ac:dyDescent="0.25">
      <c r="A617" s="5"/>
      <c r="B617" s="5"/>
      <c r="C617" s="5"/>
      <c r="D617" s="5"/>
      <c r="E617" s="5"/>
      <c r="F617" s="5"/>
    </row>
    <row r="618" spans="1:6" ht="15" x14ac:dyDescent="0.25">
      <c r="A618" s="5"/>
      <c r="B618" s="5"/>
      <c r="C618" s="5"/>
      <c r="D618" s="5"/>
      <c r="E618" s="5"/>
      <c r="F618" s="5"/>
    </row>
    <row r="619" spans="1:6" ht="15" x14ac:dyDescent="0.25">
      <c r="A619" s="5"/>
      <c r="B619" s="5"/>
      <c r="C619" s="5"/>
      <c r="D619" s="5"/>
      <c r="E619" s="5"/>
      <c r="F619" s="5"/>
    </row>
    <row r="620" spans="1:6" ht="15" x14ac:dyDescent="0.25">
      <c r="A620" s="5"/>
      <c r="B620" s="5"/>
      <c r="C620" s="5"/>
      <c r="D620" s="5"/>
      <c r="E620" s="5"/>
      <c r="F620" s="5"/>
    </row>
    <row r="621" spans="1:6" ht="15" x14ac:dyDescent="0.25">
      <c r="A621" s="5"/>
      <c r="B621" s="5"/>
      <c r="C621" s="5"/>
      <c r="D621" s="5"/>
      <c r="E621" s="5"/>
      <c r="F621" s="5"/>
    </row>
    <row r="622" spans="1:6" ht="15" x14ac:dyDescent="0.25">
      <c r="A622" s="5"/>
      <c r="B622" s="5"/>
      <c r="C622" s="5"/>
      <c r="D622" s="5"/>
      <c r="E622" s="5"/>
      <c r="F622" s="5"/>
    </row>
    <row r="623" spans="1:6" ht="15" x14ac:dyDescent="0.25">
      <c r="A623" s="5"/>
      <c r="B623" s="5"/>
      <c r="C623" s="5"/>
      <c r="D623" s="5"/>
      <c r="E623" s="5"/>
      <c r="F623" s="5"/>
    </row>
    <row r="624" spans="1:6" ht="15" x14ac:dyDescent="0.25">
      <c r="A624" s="5"/>
      <c r="B624" s="5"/>
      <c r="C624" s="5"/>
      <c r="D624" s="5"/>
      <c r="E624" s="5"/>
      <c r="F624" s="5"/>
    </row>
    <row r="625" spans="1:6" ht="15" x14ac:dyDescent="0.25">
      <c r="A625" s="5"/>
      <c r="B625" s="5"/>
      <c r="C625" s="5"/>
      <c r="D625" s="5"/>
      <c r="E625" s="5"/>
      <c r="F625" s="5"/>
    </row>
    <row r="626" spans="1:6" ht="15" x14ac:dyDescent="0.25">
      <c r="A626" s="5"/>
      <c r="B626" s="5"/>
      <c r="C626" s="5"/>
      <c r="D626" s="5"/>
      <c r="E626" s="5"/>
      <c r="F626" s="5"/>
    </row>
    <row r="627" spans="1:6" ht="15" x14ac:dyDescent="0.25">
      <c r="A627" s="5"/>
      <c r="B627" s="5"/>
      <c r="C627" s="5"/>
      <c r="D627" s="5"/>
      <c r="E627" s="5"/>
      <c r="F627" s="5"/>
    </row>
    <row r="628" spans="1:6" ht="15" x14ac:dyDescent="0.25">
      <c r="A628" s="5"/>
      <c r="B628" s="5"/>
      <c r="C628" s="5"/>
      <c r="D628" s="5"/>
      <c r="E628" s="5"/>
      <c r="F628" s="5"/>
    </row>
    <row r="629" spans="1:6" ht="15" x14ac:dyDescent="0.25">
      <c r="A629" s="5"/>
      <c r="B629" s="5"/>
      <c r="C629" s="5"/>
      <c r="D629" s="5"/>
      <c r="E629" s="5"/>
      <c r="F629" s="5"/>
    </row>
    <row r="630" spans="1:6" ht="15" x14ac:dyDescent="0.25">
      <c r="A630" s="5"/>
      <c r="B630" s="5"/>
      <c r="C630" s="5"/>
      <c r="D630" s="5"/>
      <c r="E630" s="5"/>
      <c r="F630" s="5"/>
    </row>
    <row r="631" spans="1:6" ht="15" x14ac:dyDescent="0.25">
      <c r="A631" s="5"/>
      <c r="B631" s="5"/>
      <c r="C631" s="5"/>
      <c r="D631" s="5"/>
      <c r="E631" s="5"/>
      <c r="F631" s="5"/>
    </row>
    <row r="632" spans="1:6" ht="15" x14ac:dyDescent="0.25">
      <c r="A632" s="5"/>
      <c r="B632" s="5"/>
      <c r="C632" s="5"/>
      <c r="D632" s="5"/>
      <c r="E632" s="5"/>
      <c r="F632" s="5"/>
    </row>
    <row r="633" spans="1:6" ht="15" x14ac:dyDescent="0.25">
      <c r="A633" s="5"/>
      <c r="B633" s="5"/>
      <c r="C633" s="5"/>
      <c r="D633" s="5"/>
      <c r="E633" s="5"/>
      <c r="F633" s="5"/>
    </row>
    <row r="634" spans="1:6" ht="15" x14ac:dyDescent="0.25">
      <c r="A634" s="5"/>
      <c r="B634" s="5"/>
      <c r="C634" s="5"/>
      <c r="D634" s="5"/>
      <c r="E634" s="5"/>
      <c r="F634" s="5"/>
    </row>
    <row r="635" spans="1:6" ht="15" x14ac:dyDescent="0.25">
      <c r="A635" s="5"/>
      <c r="B635" s="5"/>
      <c r="C635" s="5"/>
      <c r="D635" s="5"/>
      <c r="E635" s="5"/>
      <c r="F635" s="5"/>
    </row>
    <row r="636" spans="1:6" ht="15" x14ac:dyDescent="0.25">
      <c r="A636" s="5"/>
      <c r="B636" s="5"/>
      <c r="C636" s="5"/>
      <c r="D636" s="5"/>
      <c r="E636" s="5"/>
      <c r="F636" s="5"/>
    </row>
    <row r="637" spans="1:6" ht="15" x14ac:dyDescent="0.25">
      <c r="A637" s="5"/>
      <c r="B637" s="5"/>
      <c r="C637" s="5"/>
      <c r="D637" s="5"/>
      <c r="E637" s="5"/>
      <c r="F637" s="5"/>
    </row>
    <row r="638" spans="1:6" ht="15" x14ac:dyDescent="0.25">
      <c r="A638" s="5"/>
      <c r="B638" s="5"/>
      <c r="C638" s="5"/>
      <c r="D638" s="5"/>
      <c r="E638" s="5"/>
      <c r="F638" s="5"/>
    </row>
    <row r="639" spans="1:6" ht="15" x14ac:dyDescent="0.25">
      <c r="A639" s="5"/>
      <c r="B639" s="5"/>
      <c r="C639" s="5"/>
      <c r="D639" s="5"/>
      <c r="E639" s="5"/>
      <c r="F639" s="5"/>
    </row>
    <row r="640" spans="1:6" ht="15" x14ac:dyDescent="0.25">
      <c r="A640" s="5"/>
      <c r="B640" s="5"/>
      <c r="C640" s="5"/>
      <c r="D640" s="5"/>
      <c r="E640" s="5"/>
      <c r="F640" s="5"/>
    </row>
    <row r="641" spans="1:6" ht="15" x14ac:dyDescent="0.25">
      <c r="A641" s="5"/>
      <c r="B641" s="5"/>
      <c r="C641" s="5"/>
      <c r="D641" s="5"/>
      <c r="E641" s="5"/>
      <c r="F641" s="5"/>
    </row>
    <row r="642" spans="1:6" ht="15" x14ac:dyDescent="0.25">
      <c r="A642" s="5"/>
      <c r="B642" s="5"/>
      <c r="C642" s="5"/>
      <c r="D642" s="5"/>
      <c r="E642" s="5"/>
      <c r="F642" s="5"/>
    </row>
    <row r="643" spans="1:6" ht="15" x14ac:dyDescent="0.25">
      <c r="A643" s="5"/>
      <c r="B643" s="5"/>
      <c r="C643" s="5"/>
      <c r="D643" s="5"/>
      <c r="E643" s="5"/>
      <c r="F643" s="5"/>
    </row>
    <row r="644" spans="1:6" ht="15" x14ac:dyDescent="0.25">
      <c r="A644" s="5"/>
      <c r="B644" s="5"/>
      <c r="C644" s="5"/>
      <c r="D644" s="5"/>
      <c r="E644" s="5"/>
      <c r="F644" s="5"/>
    </row>
    <row r="645" spans="1:6" ht="15" x14ac:dyDescent="0.25">
      <c r="A645" s="5"/>
      <c r="B645" s="5"/>
      <c r="C645" s="5"/>
      <c r="D645" s="5"/>
      <c r="E645" s="5"/>
      <c r="F645" s="5"/>
    </row>
    <row r="646" spans="1:6" ht="15" x14ac:dyDescent="0.25">
      <c r="A646" s="5"/>
      <c r="B646" s="5"/>
      <c r="C646" s="5"/>
      <c r="D646" s="5"/>
      <c r="E646" s="5"/>
      <c r="F646" s="5"/>
    </row>
    <row r="647" spans="1:6" ht="15" x14ac:dyDescent="0.25">
      <c r="A647" s="5"/>
      <c r="B647" s="5"/>
      <c r="C647" s="5"/>
      <c r="D647" s="5"/>
      <c r="E647" s="5"/>
      <c r="F647" s="5"/>
    </row>
    <row r="648" spans="1:6" ht="15" x14ac:dyDescent="0.25">
      <c r="A648" s="5"/>
      <c r="B648" s="5"/>
      <c r="C648" s="5"/>
      <c r="D648" s="5"/>
      <c r="E648" s="5"/>
      <c r="F648" s="5"/>
    </row>
    <row r="649" spans="1:6" ht="15" x14ac:dyDescent="0.25">
      <c r="A649" s="5"/>
      <c r="B649" s="5"/>
      <c r="C649" s="5"/>
      <c r="D649" s="5"/>
      <c r="E649" s="5"/>
      <c r="F649" s="5"/>
    </row>
    <row r="650" spans="1:6" ht="15" x14ac:dyDescent="0.25">
      <c r="A650" s="5"/>
      <c r="B650" s="5"/>
      <c r="C650" s="5"/>
      <c r="D650" s="5"/>
      <c r="E650" s="5"/>
      <c r="F650" s="5"/>
    </row>
    <row r="651" spans="1:6" ht="15" x14ac:dyDescent="0.25">
      <c r="A651" s="5"/>
      <c r="B651" s="5"/>
      <c r="C651" s="5"/>
      <c r="D651" s="5"/>
      <c r="E651" s="5"/>
      <c r="F651" s="5"/>
    </row>
    <row r="652" spans="1:6" ht="15" x14ac:dyDescent="0.25">
      <c r="A652" s="5"/>
      <c r="B652" s="5"/>
      <c r="C652" s="5"/>
      <c r="D652" s="5"/>
      <c r="E652" s="5"/>
      <c r="F652" s="5"/>
    </row>
    <row r="653" spans="1:6" ht="15" x14ac:dyDescent="0.25">
      <c r="A653" s="5"/>
      <c r="B653" s="5"/>
      <c r="C653" s="5"/>
      <c r="D653" s="5"/>
      <c r="E653" s="5"/>
      <c r="F653" s="5"/>
    </row>
    <row r="654" spans="1:6" ht="15" x14ac:dyDescent="0.25">
      <c r="A654" s="5"/>
      <c r="B654" s="5"/>
      <c r="C654" s="5"/>
      <c r="D654" s="5"/>
      <c r="E654" s="5"/>
      <c r="F654" s="5"/>
    </row>
    <row r="655" spans="1:6" ht="15" x14ac:dyDescent="0.25">
      <c r="A655" s="5"/>
      <c r="B655" s="5"/>
      <c r="C655" s="5"/>
      <c r="D655" s="5"/>
      <c r="E655" s="5"/>
      <c r="F655" s="5"/>
    </row>
    <row r="656" spans="1:6" ht="15" x14ac:dyDescent="0.25">
      <c r="A656" s="5"/>
      <c r="B656" s="5"/>
      <c r="C656" s="5"/>
      <c r="D656" s="5"/>
      <c r="E656" s="5"/>
      <c r="F656" s="5"/>
    </row>
    <row r="657" spans="1:6" ht="15" x14ac:dyDescent="0.25">
      <c r="A657" s="5"/>
      <c r="B657" s="5"/>
      <c r="C657" s="5"/>
      <c r="D657" s="5"/>
      <c r="E657" s="5"/>
      <c r="F657" s="5"/>
    </row>
    <row r="658" spans="1:6" ht="15" x14ac:dyDescent="0.25">
      <c r="A658" s="5"/>
      <c r="B658" s="5"/>
      <c r="C658" s="5"/>
      <c r="D658" s="5"/>
      <c r="E658" s="5"/>
      <c r="F658" s="5"/>
    </row>
    <row r="659" spans="1:6" ht="15" x14ac:dyDescent="0.25">
      <c r="A659" s="5"/>
      <c r="B659" s="5"/>
      <c r="C659" s="5"/>
      <c r="D659" s="5"/>
      <c r="E659" s="5"/>
      <c r="F659" s="5"/>
    </row>
    <row r="660" spans="1:6" ht="15" x14ac:dyDescent="0.25">
      <c r="A660" s="5"/>
      <c r="B660" s="5"/>
      <c r="C660" s="5"/>
      <c r="D660" s="5"/>
      <c r="E660" s="5"/>
      <c r="F660" s="5"/>
    </row>
    <row r="661" spans="1:6" ht="15" x14ac:dyDescent="0.25">
      <c r="A661" s="5"/>
      <c r="B661" s="5"/>
      <c r="C661" s="5"/>
      <c r="D661" s="5"/>
      <c r="E661" s="5"/>
      <c r="F661" s="5"/>
    </row>
    <row r="662" spans="1:6" ht="15" x14ac:dyDescent="0.25">
      <c r="A662" s="5"/>
      <c r="B662" s="5"/>
      <c r="C662" s="5"/>
      <c r="D662" s="5"/>
      <c r="E662" s="5"/>
      <c r="F662" s="5"/>
    </row>
    <row r="663" spans="1:6" ht="15" x14ac:dyDescent="0.25">
      <c r="A663" s="5"/>
      <c r="B663" s="5"/>
      <c r="C663" s="5"/>
      <c r="D663" s="5"/>
      <c r="E663" s="5"/>
      <c r="F663" s="5"/>
    </row>
    <row r="664" spans="1:6" ht="15" x14ac:dyDescent="0.25">
      <c r="A664" s="5"/>
      <c r="B664" s="5"/>
      <c r="C664" s="5"/>
      <c r="D664" s="5"/>
      <c r="E664" s="5"/>
      <c r="F664" s="5"/>
    </row>
    <row r="665" spans="1:6" ht="15" x14ac:dyDescent="0.25">
      <c r="A665" s="5"/>
      <c r="B665" s="5"/>
      <c r="C665" s="5"/>
      <c r="D665" s="5"/>
      <c r="E665" s="5"/>
      <c r="F665" s="5"/>
    </row>
    <row r="666" spans="1:6" ht="15" x14ac:dyDescent="0.25">
      <c r="A666" s="5"/>
      <c r="B666" s="5"/>
      <c r="C666" s="5"/>
      <c r="D666" s="5"/>
      <c r="E666" s="5"/>
      <c r="F666" s="5"/>
    </row>
    <row r="667" spans="1:6" ht="15" x14ac:dyDescent="0.25">
      <c r="A667" s="5"/>
      <c r="B667" s="5"/>
      <c r="C667" s="5"/>
      <c r="D667" s="5"/>
      <c r="E667" s="5"/>
      <c r="F667" s="5"/>
    </row>
    <row r="668" spans="1:6" ht="15" x14ac:dyDescent="0.25">
      <c r="A668" s="5"/>
      <c r="B668" s="5"/>
      <c r="C668" s="5"/>
      <c r="D668" s="5"/>
      <c r="E668" s="5"/>
      <c r="F668" s="5"/>
    </row>
    <row r="669" spans="1:6" ht="15" x14ac:dyDescent="0.25">
      <c r="A669" s="5"/>
      <c r="B669" s="5"/>
      <c r="C669" s="5"/>
      <c r="D669" s="5"/>
      <c r="E669" s="5"/>
      <c r="F669" s="5"/>
    </row>
    <row r="670" spans="1:6" ht="15" x14ac:dyDescent="0.25">
      <c r="A670" s="5"/>
      <c r="B670" s="5"/>
      <c r="C670" s="5"/>
      <c r="D670" s="5"/>
      <c r="E670" s="5"/>
      <c r="F670" s="5"/>
    </row>
    <row r="671" spans="1:6" ht="15" x14ac:dyDescent="0.25">
      <c r="A671" s="5"/>
      <c r="B671" s="5"/>
      <c r="C671" s="5"/>
      <c r="D671" s="5"/>
      <c r="E671" s="5"/>
      <c r="F671" s="5"/>
    </row>
    <row r="672" spans="1:6" ht="15" x14ac:dyDescent="0.25">
      <c r="A672" s="5"/>
      <c r="B672" s="5"/>
      <c r="C672" s="5"/>
      <c r="D672" s="5"/>
      <c r="E672" s="5"/>
      <c r="F672" s="5"/>
    </row>
    <row r="673" spans="1:6" ht="15" x14ac:dyDescent="0.25">
      <c r="A673" s="5"/>
      <c r="B673" s="5"/>
      <c r="C673" s="5"/>
      <c r="D673" s="5"/>
      <c r="E673" s="5"/>
      <c r="F673" s="5"/>
    </row>
    <row r="674" spans="1:6" ht="15" x14ac:dyDescent="0.25">
      <c r="A674" s="5"/>
      <c r="B674" s="5"/>
      <c r="C674" s="5"/>
      <c r="D674" s="5"/>
      <c r="E674" s="5"/>
      <c r="F674" s="5"/>
    </row>
    <row r="675" spans="1:6" ht="15" x14ac:dyDescent="0.25">
      <c r="A675" s="5"/>
      <c r="B675" s="5"/>
      <c r="C675" s="5"/>
      <c r="D675" s="5"/>
      <c r="E675" s="5"/>
      <c r="F675" s="5"/>
    </row>
    <row r="676" spans="1:6" ht="15" x14ac:dyDescent="0.25">
      <c r="A676" s="5"/>
      <c r="B676" s="5"/>
      <c r="C676" s="5"/>
      <c r="D676" s="5"/>
      <c r="E676" s="5"/>
      <c r="F676" s="5"/>
    </row>
    <row r="677" spans="1:6" ht="15" x14ac:dyDescent="0.25">
      <c r="A677" s="5"/>
      <c r="B677" s="5"/>
      <c r="C677" s="5"/>
      <c r="D677" s="5"/>
      <c r="E677" s="5"/>
      <c r="F677" s="5"/>
    </row>
    <row r="678" spans="1:6" ht="15" x14ac:dyDescent="0.25">
      <c r="A678" s="5"/>
      <c r="B678" s="5"/>
      <c r="C678" s="5"/>
      <c r="D678" s="5"/>
      <c r="E678" s="5"/>
      <c r="F678" s="5"/>
    </row>
    <row r="679" spans="1:6" ht="15" x14ac:dyDescent="0.25">
      <c r="A679" s="5"/>
      <c r="B679" s="5"/>
      <c r="C679" s="5"/>
      <c r="D679" s="5"/>
      <c r="E679" s="5"/>
      <c r="F679" s="5"/>
    </row>
    <row r="680" spans="1:6" ht="15" x14ac:dyDescent="0.25">
      <c r="A680" s="5"/>
      <c r="B680" s="5"/>
      <c r="C680" s="5"/>
      <c r="D680" s="5"/>
      <c r="E680" s="5"/>
      <c r="F680" s="5"/>
    </row>
    <row r="681" spans="1:6" ht="15" x14ac:dyDescent="0.25">
      <c r="A681" s="5"/>
      <c r="B681" s="5"/>
      <c r="C681" s="5"/>
      <c r="D681" s="5"/>
      <c r="E681" s="5"/>
      <c r="F681" s="5"/>
    </row>
    <row r="682" spans="1:6" ht="15" x14ac:dyDescent="0.25">
      <c r="A682" s="5"/>
      <c r="B682" s="5"/>
      <c r="C682" s="5"/>
      <c r="D682" s="5"/>
      <c r="E682" s="5"/>
      <c r="F682" s="5"/>
    </row>
    <row r="683" spans="1:6" ht="15" x14ac:dyDescent="0.25">
      <c r="A683" s="5"/>
      <c r="B683" s="5"/>
      <c r="C683" s="5"/>
      <c r="D683" s="5"/>
      <c r="E683" s="5"/>
      <c r="F683" s="5"/>
    </row>
    <row r="684" spans="1:6" ht="15" x14ac:dyDescent="0.25">
      <c r="A684" s="5"/>
      <c r="B684" s="5"/>
      <c r="C684" s="5"/>
      <c r="D684" s="5"/>
      <c r="E684" s="5"/>
      <c r="F684" s="5"/>
    </row>
    <row r="685" spans="1:6" ht="15" x14ac:dyDescent="0.25">
      <c r="A685" s="5"/>
      <c r="B685" s="5"/>
      <c r="C685" s="5"/>
      <c r="D685" s="5"/>
      <c r="E685" s="5"/>
      <c r="F685" s="5"/>
    </row>
    <row r="686" spans="1:6" ht="15" x14ac:dyDescent="0.25">
      <c r="A686" s="5"/>
      <c r="B686" s="5"/>
      <c r="C686" s="5"/>
      <c r="D686" s="5"/>
      <c r="E686" s="5"/>
      <c r="F686" s="5"/>
    </row>
    <row r="687" spans="1:6" ht="15" x14ac:dyDescent="0.25">
      <c r="A687" s="5"/>
      <c r="B687" s="5"/>
      <c r="C687" s="5"/>
      <c r="D687" s="5"/>
      <c r="E687" s="5"/>
      <c r="F687" s="5"/>
    </row>
    <row r="688" spans="1:6" ht="15" x14ac:dyDescent="0.25">
      <c r="A688" s="5"/>
      <c r="B688" s="5"/>
      <c r="C688" s="5"/>
      <c r="D688" s="5"/>
      <c r="E688" s="5"/>
      <c r="F688" s="5"/>
    </row>
    <row r="689" spans="1:6" ht="15" x14ac:dyDescent="0.25">
      <c r="A689" s="5"/>
      <c r="B689" s="5"/>
      <c r="C689" s="5"/>
      <c r="D689" s="5"/>
      <c r="E689" s="5"/>
      <c r="F689" s="5"/>
    </row>
    <row r="690" spans="1:6" ht="15" x14ac:dyDescent="0.25">
      <c r="A690" s="5"/>
      <c r="B690" s="5"/>
      <c r="C690" s="5"/>
      <c r="D690" s="5"/>
      <c r="E690" s="5"/>
      <c r="F690" s="5"/>
    </row>
    <row r="691" spans="1:6" ht="15" x14ac:dyDescent="0.25">
      <c r="A691" s="5"/>
      <c r="B691" s="5"/>
      <c r="C691" s="5"/>
      <c r="D691" s="5"/>
      <c r="E691" s="5"/>
      <c r="F691" s="5"/>
    </row>
    <row r="692" spans="1:6" ht="15" x14ac:dyDescent="0.25">
      <c r="A692" s="5"/>
      <c r="B692" s="5"/>
      <c r="C692" s="5"/>
      <c r="D692" s="5"/>
      <c r="E692" s="5"/>
      <c r="F692" s="5"/>
    </row>
    <row r="693" spans="1:6" ht="15" x14ac:dyDescent="0.25">
      <c r="A693" s="5"/>
      <c r="B693" s="5"/>
      <c r="C693" s="5"/>
      <c r="D693" s="5"/>
      <c r="E693" s="5"/>
      <c r="F693" s="5"/>
    </row>
    <row r="694" spans="1:6" ht="15" x14ac:dyDescent="0.25">
      <c r="A694" s="5"/>
      <c r="B694" s="5"/>
      <c r="C694" s="5"/>
      <c r="D694" s="5"/>
      <c r="E694" s="5"/>
      <c r="F694" s="5"/>
    </row>
    <row r="695" spans="1:6" ht="15" x14ac:dyDescent="0.25">
      <c r="A695" s="5"/>
      <c r="B695" s="5"/>
      <c r="C695" s="5"/>
      <c r="D695" s="5"/>
      <c r="E695" s="5"/>
      <c r="F695" s="5"/>
    </row>
    <row r="696" spans="1:6" ht="15" x14ac:dyDescent="0.25">
      <c r="A696" s="5"/>
      <c r="B696" s="5"/>
      <c r="C696" s="5"/>
      <c r="D696" s="5"/>
      <c r="E696" s="5"/>
      <c r="F696" s="5"/>
    </row>
    <row r="697" spans="1:6" ht="15" x14ac:dyDescent="0.25">
      <c r="A697" s="5"/>
      <c r="B697" s="5"/>
      <c r="C697" s="5"/>
      <c r="D697" s="5"/>
      <c r="E697" s="5"/>
      <c r="F697" s="5"/>
    </row>
    <row r="698" spans="1:6" ht="15" x14ac:dyDescent="0.25">
      <c r="A698" s="5"/>
      <c r="B698" s="5"/>
      <c r="C698" s="5"/>
      <c r="D698" s="5"/>
      <c r="E698" s="5"/>
      <c r="F698" s="5"/>
    </row>
    <row r="699" spans="1:6" ht="15" x14ac:dyDescent="0.25">
      <c r="A699" s="5"/>
      <c r="B699" s="5"/>
      <c r="C699" s="5"/>
      <c r="D699" s="5"/>
      <c r="E699" s="5"/>
      <c r="F699" s="5"/>
    </row>
    <row r="700" spans="1:6" ht="15" x14ac:dyDescent="0.25">
      <c r="A700" s="5"/>
      <c r="B700" s="5"/>
      <c r="C700" s="5"/>
      <c r="D700" s="5"/>
      <c r="E700" s="5"/>
      <c r="F700" s="5"/>
    </row>
    <row r="701" spans="1:6" ht="15" x14ac:dyDescent="0.25">
      <c r="A701" s="5"/>
      <c r="B701" s="5"/>
      <c r="C701" s="5"/>
      <c r="D701" s="5"/>
      <c r="E701" s="5"/>
      <c r="F701" s="5"/>
    </row>
    <row r="702" spans="1:6" ht="15" x14ac:dyDescent="0.25">
      <c r="A702" s="5"/>
      <c r="B702" s="5"/>
      <c r="C702" s="5"/>
      <c r="D702" s="5"/>
      <c r="E702" s="5"/>
      <c r="F702" s="5"/>
    </row>
    <row r="703" spans="1:6" ht="15" x14ac:dyDescent="0.25">
      <c r="A703" s="5"/>
      <c r="B703" s="5"/>
      <c r="C703" s="5"/>
      <c r="D703" s="5"/>
      <c r="E703" s="5"/>
      <c r="F703" s="5"/>
    </row>
    <row r="704" spans="1:6" ht="15" x14ac:dyDescent="0.25">
      <c r="A704" s="5"/>
      <c r="B704" s="5"/>
      <c r="C704" s="5"/>
      <c r="D704" s="5"/>
      <c r="E704" s="5"/>
      <c r="F704" s="5"/>
    </row>
    <row r="705" spans="1:6" ht="15" x14ac:dyDescent="0.25">
      <c r="A705" s="5"/>
      <c r="B705" s="5"/>
      <c r="C705" s="5"/>
      <c r="D705" s="5"/>
      <c r="E705" s="5"/>
      <c r="F705" s="5"/>
    </row>
    <row r="706" spans="1:6" ht="15" x14ac:dyDescent="0.25">
      <c r="A706" s="5"/>
      <c r="B706" s="5"/>
      <c r="C706" s="5"/>
      <c r="D706" s="5"/>
      <c r="E706" s="5"/>
      <c r="F706" s="5"/>
    </row>
    <row r="707" spans="1:6" ht="15" x14ac:dyDescent="0.25">
      <c r="A707" s="5"/>
      <c r="B707" s="5"/>
      <c r="C707" s="5"/>
      <c r="D707" s="5"/>
      <c r="E707" s="5"/>
      <c r="F707" s="5"/>
    </row>
    <row r="708" spans="1:6" ht="15" x14ac:dyDescent="0.25">
      <c r="A708" s="5"/>
      <c r="B708" s="5"/>
      <c r="C708" s="5"/>
      <c r="D708" s="5"/>
      <c r="E708" s="5"/>
      <c r="F708" s="5"/>
    </row>
    <row r="709" spans="1:6" ht="15" x14ac:dyDescent="0.25">
      <c r="A709" s="5"/>
      <c r="B709" s="5"/>
      <c r="C709" s="5"/>
      <c r="D709" s="5"/>
      <c r="E709" s="5"/>
      <c r="F709" s="5"/>
    </row>
    <row r="710" spans="1:6" ht="15" x14ac:dyDescent="0.25">
      <c r="A710" s="5"/>
      <c r="B710" s="5"/>
      <c r="C710" s="5"/>
      <c r="D710" s="5"/>
      <c r="E710" s="5"/>
      <c r="F710" s="5"/>
    </row>
    <row r="711" spans="1:6" ht="15" x14ac:dyDescent="0.25">
      <c r="A711" s="5"/>
      <c r="B711" s="5"/>
      <c r="C711" s="5"/>
      <c r="D711" s="5"/>
      <c r="E711" s="5"/>
      <c r="F711" s="5"/>
    </row>
    <row r="712" spans="1:6" ht="15" x14ac:dyDescent="0.25">
      <c r="A712" s="5"/>
      <c r="B712" s="5"/>
      <c r="C712" s="5"/>
      <c r="D712" s="5"/>
      <c r="E712" s="5"/>
      <c r="F712" s="5"/>
    </row>
    <row r="713" spans="1:6" ht="15" x14ac:dyDescent="0.25">
      <c r="A713" s="5"/>
      <c r="B713" s="5"/>
      <c r="C713" s="5"/>
      <c r="D713" s="5"/>
      <c r="E713" s="5"/>
      <c r="F713" s="5"/>
    </row>
    <row r="714" spans="1:6" ht="15" x14ac:dyDescent="0.25">
      <c r="A714" s="5"/>
      <c r="B714" s="5"/>
      <c r="C714" s="5"/>
      <c r="D714" s="5"/>
      <c r="E714" s="5"/>
      <c r="F714" s="5"/>
    </row>
    <row r="715" spans="1:6" ht="15" x14ac:dyDescent="0.25">
      <c r="A715" s="5"/>
      <c r="B715" s="5"/>
      <c r="C715" s="5"/>
      <c r="D715" s="5"/>
      <c r="E715" s="5"/>
      <c r="F715" s="5"/>
    </row>
    <row r="716" spans="1:6" ht="15" x14ac:dyDescent="0.25">
      <c r="A716" s="5"/>
      <c r="B716" s="5"/>
      <c r="C716" s="5"/>
      <c r="D716" s="5"/>
      <c r="E716" s="5"/>
      <c r="F716" s="5"/>
    </row>
    <row r="717" spans="1:6" ht="15" x14ac:dyDescent="0.25">
      <c r="A717" s="5"/>
      <c r="B717" s="5"/>
      <c r="C717" s="5"/>
      <c r="D717" s="5"/>
      <c r="E717" s="5"/>
      <c r="F717" s="5"/>
    </row>
    <row r="718" spans="1:6" ht="15" x14ac:dyDescent="0.25">
      <c r="A718" s="5"/>
      <c r="B718" s="5"/>
      <c r="C718" s="5"/>
      <c r="D718" s="5"/>
      <c r="E718" s="5"/>
      <c r="F718" s="5"/>
    </row>
    <row r="719" spans="1:6" ht="15" x14ac:dyDescent="0.25">
      <c r="A719" s="5"/>
      <c r="B719" s="5"/>
      <c r="C719" s="5"/>
      <c r="D719" s="5"/>
      <c r="E719" s="5"/>
      <c r="F719" s="5"/>
    </row>
    <row r="720" spans="1:6" ht="15" x14ac:dyDescent="0.25">
      <c r="A720" s="5"/>
      <c r="B720" s="5"/>
      <c r="C720" s="5"/>
      <c r="D720" s="5"/>
      <c r="E720" s="5"/>
      <c r="F720" s="5"/>
    </row>
    <row r="721" spans="1:6" ht="15" x14ac:dyDescent="0.25">
      <c r="A721" s="5"/>
      <c r="B721" s="5"/>
      <c r="C721" s="5"/>
      <c r="D721" s="5"/>
      <c r="E721" s="5"/>
      <c r="F721" s="5"/>
    </row>
    <row r="722" spans="1:6" ht="15" x14ac:dyDescent="0.25">
      <c r="A722" s="5"/>
      <c r="B722" s="5"/>
      <c r="C722" s="5"/>
      <c r="D722" s="5"/>
      <c r="E722" s="5"/>
      <c r="F722" s="5"/>
    </row>
    <row r="723" spans="1:6" ht="15" x14ac:dyDescent="0.25">
      <c r="A723" s="5"/>
      <c r="B723" s="5"/>
      <c r="C723" s="5"/>
      <c r="D723" s="5"/>
      <c r="E723" s="5"/>
      <c r="F723" s="5"/>
    </row>
    <row r="724" spans="1:6" ht="15" x14ac:dyDescent="0.25">
      <c r="A724" s="5"/>
      <c r="B724" s="5"/>
      <c r="C724" s="5"/>
      <c r="D724" s="5"/>
      <c r="E724" s="5"/>
      <c r="F724" s="5"/>
    </row>
    <row r="725" spans="1:6" ht="15" x14ac:dyDescent="0.25">
      <c r="A725" s="5"/>
      <c r="B725" s="5"/>
      <c r="C725" s="5"/>
      <c r="D725" s="5"/>
      <c r="E725" s="5"/>
      <c r="F725" s="5"/>
    </row>
    <row r="726" spans="1:6" ht="15" x14ac:dyDescent="0.25">
      <c r="A726" s="5"/>
      <c r="B726" s="5"/>
      <c r="C726" s="5"/>
      <c r="D726" s="5"/>
      <c r="E726" s="5"/>
      <c r="F726" s="5"/>
    </row>
    <row r="727" spans="1:6" ht="15" x14ac:dyDescent="0.25">
      <c r="A727" s="5"/>
      <c r="B727" s="5"/>
      <c r="C727" s="5"/>
      <c r="D727" s="5"/>
      <c r="E727" s="5"/>
      <c r="F727" s="5"/>
    </row>
    <row r="728" spans="1:6" ht="15" x14ac:dyDescent="0.25">
      <c r="A728" s="5"/>
      <c r="B728" s="5"/>
      <c r="C728" s="5"/>
      <c r="D728" s="5"/>
      <c r="E728" s="5"/>
      <c r="F728" s="5"/>
    </row>
    <row r="729" spans="1:6" ht="15" x14ac:dyDescent="0.25">
      <c r="A729" s="5"/>
      <c r="B729" s="5"/>
      <c r="C729" s="5"/>
      <c r="D729" s="5"/>
      <c r="E729" s="5"/>
      <c r="F729" s="5"/>
    </row>
    <row r="730" spans="1:6" ht="15" x14ac:dyDescent="0.25">
      <c r="A730" s="5"/>
      <c r="B730" s="5"/>
      <c r="C730" s="5"/>
      <c r="D730" s="5"/>
      <c r="E730" s="5"/>
      <c r="F730" s="5"/>
    </row>
    <row r="731" spans="1:6" ht="15" x14ac:dyDescent="0.25">
      <c r="A731" s="5"/>
      <c r="B731" s="5"/>
      <c r="C731" s="5"/>
      <c r="D731" s="5"/>
      <c r="E731" s="5"/>
      <c r="F731" s="5"/>
    </row>
    <row r="732" spans="1:6" ht="15" x14ac:dyDescent="0.25">
      <c r="A732" s="5"/>
      <c r="B732" s="5"/>
      <c r="C732" s="5"/>
      <c r="D732" s="5"/>
      <c r="E732" s="5"/>
      <c r="F732" s="5"/>
    </row>
    <row r="733" spans="1:6" ht="15" x14ac:dyDescent="0.25">
      <c r="A733" s="5"/>
      <c r="B733" s="5"/>
      <c r="C733" s="5"/>
      <c r="D733" s="5"/>
      <c r="E733" s="5"/>
      <c r="F733" s="5"/>
    </row>
    <row r="734" spans="1:6" ht="15" x14ac:dyDescent="0.25">
      <c r="A734" s="5"/>
      <c r="B734" s="5"/>
      <c r="C734" s="5"/>
      <c r="D734" s="5"/>
      <c r="E734" s="5"/>
      <c r="F734" s="5"/>
    </row>
    <row r="735" spans="1:6" ht="15" x14ac:dyDescent="0.25">
      <c r="A735" s="5"/>
      <c r="B735" s="5"/>
      <c r="C735" s="5"/>
      <c r="D735" s="5"/>
      <c r="E735" s="5"/>
      <c r="F735" s="5"/>
    </row>
    <row r="736" spans="1:6" ht="15" x14ac:dyDescent="0.25">
      <c r="A736" s="5"/>
      <c r="B736" s="5"/>
      <c r="C736" s="5"/>
      <c r="D736" s="5"/>
      <c r="E736" s="5"/>
      <c r="F736" s="5"/>
    </row>
    <row r="737" spans="1:6" ht="15" x14ac:dyDescent="0.25">
      <c r="A737" s="5"/>
      <c r="B737" s="5"/>
      <c r="C737" s="5"/>
      <c r="D737" s="5"/>
      <c r="E737" s="5"/>
      <c r="F737" s="5"/>
    </row>
    <row r="738" spans="1:6" ht="15" x14ac:dyDescent="0.25">
      <c r="A738" s="5"/>
      <c r="B738" s="5"/>
      <c r="C738" s="5"/>
      <c r="D738" s="5"/>
      <c r="E738" s="5"/>
      <c r="F738" s="5"/>
    </row>
    <row r="739" spans="1:6" ht="15" x14ac:dyDescent="0.25">
      <c r="A739" s="5"/>
      <c r="B739" s="5"/>
      <c r="C739" s="5"/>
      <c r="D739" s="5"/>
      <c r="E739" s="5"/>
      <c r="F739" s="5"/>
    </row>
    <row r="740" spans="1:6" ht="15" x14ac:dyDescent="0.25">
      <c r="A740" s="5"/>
      <c r="B740" s="5"/>
      <c r="C740" s="5"/>
      <c r="D740" s="5"/>
      <c r="E740" s="5"/>
      <c r="F740" s="5"/>
    </row>
    <row r="741" spans="1:6" ht="15" x14ac:dyDescent="0.25">
      <c r="A741" s="5"/>
      <c r="B741" s="5"/>
      <c r="C741" s="5"/>
      <c r="D741" s="5"/>
      <c r="E741" s="5"/>
      <c r="F741" s="5"/>
    </row>
    <row r="742" spans="1:6" ht="15" x14ac:dyDescent="0.25">
      <c r="A742" s="5"/>
      <c r="B742" s="5"/>
      <c r="C742" s="5"/>
      <c r="D742" s="5"/>
      <c r="E742" s="5"/>
      <c r="F742" s="5"/>
    </row>
    <row r="743" spans="1:6" ht="15" x14ac:dyDescent="0.25">
      <c r="A743" s="5"/>
      <c r="B743" s="5"/>
      <c r="C743" s="5"/>
      <c r="D743" s="5"/>
      <c r="E743" s="5"/>
      <c r="F743" s="5"/>
    </row>
    <row r="744" spans="1:6" ht="15" x14ac:dyDescent="0.25">
      <c r="A744" s="5"/>
      <c r="B744" s="5"/>
      <c r="C744" s="5"/>
      <c r="D744" s="5"/>
      <c r="E744" s="5"/>
      <c r="F744" s="5"/>
    </row>
    <row r="745" spans="1:6" ht="15" x14ac:dyDescent="0.25">
      <c r="A745" s="5"/>
      <c r="B745" s="5"/>
      <c r="C745" s="5"/>
      <c r="D745" s="5"/>
      <c r="E745" s="5"/>
      <c r="F745" s="5"/>
    </row>
    <row r="746" spans="1:6" ht="15" x14ac:dyDescent="0.25">
      <c r="A746" s="5"/>
      <c r="B746" s="5"/>
      <c r="C746" s="5"/>
      <c r="D746" s="5"/>
      <c r="E746" s="5"/>
      <c r="F746" s="5"/>
    </row>
    <row r="747" spans="1:6" ht="15" x14ac:dyDescent="0.25">
      <c r="A747" s="5"/>
      <c r="B747" s="5"/>
      <c r="C747" s="5"/>
      <c r="D747" s="5"/>
      <c r="E747" s="5"/>
      <c r="F747" s="5"/>
    </row>
    <row r="748" spans="1:6" ht="15" x14ac:dyDescent="0.25">
      <c r="A748" s="5"/>
      <c r="B748" s="5"/>
      <c r="C748" s="5"/>
      <c r="D748" s="5"/>
      <c r="E748" s="5"/>
      <c r="F748" s="5"/>
    </row>
    <row r="749" spans="1:6" ht="15" x14ac:dyDescent="0.25">
      <c r="A749" s="5"/>
      <c r="B749" s="5"/>
      <c r="C749" s="5"/>
      <c r="D749" s="5"/>
      <c r="E749" s="5"/>
      <c r="F749" s="5"/>
    </row>
    <row r="750" spans="1:6" ht="15" x14ac:dyDescent="0.25">
      <c r="A750" s="5"/>
      <c r="B750" s="5"/>
      <c r="C750" s="5"/>
      <c r="D750" s="5"/>
      <c r="E750" s="5"/>
      <c r="F750" s="5"/>
    </row>
    <row r="751" spans="1:6" ht="15" x14ac:dyDescent="0.25">
      <c r="A751" s="5"/>
      <c r="B751" s="5"/>
      <c r="C751" s="5"/>
      <c r="D751" s="5"/>
      <c r="E751" s="5"/>
      <c r="F751" s="5"/>
    </row>
    <row r="752" spans="1:6" ht="15" x14ac:dyDescent="0.25">
      <c r="A752" s="5"/>
      <c r="B752" s="5"/>
      <c r="C752" s="5"/>
      <c r="D752" s="5"/>
      <c r="E752" s="5"/>
      <c r="F752" s="5"/>
    </row>
    <row r="753" spans="1:6" ht="15" x14ac:dyDescent="0.25">
      <c r="A753" s="5"/>
      <c r="B753" s="5"/>
      <c r="C753" s="5"/>
      <c r="D753" s="5"/>
      <c r="E753" s="5"/>
      <c r="F753" s="5"/>
    </row>
    <row r="754" spans="1:6" ht="15" x14ac:dyDescent="0.25">
      <c r="A754" s="5"/>
      <c r="B754" s="5"/>
      <c r="C754" s="5"/>
      <c r="D754" s="5"/>
      <c r="E754" s="5"/>
      <c r="F754" s="5"/>
    </row>
    <row r="755" spans="1:6" ht="15" x14ac:dyDescent="0.25">
      <c r="A755" s="5"/>
      <c r="B755" s="5"/>
      <c r="C755" s="5"/>
      <c r="D755" s="5"/>
      <c r="E755" s="5"/>
      <c r="F755" s="5"/>
    </row>
    <row r="756" spans="1:6" ht="15" x14ac:dyDescent="0.25">
      <c r="A756" s="5"/>
      <c r="B756" s="5"/>
      <c r="C756" s="5"/>
      <c r="D756" s="5"/>
      <c r="E756" s="5"/>
      <c r="F756" s="5"/>
    </row>
    <row r="757" spans="1:6" ht="15" x14ac:dyDescent="0.25">
      <c r="A757" s="5"/>
      <c r="B757" s="5"/>
      <c r="C757" s="5"/>
      <c r="D757" s="5"/>
      <c r="E757" s="5"/>
      <c r="F757" s="5"/>
    </row>
    <row r="758" spans="1:6" ht="15" x14ac:dyDescent="0.25">
      <c r="A758" s="5"/>
      <c r="B758" s="5"/>
      <c r="C758" s="5"/>
      <c r="D758" s="5"/>
      <c r="E758" s="5"/>
      <c r="F758" s="5"/>
    </row>
    <row r="759" spans="1:6" ht="15" x14ac:dyDescent="0.25">
      <c r="A759" s="5"/>
      <c r="B759" s="5"/>
      <c r="C759" s="5"/>
      <c r="D759" s="5"/>
      <c r="E759" s="5"/>
      <c r="F759" s="5"/>
    </row>
    <row r="760" spans="1:6" ht="15" x14ac:dyDescent="0.25">
      <c r="A760" s="5"/>
      <c r="B760" s="5"/>
      <c r="C760" s="5"/>
      <c r="D760" s="5"/>
      <c r="E760" s="5"/>
      <c r="F760" s="5"/>
    </row>
    <row r="761" spans="1:6" ht="15" x14ac:dyDescent="0.25">
      <c r="A761" s="5"/>
      <c r="B761" s="5"/>
      <c r="C761" s="5"/>
      <c r="D761" s="5"/>
      <c r="E761" s="5"/>
      <c r="F761" s="5"/>
    </row>
    <row r="762" spans="1:6" ht="15" x14ac:dyDescent="0.25">
      <c r="A762" s="5"/>
      <c r="B762" s="5"/>
      <c r="C762" s="5"/>
      <c r="D762" s="5"/>
      <c r="E762" s="5"/>
      <c r="F762" s="5"/>
    </row>
    <row r="763" spans="1:6" ht="15" x14ac:dyDescent="0.25">
      <c r="A763" s="5"/>
      <c r="B763" s="5"/>
      <c r="C763" s="5"/>
      <c r="D763" s="5"/>
      <c r="E763" s="5"/>
      <c r="F763" s="5"/>
    </row>
    <row r="764" spans="1:6" ht="15" x14ac:dyDescent="0.25">
      <c r="A764" s="5"/>
      <c r="B764" s="5"/>
      <c r="C764" s="5"/>
      <c r="D764" s="5"/>
      <c r="E764" s="5"/>
      <c r="F764" s="5"/>
    </row>
    <row r="765" spans="1:6" ht="15" x14ac:dyDescent="0.25">
      <c r="A765" s="5"/>
      <c r="B765" s="5"/>
      <c r="C765" s="5"/>
      <c r="D765" s="5"/>
      <c r="E765" s="5"/>
      <c r="F765" s="5"/>
    </row>
    <row r="766" spans="1:6" ht="15" x14ac:dyDescent="0.25">
      <c r="A766" s="5"/>
      <c r="B766" s="5"/>
      <c r="C766" s="5"/>
      <c r="D766" s="5"/>
      <c r="E766" s="5"/>
      <c r="F766" s="5"/>
    </row>
    <row r="767" spans="1:6" ht="15" x14ac:dyDescent="0.25">
      <c r="A767" s="5"/>
      <c r="B767" s="5"/>
      <c r="C767" s="5"/>
      <c r="D767" s="5"/>
      <c r="E767" s="5"/>
      <c r="F767" s="5"/>
    </row>
    <row r="768" spans="1:6" ht="15" x14ac:dyDescent="0.25">
      <c r="A768" s="5"/>
      <c r="B768" s="5"/>
      <c r="C768" s="5"/>
      <c r="D768" s="5"/>
      <c r="E768" s="5"/>
      <c r="F768" s="5"/>
    </row>
    <row r="769" spans="1:6" ht="15" x14ac:dyDescent="0.25">
      <c r="A769" s="5"/>
      <c r="B769" s="5"/>
      <c r="C769" s="5"/>
      <c r="D769" s="5"/>
      <c r="E769" s="5"/>
      <c r="F769" s="5"/>
    </row>
    <row r="770" spans="1:6" ht="15" x14ac:dyDescent="0.25">
      <c r="A770" s="5"/>
      <c r="B770" s="5"/>
      <c r="C770" s="5"/>
      <c r="D770" s="5"/>
      <c r="E770" s="5"/>
      <c r="F770" s="5"/>
    </row>
    <row r="771" spans="1:6" ht="15" x14ac:dyDescent="0.25">
      <c r="A771" s="5"/>
      <c r="B771" s="5"/>
      <c r="C771" s="5"/>
      <c r="D771" s="5"/>
      <c r="E771" s="5"/>
      <c r="F771" s="5"/>
    </row>
    <row r="772" spans="1:6" ht="15" x14ac:dyDescent="0.25">
      <c r="A772" s="5"/>
      <c r="B772" s="5"/>
      <c r="C772" s="5"/>
      <c r="D772" s="5"/>
      <c r="E772" s="5"/>
      <c r="F772" s="5"/>
    </row>
    <row r="773" spans="1:6" ht="15" x14ac:dyDescent="0.25">
      <c r="A773" s="5"/>
      <c r="B773" s="5"/>
      <c r="C773" s="5"/>
      <c r="D773" s="5"/>
      <c r="E773" s="5"/>
      <c r="F773" s="5"/>
    </row>
    <row r="774" spans="1:6" ht="15" x14ac:dyDescent="0.25">
      <c r="A774" s="5"/>
      <c r="B774" s="5"/>
      <c r="C774" s="5"/>
      <c r="D774" s="5"/>
      <c r="E774" s="5"/>
      <c r="F774" s="5"/>
    </row>
    <row r="775" spans="1:6" ht="15" x14ac:dyDescent="0.25">
      <c r="A775" s="5"/>
      <c r="B775" s="5"/>
      <c r="C775" s="5"/>
      <c r="D775" s="5"/>
      <c r="E775" s="5"/>
      <c r="F775" s="5"/>
    </row>
    <row r="776" spans="1:6" ht="15" x14ac:dyDescent="0.25">
      <c r="A776" s="5"/>
      <c r="B776" s="5"/>
      <c r="C776" s="5"/>
      <c r="D776" s="5"/>
      <c r="E776" s="5"/>
      <c r="F776" s="5"/>
    </row>
    <row r="777" spans="1:6" ht="15" x14ac:dyDescent="0.25">
      <c r="A777" s="5"/>
      <c r="B777" s="5"/>
      <c r="C777" s="5"/>
      <c r="D777" s="5"/>
      <c r="E777" s="5"/>
      <c r="F777" s="5"/>
    </row>
    <row r="778" spans="1:6" ht="15" x14ac:dyDescent="0.25">
      <c r="A778" s="5"/>
      <c r="B778" s="5"/>
      <c r="C778" s="5"/>
      <c r="D778" s="5"/>
      <c r="E778" s="5"/>
      <c r="F778" s="5"/>
    </row>
    <row r="779" spans="1:6" ht="15" x14ac:dyDescent="0.25">
      <c r="A779" s="5"/>
      <c r="B779" s="5"/>
      <c r="C779" s="5"/>
      <c r="D779" s="5"/>
      <c r="E779" s="5"/>
      <c r="F779" s="5"/>
    </row>
    <row r="780" spans="1:6" ht="15" x14ac:dyDescent="0.25">
      <c r="A780" s="5"/>
      <c r="B780" s="5"/>
      <c r="C780" s="5"/>
      <c r="D780" s="5"/>
      <c r="E780" s="5"/>
      <c r="F780" s="5"/>
    </row>
    <row r="781" spans="1:6" ht="15" x14ac:dyDescent="0.25">
      <c r="A781" s="5"/>
      <c r="B781" s="5"/>
      <c r="C781" s="5"/>
      <c r="D781" s="5"/>
      <c r="E781" s="5"/>
      <c r="F781" s="5"/>
    </row>
    <row r="782" spans="1:6" ht="15" x14ac:dyDescent="0.25">
      <c r="A782" s="5"/>
      <c r="B782" s="5"/>
      <c r="C782" s="5"/>
      <c r="D782" s="5"/>
      <c r="E782" s="5"/>
      <c r="F782" s="5"/>
    </row>
    <row r="783" spans="1:6" ht="15" x14ac:dyDescent="0.25">
      <c r="A783" s="5"/>
      <c r="B783" s="5"/>
      <c r="C783" s="5"/>
      <c r="D783" s="5"/>
      <c r="E783" s="5"/>
      <c r="F783" s="5"/>
    </row>
    <row r="784" spans="1:6" ht="15" x14ac:dyDescent="0.25">
      <c r="A784" s="5"/>
      <c r="B784" s="5"/>
      <c r="C784" s="5"/>
      <c r="D784" s="5"/>
      <c r="E784" s="5"/>
      <c r="F784" s="5"/>
    </row>
    <row r="785" spans="1:6" ht="15" x14ac:dyDescent="0.25">
      <c r="A785" s="5"/>
      <c r="B785" s="5"/>
      <c r="C785" s="5"/>
      <c r="D785" s="5"/>
      <c r="E785" s="5"/>
      <c r="F785" s="5"/>
    </row>
    <row r="786" spans="1:6" ht="15" x14ac:dyDescent="0.25">
      <c r="A786" s="5"/>
      <c r="B786" s="5"/>
      <c r="C786" s="5"/>
      <c r="D786" s="5"/>
      <c r="E786" s="5"/>
      <c r="F786" s="5"/>
    </row>
    <row r="787" spans="1:6" ht="15" x14ac:dyDescent="0.25">
      <c r="A787" s="5"/>
      <c r="B787" s="5"/>
      <c r="C787" s="5"/>
      <c r="D787" s="5"/>
      <c r="E787" s="5"/>
      <c r="F787" s="5"/>
    </row>
    <row r="788" spans="1:6" ht="15" x14ac:dyDescent="0.25">
      <c r="A788" s="5"/>
      <c r="B788" s="5"/>
      <c r="C788" s="5"/>
      <c r="D788" s="5"/>
      <c r="E788" s="5"/>
      <c r="F788" s="5"/>
    </row>
    <row r="789" spans="1:6" ht="15" x14ac:dyDescent="0.25">
      <c r="A789" s="5"/>
      <c r="B789" s="5"/>
      <c r="C789" s="5"/>
      <c r="D789" s="5"/>
      <c r="E789" s="5"/>
      <c r="F789" s="5"/>
    </row>
    <row r="790" spans="1:6" ht="15" x14ac:dyDescent="0.25">
      <c r="A790" s="5"/>
      <c r="B790" s="5"/>
      <c r="C790" s="5"/>
      <c r="D790" s="5"/>
      <c r="E790" s="5"/>
      <c r="F790" s="5"/>
    </row>
    <row r="791" spans="1:6" ht="15" x14ac:dyDescent="0.25">
      <c r="A791" s="5"/>
      <c r="B791" s="5"/>
      <c r="C791" s="5"/>
      <c r="D791" s="5"/>
      <c r="E791" s="5"/>
      <c r="F791" s="5"/>
    </row>
    <row r="792" spans="1:6" ht="15" x14ac:dyDescent="0.25">
      <c r="A792" s="5"/>
      <c r="B792" s="5"/>
      <c r="C792" s="5"/>
      <c r="D792" s="5"/>
      <c r="E792" s="5"/>
      <c r="F792" s="5"/>
    </row>
    <row r="793" spans="1:6" ht="15" x14ac:dyDescent="0.25">
      <c r="A793" s="5"/>
      <c r="B793" s="5"/>
      <c r="C793" s="5"/>
      <c r="D793" s="5"/>
      <c r="E793" s="5"/>
      <c r="F793" s="5"/>
    </row>
    <row r="794" spans="1:6" ht="15" x14ac:dyDescent="0.25">
      <c r="A794" s="5"/>
      <c r="B794" s="5"/>
      <c r="C794" s="5"/>
      <c r="D794" s="5"/>
      <c r="E794" s="5"/>
      <c r="F794" s="5"/>
    </row>
    <row r="795" spans="1:6" ht="15" x14ac:dyDescent="0.25">
      <c r="A795" s="5"/>
      <c r="B795" s="5"/>
      <c r="C795" s="5"/>
      <c r="D795" s="5"/>
      <c r="E795" s="5"/>
      <c r="F795" s="5"/>
    </row>
    <row r="796" spans="1:6" ht="15" x14ac:dyDescent="0.25">
      <c r="A796" s="5"/>
      <c r="B796" s="5"/>
      <c r="C796" s="5"/>
      <c r="D796" s="5"/>
      <c r="E796" s="5"/>
      <c r="F796" s="5"/>
    </row>
    <row r="797" spans="1:6" ht="15" x14ac:dyDescent="0.25">
      <c r="A797" s="5"/>
      <c r="B797" s="5"/>
      <c r="C797" s="5"/>
      <c r="D797" s="5"/>
      <c r="E797" s="5"/>
      <c r="F797" s="5"/>
    </row>
    <row r="798" spans="1:6" ht="15" x14ac:dyDescent="0.25">
      <c r="A798" s="5"/>
      <c r="B798" s="5"/>
      <c r="C798" s="5"/>
      <c r="D798" s="5"/>
      <c r="E798" s="5"/>
      <c r="F798" s="5"/>
    </row>
    <row r="799" spans="1:6" ht="15" x14ac:dyDescent="0.25">
      <c r="A799" s="5"/>
      <c r="B799" s="5"/>
      <c r="C799" s="5"/>
      <c r="D799" s="5"/>
      <c r="E799" s="5"/>
      <c r="F799" s="5"/>
    </row>
    <row r="800" spans="1:6" ht="15" x14ac:dyDescent="0.25">
      <c r="A800" s="5"/>
      <c r="B800" s="5"/>
      <c r="C800" s="5"/>
      <c r="D800" s="5"/>
      <c r="E800" s="5"/>
      <c r="F800" s="5"/>
    </row>
    <row r="801" spans="1:6" ht="15" x14ac:dyDescent="0.25">
      <c r="A801" s="5"/>
      <c r="B801" s="5"/>
      <c r="C801" s="5"/>
      <c r="D801" s="5"/>
      <c r="E801" s="5"/>
      <c r="F801" s="5"/>
    </row>
    <row r="802" spans="1:6" ht="15" x14ac:dyDescent="0.25">
      <c r="A802" s="5"/>
      <c r="B802" s="5"/>
      <c r="C802" s="5"/>
      <c r="D802" s="5"/>
      <c r="E802" s="5"/>
      <c r="F802" s="5"/>
    </row>
    <row r="803" spans="1:6" ht="15" x14ac:dyDescent="0.25">
      <c r="A803" s="5"/>
      <c r="B803" s="5"/>
      <c r="C803" s="5"/>
      <c r="D803" s="5"/>
      <c r="E803" s="5"/>
      <c r="F803" s="5"/>
    </row>
    <row r="804" spans="1:6" ht="15" x14ac:dyDescent="0.25">
      <c r="A804" s="5"/>
      <c r="B804" s="5"/>
      <c r="C804" s="5"/>
      <c r="D804" s="5"/>
      <c r="E804" s="5"/>
      <c r="F804" s="5"/>
    </row>
    <row r="805" spans="1:6" ht="15" x14ac:dyDescent="0.25">
      <c r="A805" s="5"/>
      <c r="B805" s="5"/>
      <c r="C805" s="5"/>
      <c r="D805" s="5"/>
      <c r="E805" s="5"/>
      <c r="F805" s="5"/>
    </row>
    <row r="806" spans="1:6" ht="15" x14ac:dyDescent="0.25">
      <c r="A806" s="5"/>
      <c r="B806" s="5"/>
      <c r="C806" s="5"/>
      <c r="D806" s="5"/>
      <c r="E806" s="5"/>
      <c r="F806" s="5"/>
    </row>
    <row r="807" spans="1:6" ht="15" x14ac:dyDescent="0.25">
      <c r="A807" s="5"/>
      <c r="B807" s="5"/>
      <c r="C807" s="5"/>
      <c r="D807" s="5"/>
      <c r="E807" s="5"/>
      <c r="F807" s="5"/>
    </row>
    <row r="808" spans="1:6" ht="15" x14ac:dyDescent="0.25">
      <c r="A808" s="5"/>
      <c r="B808" s="5"/>
      <c r="C808" s="5"/>
      <c r="D808" s="5"/>
      <c r="E808" s="5"/>
      <c r="F808" s="5"/>
    </row>
    <row r="809" spans="1:6" ht="15" x14ac:dyDescent="0.25">
      <c r="A809" s="5"/>
      <c r="B809" s="5"/>
      <c r="C809" s="5"/>
      <c r="D809" s="5"/>
      <c r="E809" s="5"/>
      <c r="F809" s="5"/>
    </row>
    <row r="810" spans="1:6" ht="15" x14ac:dyDescent="0.25">
      <c r="A810" s="5"/>
      <c r="B810" s="5"/>
      <c r="C810" s="5"/>
      <c r="D810" s="5"/>
      <c r="E810" s="5"/>
      <c r="F810" s="5"/>
    </row>
    <row r="811" spans="1:6" ht="15" x14ac:dyDescent="0.25">
      <c r="A811" s="5"/>
      <c r="B811" s="5"/>
      <c r="C811" s="5"/>
      <c r="D811" s="5"/>
      <c r="E811" s="5"/>
      <c r="F811" s="5"/>
    </row>
    <row r="812" spans="1:6" ht="15" x14ac:dyDescent="0.25">
      <c r="A812" s="5"/>
      <c r="B812" s="5"/>
      <c r="C812" s="5"/>
      <c r="D812" s="5"/>
      <c r="E812" s="5"/>
      <c r="F812" s="5"/>
    </row>
    <row r="813" spans="1:6" ht="15" x14ac:dyDescent="0.25">
      <c r="A813" s="5"/>
      <c r="B813" s="5"/>
      <c r="C813" s="5"/>
      <c r="D813" s="5"/>
      <c r="E813" s="5"/>
      <c r="F813" s="5"/>
    </row>
    <row r="814" spans="1:6" ht="15" x14ac:dyDescent="0.25">
      <c r="A814" s="5"/>
      <c r="B814" s="5"/>
      <c r="C814" s="5"/>
      <c r="D814" s="5"/>
      <c r="E814" s="5"/>
      <c r="F814" s="5"/>
    </row>
    <row r="815" spans="1:6" ht="15" x14ac:dyDescent="0.25">
      <c r="A815" s="5"/>
      <c r="B815" s="5"/>
      <c r="C815" s="5"/>
      <c r="D815" s="5"/>
      <c r="E815" s="5"/>
      <c r="F815" s="5"/>
    </row>
    <row r="816" spans="1:6" ht="15" x14ac:dyDescent="0.25">
      <c r="A816" s="5"/>
      <c r="B816" s="5"/>
      <c r="C816" s="5"/>
      <c r="D816" s="5"/>
      <c r="E816" s="5"/>
      <c r="F816" s="5"/>
    </row>
    <row r="817" spans="1:6" ht="15" x14ac:dyDescent="0.25">
      <c r="A817" s="5"/>
      <c r="B817" s="5"/>
      <c r="C817" s="5"/>
      <c r="D817" s="5"/>
      <c r="E817" s="5"/>
      <c r="F817" s="5"/>
    </row>
    <row r="818" spans="1:6" ht="15" x14ac:dyDescent="0.25">
      <c r="A818" s="5"/>
      <c r="B818" s="5"/>
      <c r="C818" s="5"/>
      <c r="D818" s="5"/>
      <c r="E818" s="5"/>
      <c r="F818" s="5"/>
    </row>
    <row r="819" spans="1:6" ht="15" x14ac:dyDescent="0.25">
      <c r="A819" s="5"/>
      <c r="B819" s="5"/>
      <c r="C819" s="5"/>
      <c r="D819" s="5"/>
      <c r="E819" s="5"/>
      <c r="F819" s="5"/>
    </row>
    <row r="820" spans="1:6" ht="15" x14ac:dyDescent="0.25">
      <c r="A820" s="5"/>
      <c r="B820" s="5"/>
      <c r="C820" s="5"/>
      <c r="D820" s="5"/>
      <c r="E820" s="5"/>
      <c r="F820" s="5"/>
    </row>
    <row r="821" spans="1:6" ht="15" x14ac:dyDescent="0.25">
      <c r="A821" s="5"/>
      <c r="B821" s="5"/>
      <c r="C821" s="5"/>
      <c r="D821" s="5"/>
      <c r="E821" s="5"/>
      <c r="F821" s="5"/>
    </row>
    <row r="822" spans="1:6" ht="15" x14ac:dyDescent="0.25">
      <c r="A822" s="5"/>
      <c r="B822" s="5"/>
      <c r="C822" s="5"/>
      <c r="D822" s="5"/>
      <c r="E822" s="5"/>
      <c r="F822" s="5"/>
    </row>
    <row r="823" spans="1:6" ht="15" x14ac:dyDescent="0.25">
      <c r="A823" s="5"/>
      <c r="B823" s="5"/>
      <c r="C823" s="5"/>
      <c r="D823" s="5"/>
      <c r="E823" s="5"/>
      <c r="F823" s="5"/>
    </row>
    <row r="824" spans="1:6" ht="15" x14ac:dyDescent="0.25">
      <c r="A824" s="5"/>
      <c r="B824" s="5"/>
      <c r="C824" s="5"/>
      <c r="D824" s="5"/>
      <c r="E824" s="5"/>
      <c r="F824" s="5"/>
    </row>
    <row r="825" spans="1:6" ht="15" x14ac:dyDescent="0.25">
      <c r="A825" s="5"/>
      <c r="B825" s="5"/>
      <c r="C825" s="5"/>
      <c r="D825" s="5"/>
      <c r="E825" s="5"/>
      <c r="F825" s="5"/>
    </row>
    <row r="826" spans="1:6" ht="15" x14ac:dyDescent="0.25">
      <c r="A826" s="5"/>
      <c r="B826" s="5"/>
      <c r="C826" s="5"/>
      <c r="D826" s="5"/>
      <c r="E826" s="5"/>
      <c r="F826" s="5"/>
    </row>
    <row r="827" spans="1:6" ht="15" x14ac:dyDescent="0.25">
      <c r="A827" s="5"/>
      <c r="B827" s="5"/>
      <c r="C827" s="5"/>
      <c r="D827" s="5"/>
      <c r="E827" s="5"/>
      <c r="F827" s="5"/>
    </row>
    <row r="828" spans="1:6" ht="15" x14ac:dyDescent="0.25">
      <c r="A828" s="5"/>
      <c r="B828" s="5"/>
      <c r="C828" s="5"/>
      <c r="D828" s="5"/>
      <c r="E828" s="5"/>
      <c r="F828" s="5"/>
    </row>
    <row r="829" spans="1:6" ht="15" x14ac:dyDescent="0.25">
      <c r="A829" s="5"/>
      <c r="B829" s="5"/>
      <c r="C829" s="5"/>
      <c r="D829" s="5"/>
      <c r="E829" s="5"/>
      <c r="F829" s="5"/>
    </row>
    <row r="830" spans="1:6" ht="15" x14ac:dyDescent="0.25">
      <c r="A830" s="5"/>
      <c r="B830" s="5"/>
      <c r="C830" s="5"/>
      <c r="D830" s="5"/>
      <c r="E830" s="5"/>
      <c r="F830" s="5"/>
    </row>
    <row r="831" spans="1:6" ht="15" x14ac:dyDescent="0.25">
      <c r="A831" s="5"/>
      <c r="B831" s="5"/>
      <c r="C831" s="5"/>
      <c r="D831" s="5"/>
      <c r="E831" s="5"/>
      <c r="F831" s="5"/>
    </row>
    <row r="832" spans="1:6" ht="15" x14ac:dyDescent="0.25">
      <c r="A832" s="5"/>
      <c r="B832" s="5"/>
      <c r="C832" s="5"/>
      <c r="D832" s="5"/>
      <c r="E832" s="5"/>
      <c r="F832" s="5"/>
    </row>
    <row r="833" spans="1:6" ht="15" x14ac:dyDescent="0.25">
      <c r="A833" s="5"/>
      <c r="B833" s="5"/>
      <c r="C833" s="5"/>
      <c r="D833" s="5"/>
      <c r="E833" s="5"/>
      <c r="F833" s="5"/>
    </row>
    <row r="834" spans="1:6" ht="15" x14ac:dyDescent="0.25">
      <c r="A834" s="5"/>
      <c r="B834" s="5"/>
      <c r="C834" s="5"/>
      <c r="D834" s="5"/>
      <c r="E834" s="5"/>
      <c r="F834" s="5"/>
    </row>
    <row r="835" spans="1:6" ht="15" x14ac:dyDescent="0.25">
      <c r="A835" s="5"/>
      <c r="B835" s="5"/>
      <c r="C835" s="5"/>
      <c r="D835" s="5"/>
      <c r="E835" s="5"/>
      <c r="F835" s="5"/>
    </row>
    <row r="836" spans="1:6" ht="15" x14ac:dyDescent="0.25">
      <c r="A836" s="5"/>
      <c r="B836" s="5"/>
      <c r="C836" s="5"/>
      <c r="D836" s="5"/>
      <c r="E836" s="5"/>
      <c r="F836" s="5"/>
    </row>
    <row r="837" spans="1:6" ht="15" x14ac:dyDescent="0.25">
      <c r="A837" s="5"/>
      <c r="B837" s="5"/>
      <c r="C837" s="5"/>
      <c r="D837" s="5"/>
      <c r="E837" s="5"/>
      <c r="F837" s="5"/>
    </row>
    <row r="838" spans="1:6" ht="15" x14ac:dyDescent="0.25">
      <c r="A838" s="5"/>
      <c r="B838" s="5"/>
      <c r="C838" s="5"/>
      <c r="D838" s="5"/>
      <c r="E838" s="5"/>
      <c r="F838" s="5"/>
    </row>
    <row r="839" spans="1:6" ht="15" x14ac:dyDescent="0.25">
      <c r="A839" s="5"/>
      <c r="B839" s="5"/>
      <c r="C839" s="5"/>
      <c r="D839" s="5"/>
      <c r="E839" s="5"/>
      <c r="F839" s="5"/>
    </row>
    <row r="840" spans="1:6" ht="15" x14ac:dyDescent="0.25">
      <c r="A840" s="5"/>
      <c r="B840" s="5"/>
      <c r="C840" s="5"/>
      <c r="D840" s="5"/>
      <c r="E840" s="5"/>
      <c r="F840" s="5"/>
    </row>
    <row r="841" spans="1:6" ht="15" x14ac:dyDescent="0.25">
      <c r="A841" s="5"/>
      <c r="B841" s="5"/>
      <c r="C841" s="5"/>
      <c r="D841" s="5"/>
      <c r="E841" s="5"/>
      <c r="F841" s="5"/>
    </row>
    <row r="842" spans="1:6" ht="15" x14ac:dyDescent="0.25">
      <c r="A842" s="5"/>
      <c r="B842" s="5"/>
      <c r="C842" s="5"/>
      <c r="D842" s="5"/>
      <c r="E842" s="5"/>
      <c r="F842" s="5"/>
    </row>
    <row r="843" spans="1:6" ht="15" x14ac:dyDescent="0.25">
      <c r="A843" s="5"/>
      <c r="B843" s="5"/>
      <c r="C843" s="5"/>
      <c r="D843" s="5"/>
      <c r="E843" s="5"/>
      <c r="F843" s="5"/>
    </row>
    <row r="844" spans="1:6" ht="15" x14ac:dyDescent="0.25">
      <c r="A844" s="5"/>
      <c r="B844" s="5"/>
      <c r="C844" s="5"/>
      <c r="D844" s="5"/>
      <c r="E844" s="5"/>
      <c r="F844" s="5"/>
    </row>
    <row r="845" spans="1:6" ht="15" x14ac:dyDescent="0.25">
      <c r="A845" s="5"/>
      <c r="B845" s="5"/>
      <c r="C845" s="5"/>
      <c r="D845" s="5"/>
      <c r="E845" s="5"/>
      <c r="F845" s="5"/>
    </row>
    <row r="846" spans="1:6" ht="15" x14ac:dyDescent="0.25">
      <c r="A846" s="5"/>
      <c r="B846" s="5"/>
      <c r="C846" s="5"/>
      <c r="D846" s="5"/>
      <c r="E846" s="5"/>
      <c r="F846" s="5"/>
    </row>
    <row r="847" spans="1:6" ht="15" x14ac:dyDescent="0.25">
      <c r="A847" s="5"/>
      <c r="B847" s="5"/>
      <c r="C847" s="5"/>
      <c r="D847" s="5"/>
      <c r="E847" s="5"/>
      <c r="F847" s="5"/>
    </row>
    <row r="848" spans="1:6" ht="15" x14ac:dyDescent="0.25">
      <c r="A848" s="5"/>
      <c r="B848" s="5"/>
      <c r="C848" s="5"/>
      <c r="D848" s="5"/>
      <c r="E848" s="5"/>
      <c r="F848" s="5"/>
    </row>
    <row r="849" spans="1:6" ht="15" x14ac:dyDescent="0.25">
      <c r="A849" s="5"/>
      <c r="B849" s="5"/>
      <c r="C849" s="5"/>
      <c r="D849" s="5"/>
      <c r="E849" s="5"/>
      <c r="F849" s="5"/>
    </row>
    <row r="850" spans="1:6" ht="15" x14ac:dyDescent="0.25">
      <c r="A850" s="5"/>
      <c r="B850" s="5"/>
      <c r="C850" s="5"/>
      <c r="D850" s="5"/>
      <c r="E850" s="5"/>
      <c r="F850" s="5"/>
    </row>
    <row r="851" spans="1:6" ht="15" x14ac:dyDescent="0.25">
      <c r="A851" s="5"/>
      <c r="B851" s="5"/>
      <c r="C851" s="5"/>
      <c r="D851" s="5"/>
      <c r="E851" s="5"/>
      <c r="F851" s="5"/>
    </row>
    <row r="852" spans="1:6" ht="15" x14ac:dyDescent="0.25">
      <c r="A852" s="5"/>
      <c r="B852" s="5"/>
      <c r="C852" s="5"/>
      <c r="D852" s="5"/>
      <c r="E852" s="5"/>
      <c r="F852" s="5"/>
    </row>
    <row r="853" spans="1:6" ht="15" x14ac:dyDescent="0.25">
      <c r="A853" s="5"/>
      <c r="B853" s="5"/>
      <c r="C853" s="5"/>
      <c r="D853" s="5"/>
      <c r="E853" s="5"/>
      <c r="F853" s="5"/>
    </row>
    <row r="854" spans="1:6" ht="15" x14ac:dyDescent="0.25">
      <c r="A854" s="5"/>
      <c r="B854" s="5"/>
      <c r="C854" s="5"/>
      <c r="D854" s="5"/>
      <c r="E854" s="5"/>
      <c r="F854" s="5"/>
    </row>
    <row r="855" spans="1:6" ht="15" x14ac:dyDescent="0.25">
      <c r="A855" s="5"/>
      <c r="B855" s="5"/>
      <c r="C855" s="5"/>
      <c r="D855" s="5"/>
      <c r="E855" s="5"/>
      <c r="F855" s="5"/>
    </row>
    <row r="856" spans="1:6" ht="15" x14ac:dyDescent="0.25">
      <c r="A856" s="5"/>
      <c r="B856" s="5"/>
      <c r="C856" s="5"/>
      <c r="D856" s="5"/>
      <c r="E856" s="5"/>
      <c r="F856" s="5"/>
    </row>
    <row r="857" spans="1:6" ht="15" x14ac:dyDescent="0.25">
      <c r="A857" s="5"/>
      <c r="B857" s="5"/>
      <c r="C857" s="5"/>
      <c r="D857" s="5"/>
      <c r="E857" s="5"/>
      <c r="F857" s="5"/>
    </row>
    <row r="858" spans="1:6" ht="15" x14ac:dyDescent="0.25">
      <c r="A858" s="5"/>
      <c r="B858" s="5"/>
      <c r="C858" s="5"/>
      <c r="D858" s="5"/>
      <c r="E858" s="5"/>
      <c r="F858" s="5"/>
    </row>
    <row r="859" spans="1:6" ht="15" x14ac:dyDescent="0.25">
      <c r="A859" s="5"/>
      <c r="B859" s="5"/>
      <c r="C859" s="5"/>
      <c r="D859" s="5"/>
      <c r="E859" s="5"/>
      <c r="F859" s="5"/>
    </row>
    <row r="860" spans="1:6" ht="15" x14ac:dyDescent="0.25">
      <c r="A860" s="5"/>
      <c r="B860" s="5"/>
      <c r="C860" s="5"/>
      <c r="D860" s="5"/>
      <c r="E860" s="5"/>
      <c r="F860" s="5"/>
    </row>
    <row r="861" spans="1:6" ht="15" x14ac:dyDescent="0.25">
      <c r="A861" s="5"/>
      <c r="B861" s="5"/>
      <c r="C861" s="5"/>
      <c r="D861" s="5"/>
      <c r="E861" s="5"/>
      <c r="F861" s="5"/>
    </row>
    <row r="862" spans="1:6" ht="15" x14ac:dyDescent="0.25">
      <c r="A862" s="5"/>
      <c r="B862" s="5"/>
      <c r="C862" s="5"/>
      <c r="D862" s="5"/>
      <c r="E862" s="5"/>
      <c r="F862" s="5"/>
    </row>
    <row r="863" spans="1:6" ht="15" x14ac:dyDescent="0.25">
      <c r="A863" s="5"/>
      <c r="B863" s="5"/>
      <c r="C863" s="5"/>
      <c r="D863" s="5"/>
      <c r="E863" s="5"/>
      <c r="F863" s="5"/>
    </row>
    <row r="864" spans="1:6" ht="15" x14ac:dyDescent="0.25">
      <c r="A864" s="5"/>
      <c r="B864" s="5"/>
      <c r="C864" s="5"/>
      <c r="D864" s="5"/>
      <c r="E864" s="5"/>
      <c r="F864" s="5"/>
    </row>
    <row r="865" spans="1:6" ht="15" x14ac:dyDescent="0.25">
      <c r="A865" s="5"/>
      <c r="B865" s="5"/>
      <c r="C865" s="5"/>
      <c r="D865" s="5"/>
      <c r="E865" s="5"/>
      <c r="F865" s="5"/>
    </row>
    <row r="866" spans="1:6" ht="15" x14ac:dyDescent="0.25">
      <c r="A866" s="5"/>
      <c r="B866" s="5"/>
      <c r="C866" s="5"/>
      <c r="D866" s="5"/>
      <c r="E866" s="5"/>
      <c r="F866" s="5"/>
    </row>
    <row r="867" spans="1:6" ht="15" x14ac:dyDescent="0.25">
      <c r="A867" s="5"/>
      <c r="B867" s="5"/>
      <c r="C867" s="5"/>
      <c r="D867" s="5"/>
      <c r="E867" s="5"/>
      <c r="F867" s="5"/>
    </row>
    <row r="868" spans="1:6" ht="15" x14ac:dyDescent="0.25">
      <c r="A868" s="5"/>
      <c r="B868" s="5"/>
      <c r="C868" s="5"/>
      <c r="D868" s="5"/>
      <c r="E868" s="5"/>
      <c r="F868" s="5"/>
    </row>
    <row r="869" spans="1:6" ht="15" x14ac:dyDescent="0.25">
      <c r="A869" s="5"/>
      <c r="B869" s="5"/>
      <c r="C869" s="5"/>
      <c r="D869" s="5"/>
      <c r="E869" s="5"/>
      <c r="F869" s="5"/>
    </row>
    <row r="870" spans="1:6" ht="15" x14ac:dyDescent="0.25">
      <c r="A870" s="5"/>
      <c r="B870" s="5"/>
      <c r="C870" s="5"/>
      <c r="D870" s="5"/>
      <c r="E870" s="5"/>
      <c r="F870" s="5"/>
    </row>
    <row r="871" spans="1:6" ht="15" x14ac:dyDescent="0.25">
      <c r="A871" s="5"/>
      <c r="B871" s="5"/>
      <c r="C871" s="5"/>
      <c r="D871" s="5"/>
      <c r="E871" s="5"/>
      <c r="F871" s="5"/>
    </row>
    <row r="872" spans="1:6" ht="15" x14ac:dyDescent="0.25">
      <c r="A872" s="5"/>
      <c r="B872" s="5"/>
      <c r="C872" s="5"/>
      <c r="D872" s="5"/>
      <c r="E872" s="5"/>
      <c r="F872" s="5"/>
    </row>
    <row r="873" spans="1:6" ht="15" x14ac:dyDescent="0.25">
      <c r="A873" s="5"/>
      <c r="B873" s="5"/>
      <c r="C873" s="5"/>
      <c r="D873" s="5"/>
      <c r="E873" s="5"/>
      <c r="F873" s="5"/>
    </row>
    <row r="874" spans="1:6" ht="15" x14ac:dyDescent="0.25">
      <c r="A874" s="5"/>
      <c r="B874" s="5"/>
      <c r="C874" s="5"/>
      <c r="D874" s="5"/>
      <c r="E874" s="5"/>
      <c r="F874" s="5"/>
    </row>
    <row r="875" spans="1:6" ht="15" x14ac:dyDescent="0.25">
      <c r="A875" s="5"/>
      <c r="B875" s="5"/>
      <c r="C875" s="5"/>
      <c r="D875" s="5"/>
      <c r="E875" s="5"/>
      <c r="F875" s="5"/>
    </row>
    <row r="876" spans="1:6" ht="15" x14ac:dyDescent="0.25">
      <c r="A876" s="5"/>
      <c r="B876" s="5"/>
      <c r="C876" s="5"/>
      <c r="D876" s="5"/>
      <c r="E876" s="5"/>
      <c r="F876" s="5"/>
    </row>
    <row r="877" spans="1:6" ht="15" x14ac:dyDescent="0.25">
      <c r="A877" s="5"/>
      <c r="B877" s="5"/>
      <c r="C877" s="5"/>
      <c r="D877" s="5"/>
      <c r="E877" s="5"/>
      <c r="F877" s="5"/>
    </row>
    <row r="878" spans="1:6" ht="15" x14ac:dyDescent="0.25">
      <c r="A878" s="5"/>
      <c r="B878" s="5"/>
      <c r="C878" s="5"/>
      <c r="D878" s="5"/>
      <c r="E878" s="5"/>
      <c r="F878" s="5"/>
    </row>
    <row r="879" spans="1:6" ht="15" x14ac:dyDescent="0.25">
      <c r="A879" s="5"/>
      <c r="B879" s="5"/>
      <c r="C879" s="5"/>
      <c r="D879" s="5"/>
      <c r="E879" s="5"/>
      <c r="F879" s="5"/>
    </row>
    <row r="880" spans="1:6" ht="15" x14ac:dyDescent="0.25">
      <c r="A880" s="5"/>
      <c r="B880" s="5"/>
      <c r="C880" s="5"/>
      <c r="D880" s="5"/>
      <c r="E880" s="5"/>
      <c r="F880" s="5"/>
    </row>
    <row r="881" spans="1:6" ht="15" x14ac:dyDescent="0.25">
      <c r="A881" s="5"/>
      <c r="B881" s="5"/>
      <c r="C881" s="5"/>
      <c r="D881" s="5"/>
      <c r="E881" s="5"/>
      <c r="F881" s="5"/>
    </row>
    <row r="882" spans="1:6" ht="15" x14ac:dyDescent="0.25">
      <c r="A882" s="5"/>
      <c r="B882" s="5"/>
      <c r="C882" s="5"/>
      <c r="D882" s="5"/>
      <c r="E882" s="5"/>
      <c r="F882" s="5"/>
    </row>
    <row r="883" spans="1:6" ht="15" x14ac:dyDescent="0.25">
      <c r="A883" s="5"/>
      <c r="B883" s="5"/>
      <c r="C883" s="5"/>
      <c r="D883" s="5"/>
      <c r="E883" s="5"/>
      <c r="F883" s="5"/>
    </row>
    <row r="884" spans="1:6" ht="15" x14ac:dyDescent="0.25">
      <c r="A884" s="5"/>
      <c r="B884" s="5"/>
      <c r="C884" s="5"/>
      <c r="D884" s="5"/>
      <c r="E884" s="5"/>
      <c r="F884" s="5"/>
    </row>
    <row r="885" spans="1:6" ht="15" x14ac:dyDescent="0.25">
      <c r="A885" s="5"/>
      <c r="B885" s="5"/>
      <c r="C885" s="5"/>
      <c r="D885" s="5"/>
      <c r="E885" s="5"/>
      <c r="F885" s="5"/>
    </row>
    <row r="886" spans="1:6" ht="15" x14ac:dyDescent="0.25">
      <c r="A886" s="5"/>
      <c r="B886" s="5"/>
      <c r="C886" s="5"/>
      <c r="D886" s="5"/>
      <c r="E886" s="5"/>
      <c r="F886" s="5"/>
    </row>
    <row r="887" spans="1:6" ht="15" x14ac:dyDescent="0.25">
      <c r="A887" s="5"/>
      <c r="B887" s="5"/>
      <c r="C887" s="5"/>
      <c r="D887" s="5"/>
      <c r="E887" s="5"/>
      <c r="F887" s="5"/>
    </row>
    <row r="888" spans="1:6" ht="15" x14ac:dyDescent="0.25">
      <c r="A888" s="5"/>
      <c r="B888" s="5"/>
      <c r="C888" s="5"/>
      <c r="D888" s="5"/>
      <c r="E888" s="5"/>
      <c r="F888" s="5"/>
    </row>
    <row r="889" spans="1:6" ht="15" x14ac:dyDescent="0.25">
      <c r="A889" s="5"/>
      <c r="B889" s="5"/>
      <c r="C889" s="5"/>
      <c r="D889" s="5"/>
      <c r="E889" s="5"/>
      <c r="F889" s="5"/>
    </row>
    <row r="890" spans="1:6" ht="15" x14ac:dyDescent="0.25">
      <c r="A890" s="5"/>
      <c r="B890" s="5"/>
      <c r="C890" s="5"/>
      <c r="D890" s="5"/>
      <c r="E890" s="5"/>
      <c r="F890" s="5"/>
    </row>
    <row r="891" spans="1:6" ht="15" x14ac:dyDescent="0.25">
      <c r="A891" s="5"/>
      <c r="B891" s="5"/>
      <c r="C891" s="5"/>
      <c r="D891" s="5"/>
      <c r="E891" s="5"/>
      <c r="F891" s="5"/>
    </row>
    <row r="892" spans="1:6" ht="15" x14ac:dyDescent="0.25">
      <c r="A892" s="5"/>
      <c r="B892" s="5"/>
      <c r="C892" s="5"/>
      <c r="D892" s="5"/>
      <c r="E892" s="5"/>
      <c r="F892" s="5"/>
    </row>
    <row r="893" spans="1:6" ht="15" x14ac:dyDescent="0.25">
      <c r="A893" s="5"/>
      <c r="B893" s="5"/>
      <c r="C893" s="5"/>
      <c r="D893" s="5"/>
      <c r="E893" s="5"/>
      <c r="F893" s="5"/>
    </row>
    <row r="894" spans="1:6" ht="15" x14ac:dyDescent="0.25">
      <c r="A894" s="5"/>
      <c r="B894" s="5"/>
      <c r="C894" s="5"/>
      <c r="D894" s="5"/>
      <c r="E894" s="5"/>
      <c r="F894" s="5"/>
    </row>
    <row r="895" spans="1:6" ht="15" x14ac:dyDescent="0.25">
      <c r="A895" s="5"/>
      <c r="B895" s="5"/>
      <c r="C895" s="5"/>
      <c r="D895" s="5"/>
      <c r="E895" s="5"/>
      <c r="F895" s="5"/>
    </row>
    <row r="896" spans="1:6" ht="15" x14ac:dyDescent="0.25">
      <c r="A896" s="5"/>
      <c r="B896" s="5"/>
      <c r="C896" s="5"/>
      <c r="D896" s="5"/>
      <c r="E896" s="5"/>
      <c r="F896" s="5"/>
    </row>
    <row r="897" spans="1:6" ht="15" x14ac:dyDescent="0.25">
      <c r="A897" s="5"/>
      <c r="B897" s="5"/>
      <c r="C897" s="5"/>
      <c r="D897" s="5"/>
      <c r="E897" s="5"/>
      <c r="F897" s="5"/>
    </row>
    <row r="898" spans="1:6" ht="15" x14ac:dyDescent="0.25">
      <c r="A898" s="5"/>
      <c r="B898" s="5"/>
      <c r="C898" s="5"/>
      <c r="D898" s="5"/>
      <c r="E898" s="5"/>
      <c r="F898" s="5"/>
    </row>
    <row r="899" spans="1:6" ht="15" x14ac:dyDescent="0.25">
      <c r="A899" s="5"/>
      <c r="B899" s="5"/>
      <c r="C899" s="5"/>
      <c r="D899" s="5"/>
      <c r="E899" s="5"/>
      <c r="F899" s="5"/>
    </row>
    <row r="900" spans="1:6" ht="15" x14ac:dyDescent="0.25">
      <c r="A900" s="5"/>
      <c r="B900" s="5"/>
      <c r="C900" s="5"/>
      <c r="D900" s="5"/>
      <c r="E900" s="5"/>
      <c r="F900" s="5"/>
    </row>
    <row r="901" spans="1:6" ht="15" x14ac:dyDescent="0.25">
      <c r="A901" s="5"/>
      <c r="B901" s="5"/>
      <c r="C901" s="5"/>
      <c r="D901" s="5"/>
      <c r="E901" s="5"/>
      <c r="F901" s="5"/>
    </row>
    <row r="902" spans="1:6" ht="15" x14ac:dyDescent="0.25">
      <c r="A902" s="5"/>
      <c r="B902" s="5"/>
      <c r="C902" s="5"/>
      <c r="D902" s="5"/>
      <c r="E902" s="5"/>
      <c r="F902" s="5"/>
    </row>
    <row r="903" spans="1:6" ht="15" x14ac:dyDescent="0.25">
      <c r="A903" s="5"/>
      <c r="B903" s="5"/>
      <c r="C903" s="5"/>
      <c r="D903" s="5"/>
      <c r="E903" s="5"/>
      <c r="F903" s="5"/>
    </row>
    <row r="904" spans="1:6" ht="15" x14ac:dyDescent="0.25">
      <c r="A904" s="5"/>
      <c r="B904" s="5"/>
      <c r="C904" s="5"/>
      <c r="D904" s="5"/>
      <c r="E904" s="5"/>
      <c r="F904" s="5"/>
    </row>
    <row r="905" spans="1:6" ht="15" x14ac:dyDescent="0.25">
      <c r="A905" s="5"/>
      <c r="B905" s="5"/>
      <c r="C905" s="5"/>
      <c r="D905" s="5"/>
      <c r="E905" s="5"/>
      <c r="F905" s="5"/>
    </row>
    <row r="906" spans="1:6" ht="15" x14ac:dyDescent="0.25">
      <c r="A906" s="5"/>
      <c r="B906" s="5"/>
      <c r="C906" s="5"/>
      <c r="D906" s="5"/>
      <c r="E906" s="5"/>
      <c r="F906" s="5"/>
    </row>
    <row r="907" spans="1:6" ht="15" x14ac:dyDescent="0.25">
      <c r="A907" s="5"/>
      <c r="B907" s="5"/>
      <c r="C907" s="5"/>
      <c r="D907" s="5"/>
      <c r="E907" s="5"/>
      <c r="F907" s="5"/>
    </row>
    <row r="908" spans="1:6" ht="15" x14ac:dyDescent="0.25">
      <c r="A908" s="5"/>
      <c r="B908" s="5"/>
      <c r="C908" s="5"/>
      <c r="D908" s="5"/>
      <c r="E908" s="5"/>
      <c r="F908" s="5"/>
    </row>
    <row r="909" spans="1:6" ht="15" x14ac:dyDescent="0.25">
      <c r="A909" s="5"/>
      <c r="B909" s="5"/>
      <c r="C909" s="5"/>
      <c r="D909" s="5"/>
      <c r="E909" s="5"/>
      <c r="F909" s="5"/>
    </row>
    <row r="910" spans="1:6" ht="15" x14ac:dyDescent="0.25">
      <c r="A910" s="5"/>
      <c r="B910" s="5"/>
      <c r="C910" s="5"/>
      <c r="D910" s="5"/>
      <c r="E910" s="5"/>
      <c r="F910" s="5"/>
    </row>
    <row r="911" spans="1:6" ht="15" x14ac:dyDescent="0.25">
      <c r="A911" s="5"/>
      <c r="B911" s="5"/>
      <c r="C911" s="5"/>
      <c r="D911" s="5"/>
      <c r="E911" s="5"/>
      <c r="F911" s="5"/>
    </row>
    <row r="912" spans="1:6" ht="15" x14ac:dyDescent="0.25">
      <c r="A912" s="5"/>
      <c r="B912" s="5"/>
      <c r="C912" s="5"/>
      <c r="D912" s="5"/>
      <c r="E912" s="5"/>
      <c r="F912" s="5"/>
    </row>
    <row r="913" spans="1:6" ht="15" x14ac:dyDescent="0.25">
      <c r="A913" s="5"/>
      <c r="B913" s="5"/>
      <c r="C913" s="5"/>
      <c r="D913" s="5"/>
      <c r="E913" s="5"/>
      <c r="F913" s="5"/>
    </row>
    <row r="914" spans="1:6" ht="15" x14ac:dyDescent="0.25">
      <c r="A914" s="5"/>
      <c r="B914" s="5"/>
      <c r="C914" s="5"/>
      <c r="D914" s="5"/>
      <c r="E914" s="5"/>
      <c r="F914" s="5"/>
    </row>
    <row r="915" spans="1:6" ht="15" x14ac:dyDescent="0.25">
      <c r="A915" s="5"/>
      <c r="B915" s="5"/>
      <c r="C915" s="5"/>
      <c r="D915" s="5"/>
      <c r="E915" s="5"/>
      <c r="F915" s="5"/>
    </row>
    <row r="916" spans="1:6" ht="15" x14ac:dyDescent="0.25">
      <c r="A916" s="5"/>
      <c r="B916" s="5"/>
      <c r="C916" s="5"/>
      <c r="D916" s="5"/>
      <c r="E916" s="5"/>
      <c r="F916" s="5"/>
    </row>
    <row r="917" spans="1:6" ht="15" x14ac:dyDescent="0.25">
      <c r="A917" s="5"/>
      <c r="B917" s="5"/>
      <c r="C917" s="5"/>
      <c r="D917" s="5"/>
      <c r="E917" s="5"/>
      <c r="F917" s="5"/>
    </row>
    <row r="918" spans="1:6" ht="15" x14ac:dyDescent="0.25">
      <c r="A918" s="5"/>
      <c r="B918" s="5"/>
      <c r="C918" s="5"/>
      <c r="D918" s="5"/>
      <c r="E918" s="5"/>
      <c r="F918" s="5"/>
    </row>
    <row r="919" spans="1:6" ht="15" x14ac:dyDescent="0.25">
      <c r="A919" s="5"/>
      <c r="B919" s="5"/>
      <c r="C919" s="5"/>
      <c r="D919" s="5"/>
      <c r="E919" s="5"/>
      <c r="F919" s="5"/>
    </row>
    <row r="920" spans="1:6" ht="15" x14ac:dyDescent="0.25">
      <c r="A920" s="5"/>
      <c r="B920" s="5"/>
      <c r="C920" s="5"/>
      <c r="D920" s="5"/>
      <c r="E920" s="5"/>
      <c r="F920" s="5"/>
    </row>
    <row r="921" spans="1:6" ht="15" x14ac:dyDescent="0.25">
      <c r="A921" s="5"/>
      <c r="B921" s="5"/>
      <c r="C921" s="5"/>
      <c r="D921" s="5"/>
      <c r="E921" s="5"/>
      <c r="F921" s="5"/>
    </row>
    <row r="922" spans="1:6" ht="15" x14ac:dyDescent="0.25">
      <c r="A922" s="5"/>
      <c r="B922" s="5"/>
      <c r="C922" s="5"/>
      <c r="D922" s="5"/>
      <c r="E922" s="5"/>
      <c r="F922" s="5"/>
    </row>
    <row r="923" spans="1:6" ht="15" x14ac:dyDescent="0.25">
      <c r="A923" s="5"/>
      <c r="B923" s="5"/>
      <c r="C923" s="5"/>
      <c r="D923" s="5"/>
      <c r="E923" s="5"/>
      <c r="F923" s="5"/>
    </row>
    <row r="924" spans="1:6" ht="15" x14ac:dyDescent="0.25">
      <c r="A924" s="5"/>
      <c r="B924" s="5"/>
      <c r="C924" s="5"/>
      <c r="D924" s="5"/>
      <c r="E924" s="5"/>
      <c r="F924" s="5"/>
    </row>
    <row r="925" spans="1:6" ht="15" x14ac:dyDescent="0.25">
      <c r="A925" s="5"/>
      <c r="B925" s="5"/>
      <c r="C925" s="5"/>
      <c r="D925" s="5"/>
      <c r="E925" s="5"/>
      <c r="F925" s="5"/>
    </row>
    <row r="926" spans="1:6" ht="15" x14ac:dyDescent="0.25">
      <c r="A926" s="5"/>
      <c r="B926" s="5"/>
      <c r="C926" s="5"/>
      <c r="D926" s="5"/>
      <c r="E926" s="5"/>
      <c r="F926" s="5"/>
    </row>
    <row r="927" spans="1:6" ht="15" x14ac:dyDescent="0.25">
      <c r="A927" s="5"/>
      <c r="B927" s="5"/>
      <c r="C927" s="5"/>
      <c r="D927" s="5"/>
      <c r="E927" s="5"/>
      <c r="F927" s="5"/>
    </row>
    <row r="928" spans="1:6" ht="15" x14ac:dyDescent="0.25">
      <c r="A928" s="5"/>
      <c r="B928" s="5"/>
      <c r="C928" s="5"/>
      <c r="D928" s="5"/>
      <c r="E928" s="5"/>
      <c r="F928" s="5"/>
    </row>
    <row r="929" spans="1:6" ht="15" x14ac:dyDescent="0.25">
      <c r="A929" s="5"/>
      <c r="B929" s="5"/>
      <c r="C929" s="5"/>
      <c r="D929" s="5"/>
      <c r="E929" s="5"/>
      <c r="F929" s="5"/>
    </row>
    <row r="930" spans="1:6" ht="15" x14ac:dyDescent="0.25">
      <c r="A930" s="5"/>
      <c r="B930" s="5"/>
      <c r="C930" s="5"/>
      <c r="D930" s="5"/>
      <c r="E930" s="5"/>
      <c r="F930" s="5"/>
    </row>
    <row r="931" spans="1:6" ht="15" x14ac:dyDescent="0.25">
      <c r="A931" s="5"/>
      <c r="B931" s="5"/>
      <c r="C931" s="5"/>
      <c r="D931" s="5"/>
      <c r="E931" s="5"/>
      <c r="F931" s="5"/>
    </row>
    <row r="932" spans="1:6" ht="15" x14ac:dyDescent="0.25">
      <c r="A932" s="5"/>
      <c r="B932" s="5"/>
      <c r="C932" s="5"/>
      <c r="D932" s="5"/>
      <c r="E932" s="5"/>
      <c r="F932" s="5"/>
    </row>
    <row r="933" spans="1:6" ht="15" x14ac:dyDescent="0.25">
      <c r="A933" s="5"/>
      <c r="B933" s="5"/>
      <c r="C933" s="5"/>
      <c r="D933" s="5"/>
      <c r="E933" s="5"/>
      <c r="F933" s="5"/>
    </row>
    <row r="934" spans="1:6" ht="15" x14ac:dyDescent="0.25">
      <c r="A934" s="5"/>
      <c r="B934" s="5"/>
      <c r="C934" s="5"/>
      <c r="D934" s="5"/>
      <c r="E934" s="5"/>
      <c r="F934" s="5"/>
    </row>
    <row r="935" spans="1:6" ht="15" x14ac:dyDescent="0.25">
      <c r="A935" s="5"/>
      <c r="B935" s="5"/>
      <c r="C935" s="5"/>
      <c r="D935" s="5"/>
      <c r="E935" s="5"/>
      <c r="F935" s="5"/>
    </row>
    <row r="936" spans="1:6" ht="15" x14ac:dyDescent="0.25">
      <c r="A936" s="5"/>
      <c r="B936" s="5"/>
      <c r="C936" s="5"/>
      <c r="D936" s="5"/>
      <c r="E936" s="5"/>
      <c r="F936" s="5"/>
    </row>
    <row r="937" spans="1:6" ht="15" x14ac:dyDescent="0.25">
      <c r="A937" s="5"/>
      <c r="B937" s="5"/>
      <c r="C937" s="5"/>
      <c r="D937" s="5"/>
      <c r="E937" s="5"/>
      <c r="F937" s="5"/>
    </row>
    <row r="938" spans="1:6" ht="15" x14ac:dyDescent="0.25">
      <c r="A938" s="5"/>
      <c r="B938" s="5"/>
      <c r="C938" s="5"/>
      <c r="D938" s="5"/>
      <c r="E938" s="5"/>
      <c r="F938" s="5"/>
    </row>
    <row r="939" spans="1:6" ht="15" x14ac:dyDescent="0.25">
      <c r="A939" s="5"/>
      <c r="B939" s="5"/>
      <c r="C939" s="5"/>
      <c r="D939" s="5"/>
      <c r="E939" s="5"/>
      <c r="F939" s="5"/>
    </row>
    <row r="940" spans="1:6" ht="15" x14ac:dyDescent="0.25">
      <c r="A940" s="5"/>
      <c r="B940" s="5"/>
      <c r="C940" s="5"/>
      <c r="D940" s="5"/>
      <c r="E940" s="5"/>
      <c r="F940" s="5"/>
    </row>
    <row r="941" spans="1:6" ht="15" x14ac:dyDescent="0.25">
      <c r="A941" s="5"/>
      <c r="B941" s="5"/>
      <c r="C941" s="5"/>
      <c r="D941" s="5"/>
      <c r="E941" s="5"/>
      <c r="F941" s="5"/>
    </row>
    <row r="942" spans="1:6" ht="15" x14ac:dyDescent="0.25">
      <c r="A942" s="5"/>
      <c r="B942" s="5"/>
      <c r="C942" s="5"/>
      <c r="D942" s="5"/>
      <c r="E942" s="5"/>
      <c r="F942" s="5"/>
    </row>
    <row r="943" spans="1:6" ht="15" x14ac:dyDescent="0.25">
      <c r="A943" s="5"/>
      <c r="B943" s="5"/>
      <c r="C943" s="5"/>
      <c r="D943" s="5"/>
      <c r="E943" s="5"/>
      <c r="F943" s="5"/>
    </row>
    <row r="944" spans="1:6" ht="15" x14ac:dyDescent="0.25">
      <c r="A944" s="5"/>
      <c r="B944" s="5"/>
      <c r="C944" s="5"/>
      <c r="D944" s="5"/>
      <c r="E944" s="5"/>
      <c r="F944" s="5"/>
    </row>
    <row r="945" spans="1:6" ht="15" x14ac:dyDescent="0.25">
      <c r="A945" s="5"/>
      <c r="B945" s="5"/>
      <c r="C945" s="5"/>
      <c r="D945" s="5"/>
      <c r="E945" s="5"/>
      <c r="F945" s="5"/>
    </row>
    <row r="946" spans="1:6" ht="15" x14ac:dyDescent="0.25">
      <c r="A946" s="5"/>
      <c r="B946" s="5"/>
      <c r="C946" s="5"/>
      <c r="D946" s="5"/>
      <c r="E946" s="5"/>
      <c r="F946" s="5"/>
    </row>
    <row r="947" spans="1:6" ht="15" x14ac:dyDescent="0.25">
      <c r="A947" s="5"/>
      <c r="B947" s="5"/>
      <c r="C947" s="5"/>
      <c r="D947" s="5"/>
      <c r="E947" s="5"/>
      <c r="F947" s="5"/>
    </row>
    <row r="948" spans="1:6" ht="15" x14ac:dyDescent="0.25">
      <c r="A948" s="5"/>
      <c r="B948" s="5"/>
      <c r="C948" s="5"/>
      <c r="D948" s="5"/>
      <c r="E948" s="5"/>
      <c r="F948" s="5"/>
    </row>
    <row r="949" spans="1:6" ht="15" x14ac:dyDescent="0.25">
      <c r="A949" s="5"/>
      <c r="B949" s="5"/>
      <c r="C949" s="5"/>
      <c r="D949" s="5"/>
      <c r="E949" s="5"/>
      <c r="F949" s="5"/>
    </row>
    <row r="950" spans="1:6" ht="15" x14ac:dyDescent="0.25">
      <c r="A950" s="5"/>
      <c r="B950" s="5"/>
      <c r="C950" s="5"/>
      <c r="D950" s="5"/>
      <c r="E950" s="5"/>
      <c r="F950" s="5"/>
    </row>
    <row r="951" spans="1:6" ht="15" x14ac:dyDescent="0.25">
      <c r="A951" s="5"/>
      <c r="B951" s="5"/>
      <c r="C951" s="5"/>
      <c r="D951" s="5"/>
      <c r="E951" s="5"/>
      <c r="F951" s="5"/>
    </row>
    <row r="952" spans="1:6" ht="15" x14ac:dyDescent="0.25">
      <c r="A952" s="5"/>
      <c r="B952" s="5"/>
      <c r="C952" s="5"/>
      <c r="D952" s="5"/>
      <c r="E952" s="5"/>
      <c r="F952" s="5"/>
    </row>
    <row r="953" spans="1:6" ht="15" x14ac:dyDescent="0.25">
      <c r="A953" s="5"/>
      <c r="B953" s="5"/>
      <c r="C953" s="5"/>
      <c r="D953" s="5"/>
      <c r="E953" s="5"/>
      <c r="F953" s="5"/>
    </row>
    <row r="954" spans="1:6" ht="15" x14ac:dyDescent="0.25">
      <c r="A954" s="5"/>
      <c r="B954" s="5"/>
      <c r="C954" s="5"/>
      <c r="D954" s="5"/>
      <c r="E954" s="5"/>
      <c r="F954" s="5"/>
    </row>
    <row r="955" spans="1:6" ht="15" x14ac:dyDescent="0.25">
      <c r="A955" s="5"/>
      <c r="B955" s="5"/>
      <c r="C955" s="5"/>
      <c r="D955" s="5"/>
      <c r="E955" s="5"/>
      <c r="F955" s="5"/>
    </row>
    <row r="956" spans="1:6" ht="15" x14ac:dyDescent="0.25">
      <c r="A956" s="5"/>
      <c r="B956" s="5"/>
      <c r="C956" s="5"/>
      <c r="D956" s="5"/>
      <c r="E956" s="5"/>
      <c r="F956" s="5"/>
    </row>
    <row r="957" spans="1:6" ht="15" x14ac:dyDescent="0.25">
      <c r="A957" s="5"/>
      <c r="B957" s="5"/>
      <c r="C957" s="5"/>
      <c r="D957" s="5"/>
      <c r="E957" s="5"/>
      <c r="F957" s="5"/>
    </row>
    <row r="958" spans="1:6" ht="15" x14ac:dyDescent="0.25">
      <c r="A958" s="5"/>
      <c r="B958" s="5"/>
      <c r="C958" s="5"/>
      <c r="D958" s="5"/>
      <c r="E958" s="5"/>
      <c r="F958" s="5"/>
    </row>
    <row r="959" spans="1:6" ht="15" x14ac:dyDescent="0.25">
      <c r="A959" s="5"/>
      <c r="B959" s="5"/>
      <c r="C959" s="5"/>
      <c r="D959" s="5"/>
      <c r="E959" s="5"/>
      <c r="F959" s="5"/>
    </row>
    <row r="960" spans="1:6" ht="15" x14ac:dyDescent="0.25">
      <c r="A960" s="5"/>
      <c r="B960" s="5"/>
      <c r="C960" s="5"/>
      <c r="D960" s="5"/>
      <c r="E960" s="5"/>
      <c r="F960" s="5"/>
    </row>
    <row r="961" spans="1:6" ht="15" x14ac:dyDescent="0.25">
      <c r="A961" s="5"/>
      <c r="B961" s="5"/>
      <c r="C961" s="5"/>
      <c r="D961" s="5"/>
      <c r="E961" s="5"/>
      <c r="F961" s="5"/>
    </row>
    <row r="962" spans="1:6" ht="15" x14ac:dyDescent="0.25">
      <c r="A962" s="5"/>
      <c r="B962" s="5"/>
      <c r="C962" s="5"/>
      <c r="D962" s="5"/>
      <c r="E962" s="5"/>
      <c r="F962" s="5"/>
    </row>
    <row r="963" spans="1:6" ht="15" x14ac:dyDescent="0.25">
      <c r="A963" s="5"/>
      <c r="B963" s="5"/>
      <c r="C963" s="5"/>
      <c r="D963" s="5"/>
      <c r="E963" s="5"/>
      <c r="F963" s="5"/>
    </row>
    <row r="964" spans="1:6" ht="15" x14ac:dyDescent="0.25">
      <c r="A964" s="5"/>
      <c r="B964" s="5"/>
      <c r="C964" s="5"/>
      <c r="D964" s="5"/>
      <c r="E964" s="5"/>
      <c r="F964" s="5"/>
    </row>
    <row r="965" spans="1:6" ht="15" x14ac:dyDescent="0.25">
      <c r="A965" s="5"/>
      <c r="B965" s="5"/>
      <c r="C965" s="5"/>
      <c r="D965" s="5"/>
      <c r="E965" s="5"/>
      <c r="F965" s="5"/>
    </row>
    <row r="966" spans="1:6" ht="15" x14ac:dyDescent="0.25">
      <c r="A966" s="5"/>
      <c r="B966" s="5"/>
      <c r="C966" s="5"/>
      <c r="D966" s="5"/>
      <c r="E966" s="5"/>
      <c r="F966" s="5"/>
    </row>
    <row r="967" spans="1:6" ht="15" x14ac:dyDescent="0.25">
      <c r="A967" s="5"/>
      <c r="B967" s="5"/>
      <c r="C967" s="5"/>
      <c r="D967" s="5"/>
      <c r="E967" s="5"/>
      <c r="F967" s="5"/>
    </row>
    <row r="968" spans="1:6" ht="15" x14ac:dyDescent="0.25">
      <c r="A968" s="5"/>
      <c r="B968" s="5"/>
      <c r="C968" s="5"/>
      <c r="D968" s="5"/>
      <c r="E968" s="5"/>
      <c r="F968" s="5"/>
    </row>
    <row r="969" spans="1:6" ht="15" x14ac:dyDescent="0.25">
      <c r="A969" s="5"/>
      <c r="B969" s="5"/>
      <c r="C969" s="5"/>
      <c r="D969" s="5"/>
      <c r="E969" s="5"/>
      <c r="F969" s="5"/>
    </row>
    <row r="970" spans="1:6" ht="15" x14ac:dyDescent="0.25">
      <c r="A970" s="5"/>
      <c r="B970" s="5"/>
      <c r="C970" s="5"/>
      <c r="D970" s="5"/>
      <c r="E970" s="5"/>
      <c r="F970" s="5"/>
    </row>
    <row r="971" spans="1:6" ht="15" x14ac:dyDescent="0.25">
      <c r="A971" s="5"/>
      <c r="B971" s="5"/>
      <c r="C971" s="5"/>
      <c r="D971" s="5"/>
      <c r="E971" s="5"/>
      <c r="F971" s="5"/>
    </row>
    <row r="972" spans="1:6" ht="15" x14ac:dyDescent="0.25">
      <c r="A972" s="5"/>
      <c r="B972" s="5"/>
      <c r="C972" s="5"/>
      <c r="D972" s="5"/>
      <c r="E972" s="5"/>
      <c r="F972" s="5"/>
    </row>
    <row r="973" spans="1:6" ht="15" x14ac:dyDescent="0.25">
      <c r="A973" s="5"/>
      <c r="B973" s="5"/>
      <c r="C973" s="5"/>
      <c r="D973" s="5"/>
      <c r="E973" s="5"/>
      <c r="F973" s="5"/>
    </row>
    <row r="974" spans="1:6" ht="15" x14ac:dyDescent="0.25">
      <c r="A974" s="5"/>
      <c r="B974" s="5"/>
      <c r="C974" s="5"/>
      <c r="D974" s="5"/>
      <c r="E974" s="5"/>
      <c r="F974" s="5"/>
    </row>
    <row r="975" spans="1:6" ht="15" x14ac:dyDescent="0.25">
      <c r="A975" s="5"/>
      <c r="B975" s="5"/>
      <c r="C975" s="5"/>
      <c r="D975" s="5"/>
      <c r="E975" s="5"/>
      <c r="F975" s="5"/>
    </row>
    <row r="976" spans="1:6" ht="15" x14ac:dyDescent="0.25">
      <c r="A976" s="5"/>
      <c r="B976" s="5"/>
      <c r="C976" s="5"/>
      <c r="D976" s="5"/>
      <c r="E976" s="5"/>
      <c r="F976" s="5"/>
    </row>
    <row r="977" spans="1:6" ht="15" x14ac:dyDescent="0.25">
      <c r="A977" s="5"/>
      <c r="B977" s="5"/>
      <c r="C977" s="5"/>
      <c r="D977" s="5"/>
      <c r="E977" s="5"/>
      <c r="F977" s="5"/>
    </row>
    <row r="978" spans="1:6" ht="15" x14ac:dyDescent="0.25">
      <c r="A978" s="5"/>
      <c r="B978" s="5"/>
      <c r="C978" s="5"/>
      <c r="D978" s="5"/>
      <c r="E978" s="5"/>
      <c r="F978" s="5"/>
    </row>
    <row r="979" spans="1:6" ht="15" x14ac:dyDescent="0.25">
      <c r="A979" s="5"/>
      <c r="B979" s="5"/>
      <c r="C979" s="5"/>
      <c r="D979" s="5"/>
      <c r="E979" s="5"/>
      <c r="F979" s="5"/>
    </row>
    <row r="980" spans="1:6" ht="15" x14ac:dyDescent="0.25">
      <c r="A980" s="5"/>
      <c r="B980" s="5"/>
      <c r="C980" s="5"/>
      <c r="D980" s="5"/>
      <c r="E980" s="5"/>
      <c r="F980" s="5"/>
    </row>
    <row r="981" spans="1:6" ht="15" x14ac:dyDescent="0.25">
      <c r="A981" s="5"/>
      <c r="B981" s="5"/>
      <c r="C981" s="5"/>
      <c r="D981" s="5"/>
      <c r="E981" s="5"/>
      <c r="F981" s="5"/>
    </row>
    <row r="982" spans="1:6" ht="15" x14ac:dyDescent="0.25">
      <c r="A982" s="5"/>
      <c r="B982" s="5"/>
      <c r="C982" s="5"/>
      <c r="D982" s="5"/>
      <c r="E982" s="5"/>
      <c r="F982" s="5"/>
    </row>
    <row r="983" spans="1:6" ht="15" x14ac:dyDescent="0.25">
      <c r="A983" s="5"/>
      <c r="B983" s="5"/>
      <c r="C983" s="5"/>
      <c r="D983" s="5"/>
      <c r="E983" s="5"/>
      <c r="F983" s="5"/>
    </row>
    <row r="984" spans="1:6" ht="15" x14ac:dyDescent="0.25">
      <c r="A984" s="5"/>
      <c r="B984" s="5"/>
      <c r="C984" s="5"/>
      <c r="D984" s="5"/>
      <c r="E984" s="5"/>
      <c r="F984" s="5"/>
    </row>
    <row r="985" spans="1:6" ht="15" x14ac:dyDescent="0.25">
      <c r="A985" s="5"/>
      <c r="B985" s="5"/>
      <c r="C985" s="5"/>
      <c r="D985" s="5"/>
      <c r="E985" s="5"/>
      <c r="F985" s="5"/>
    </row>
    <row r="986" spans="1:6" ht="15" x14ac:dyDescent="0.25">
      <c r="A986" s="5"/>
      <c r="B986" s="5"/>
      <c r="C986" s="5"/>
      <c r="D986" s="5"/>
      <c r="E986" s="5"/>
      <c r="F986" s="5"/>
    </row>
    <row r="987" spans="1:6" ht="15" x14ac:dyDescent="0.25">
      <c r="A987" s="5"/>
      <c r="B987" s="5"/>
      <c r="C987" s="5"/>
      <c r="D987" s="5"/>
      <c r="E987" s="5"/>
      <c r="F987" s="5"/>
    </row>
    <row r="988" spans="1:6" ht="15" x14ac:dyDescent="0.25">
      <c r="A988" s="5"/>
      <c r="B988" s="5"/>
      <c r="C988" s="5"/>
      <c r="D988" s="5"/>
      <c r="E988" s="5"/>
      <c r="F988" s="5"/>
    </row>
    <row r="989" spans="1:6" ht="15" x14ac:dyDescent="0.25">
      <c r="A989" s="5"/>
      <c r="B989" s="5"/>
      <c r="C989" s="5"/>
      <c r="D989" s="5"/>
      <c r="E989" s="5"/>
      <c r="F989" s="5"/>
    </row>
    <row r="990" spans="1:6" ht="15" x14ac:dyDescent="0.25">
      <c r="A990" s="5"/>
      <c r="B990" s="5"/>
      <c r="C990" s="5"/>
      <c r="D990" s="5"/>
      <c r="E990" s="5"/>
      <c r="F990" s="5"/>
    </row>
    <row r="991" spans="1:6" ht="15" x14ac:dyDescent="0.25">
      <c r="A991" s="5"/>
      <c r="B991" s="5"/>
      <c r="C991" s="5"/>
      <c r="D991" s="5"/>
      <c r="E991" s="5"/>
      <c r="F991" s="5"/>
    </row>
    <row r="992" spans="1:6" ht="15" x14ac:dyDescent="0.25">
      <c r="A992" s="5"/>
      <c r="B992" s="5"/>
      <c r="C992" s="5"/>
      <c r="D992" s="5"/>
      <c r="E992" s="5"/>
      <c r="F992" s="5"/>
    </row>
    <row r="993" spans="1:6" ht="15" x14ac:dyDescent="0.25">
      <c r="A993" s="5"/>
      <c r="B993" s="5"/>
      <c r="C993" s="5"/>
      <c r="D993" s="5"/>
      <c r="E993" s="5"/>
      <c r="F993" s="5"/>
    </row>
    <row r="994" spans="1:6" ht="15" x14ac:dyDescent="0.25">
      <c r="A994" s="5"/>
      <c r="B994" s="5"/>
      <c r="C994" s="5"/>
      <c r="D994" s="5"/>
      <c r="E994" s="5"/>
      <c r="F994" s="5"/>
    </row>
    <row r="995" spans="1:6" ht="15" x14ac:dyDescent="0.25">
      <c r="A995" s="5"/>
      <c r="B995" s="5"/>
      <c r="C995" s="5"/>
      <c r="D995" s="5"/>
      <c r="E995" s="5"/>
      <c r="F995" s="5"/>
    </row>
    <row r="996" spans="1:6" ht="15" x14ac:dyDescent="0.25">
      <c r="A996" s="5"/>
      <c r="B996" s="5"/>
      <c r="C996" s="5"/>
      <c r="D996" s="5"/>
      <c r="E996" s="5"/>
      <c r="F996" s="5"/>
    </row>
    <row r="997" spans="1:6" ht="15" x14ac:dyDescent="0.25">
      <c r="A997" s="5"/>
      <c r="B997" s="5"/>
      <c r="C997" s="5"/>
      <c r="D997" s="5"/>
      <c r="E997" s="5"/>
      <c r="F997" s="5"/>
    </row>
    <row r="998" spans="1:6" ht="15" x14ac:dyDescent="0.25">
      <c r="A998" s="5"/>
      <c r="B998" s="5"/>
      <c r="C998" s="5"/>
      <c r="D998" s="5"/>
      <c r="E998" s="5"/>
      <c r="F998" s="5"/>
    </row>
    <row r="999" spans="1:6" ht="15" x14ac:dyDescent="0.25">
      <c r="A999" s="5"/>
      <c r="B999" s="5"/>
      <c r="C999" s="5"/>
      <c r="D999" s="5"/>
      <c r="E999" s="5"/>
      <c r="F999" s="5"/>
    </row>
    <row r="1000" spans="1:6" ht="15" x14ac:dyDescent="0.25">
      <c r="A1000" s="5"/>
      <c r="B1000" s="5"/>
      <c r="C1000" s="5"/>
      <c r="D1000" s="5"/>
      <c r="E1000" s="5"/>
      <c r="F1000" s="5"/>
    </row>
    <row r="1001" spans="1:6" ht="15" x14ac:dyDescent="0.25">
      <c r="A1001" s="5"/>
      <c r="B1001" s="5"/>
      <c r="C1001" s="5"/>
      <c r="D1001" s="5"/>
      <c r="E1001" s="5"/>
      <c r="F1001" s="5"/>
    </row>
    <row r="1002" spans="1:6" ht="15" x14ac:dyDescent="0.25">
      <c r="A1002" s="5"/>
      <c r="B1002" s="5"/>
      <c r="C1002" s="5"/>
      <c r="D1002" s="5"/>
      <c r="E1002" s="5"/>
      <c r="F1002" s="5"/>
    </row>
    <row r="1003" spans="1:6" ht="15" x14ac:dyDescent="0.25">
      <c r="A1003" s="5"/>
      <c r="B1003" s="5"/>
      <c r="C1003" s="5"/>
      <c r="D1003" s="5"/>
      <c r="E1003" s="5"/>
      <c r="F1003" s="5"/>
    </row>
    <row r="1004" spans="1:6" ht="15" x14ac:dyDescent="0.25">
      <c r="A1004" s="5"/>
      <c r="B1004" s="5"/>
      <c r="C1004" s="5"/>
      <c r="D1004" s="5"/>
      <c r="E1004" s="5"/>
      <c r="F1004" s="5"/>
    </row>
    <row r="1005" spans="1:6" ht="15" x14ac:dyDescent="0.25">
      <c r="A1005" s="5"/>
      <c r="B1005" s="5"/>
      <c r="C1005" s="5"/>
      <c r="D1005" s="5"/>
      <c r="E1005" s="5"/>
      <c r="F1005" s="5"/>
    </row>
    <row r="1006" spans="1:6" ht="15" x14ac:dyDescent="0.25">
      <c r="A1006" s="5"/>
      <c r="B1006" s="5"/>
      <c r="C1006" s="5"/>
      <c r="D1006" s="5"/>
      <c r="E1006" s="5"/>
      <c r="F1006" s="5"/>
    </row>
    <row r="1007" spans="1:6" ht="15" x14ac:dyDescent="0.25">
      <c r="A1007" s="5"/>
      <c r="B1007" s="5"/>
      <c r="C1007" s="5"/>
      <c r="D1007" s="5"/>
      <c r="E1007" s="5"/>
      <c r="F1007" s="5"/>
    </row>
    <row r="1008" spans="1:6" ht="15" x14ac:dyDescent="0.25">
      <c r="A1008" s="5"/>
      <c r="B1008" s="5"/>
      <c r="C1008" s="5"/>
      <c r="D1008" s="5"/>
      <c r="E1008" s="5"/>
      <c r="F1008" s="5"/>
    </row>
    <row r="1009" spans="1:6" ht="15" x14ac:dyDescent="0.25">
      <c r="A1009" s="5"/>
      <c r="B1009" s="5"/>
      <c r="C1009" s="5"/>
      <c r="D1009" s="5"/>
      <c r="E1009" s="5"/>
      <c r="F1009" s="5"/>
    </row>
    <row r="1010" spans="1:6" ht="15" x14ac:dyDescent="0.25">
      <c r="A1010" s="5"/>
      <c r="B1010" s="5"/>
      <c r="C1010" s="5"/>
      <c r="D1010" s="5"/>
      <c r="E1010" s="5"/>
      <c r="F1010" s="5"/>
    </row>
    <row r="1011" spans="1:6" ht="15" x14ac:dyDescent="0.25">
      <c r="A1011" s="5"/>
      <c r="B1011" s="5"/>
      <c r="C1011" s="5"/>
      <c r="D1011" s="5"/>
      <c r="E1011" s="5"/>
      <c r="F1011" s="5"/>
    </row>
    <row r="1012" spans="1:6" ht="15" x14ac:dyDescent="0.25">
      <c r="A1012" s="5"/>
      <c r="B1012" s="5"/>
      <c r="C1012" s="5"/>
      <c r="D1012" s="5"/>
      <c r="E1012" s="5"/>
      <c r="F1012" s="5"/>
    </row>
    <row r="1013" spans="1:6" ht="15" x14ac:dyDescent="0.25">
      <c r="A1013" s="5"/>
      <c r="B1013" s="5"/>
      <c r="C1013" s="5"/>
      <c r="D1013" s="5"/>
      <c r="E1013" s="5"/>
      <c r="F1013" s="5"/>
    </row>
    <row r="1014" spans="1:6" ht="15" x14ac:dyDescent="0.25">
      <c r="A1014" s="5"/>
      <c r="B1014" s="5"/>
      <c r="C1014" s="5"/>
      <c r="D1014" s="5"/>
      <c r="E1014" s="5"/>
      <c r="F1014" s="5"/>
    </row>
    <row r="1015" spans="1:6" ht="15" x14ac:dyDescent="0.25">
      <c r="A1015" s="5"/>
      <c r="B1015" s="5"/>
      <c r="C1015" s="5"/>
      <c r="D1015" s="5"/>
      <c r="E1015" s="5"/>
      <c r="F1015" s="5"/>
    </row>
    <row r="1016" spans="1:6" ht="15" x14ac:dyDescent="0.25">
      <c r="A1016" s="5"/>
      <c r="B1016" s="5"/>
      <c r="C1016" s="5"/>
      <c r="D1016" s="5"/>
      <c r="E1016" s="5"/>
      <c r="F1016" s="5"/>
    </row>
    <row r="1017" spans="1:6" ht="15" x14ac:dyDescent="0.25">
      <c r="A1017" s="5"/>
      <c r="B1017" s="5"/>
      <c r="C1017" s="5"/>
      <c r="D1017" s="5"/>
      <c r="E1017" s="5"/>
      <c r="F1017" s="5"/>
    </row>
    <row r="1018" spans="1:6" ht="15" x14ac:dyDescent="0.25">
      <c r="A1018" s="5"/>
      <c r="B1018" s="5"/>
      <c r="C1018" s="5"/>
      <c r="D1018" s="5"/>
      <c r="E1018" s="5"/>
      <c r="F1018" s="5"/>
    </row>
    <row r="1019" spans="1:6" ht="15" x14ac:dyDescent="0.25">
      <c r="A1019" s="5"/>
      <c r="B1019" s="5"/>
      <c r="C1019" s="5"/>
      <c r="D1019" s="5"/>
      <c r="E1019" s="5"/>
      <c r="F1019" s="5"/>
    </row>
    <row r="1020" spans="1:6" ht="15" x14ac:dyDescent="0.25">
      <c r="A1020" s="5"/>
      <c r="B1020" s="5"/>
      <c r="C1020" s="5"/>
      <c r="D1020" s="5"/>
      <c r="E1020" s="5"/>
      <c r="F1020" s="5"/>
    </row>
    <row r="1021" spans="1:6" ht="15" x14ac:dyDescent="0.25">
      <c r="A1021" s="5"/>
      <c r="B1021" s="5"/>
      <c r="C1021" s="5"/>
      <c r="D1021" s="5"/>
      <c r="E1021" s="5"/>
      <c r="F1021" s="5"/>
    </row>
    <row r="1022" spans="1:6" ht="15" x14ac:dyDescent="0.25">
      <c r="A1022" s="5"/>
      <c r="B1022" s="5"/>
      <c r="C1022" s="5"/>
      <c r="D1022" s="5"/>
      <c r="E1022" s="5"/>
      <c r="F1022" s="5"/>
    </row>
    <row r="1023" spans="1:6" ht="15" x14ac:dyDescent="0.25">
      <c r="A1023" s="5"/>
      <c r="B1023" s="5"/>
      <c r="C1023" s="5"/>
      <c r="D1023" s="5"/>
      <c r="E1023" s="5"/>
      <c r="F1023" s="5"/>
    </row>
    <row r="1024" spans="1:6" ht="15" x14ac:dyDescent="0.25">
      <c r="A1024" s="5"/>
      <c r="B1024" s="5"/>
      <c r="C1024" s="5"/>
      <c r="D1024" s="5"/>
      <c r="E1024" s="5"/>
      <c r="F1024" s="5"/>
    </row>
    <row r="1025" spans="1:6" ht="15" x14ac:dyDescent="0.25">
      <c r="A1025" s="5"/>
      <c r="B1025" s="5"/>
      <c r="C1025" s="5"/>
      <c r="D1025" s="5"/>
      <c r="E1025" s="5"/>
      <c r="F1025" s="5"/>
    </row>
    <row r="1026" spans="1:6" ht="15" x14ac:dyDescent="0.25">
      <c r="A1026" s="5"/>
      <c r="B1026" s="5"/>
      <c r="C1026" s="5"/>
      <c r="D1026" s="5"/>
      <c r="E1026" s="5"/>
      <c r="F1026" s="5"/>
    </row>
    <row r="1027" spans="1:6" ht="15" x14ac:dyDescent="0.25">
      <c r="A1027" s="5"/>
      <c r="B1027" s="5"/>
      <c r="C1027" s="5"/>
      <c r="D1027" s="5"/>
      <c r="E1027" s="5"/>
      <c r="F1027" s="5"/>
    </row>
    <row r="1028" spans="1:6" ht="15" x14ac:dyDescent="0.25">
      <c r="A1028" s="5"/>
      <c r="B1028" s="5"/>
      <c r="C1028" s="5"/>
      <c r="D1028" s="5"/>
      <c r="E1028" s="5"/>
      <c r="F1028" s="5"/>
    </row>
    <row r="1029" spans="1:6" ht="15" x14ac:dyDescent="0.25">
      <c r="A1029" s="5"/>
      <c r="B1029" s="5"/>
      <c r="C1029" s="5"/>
      <c r="D1029" s="5"/>
      <c r="E1029" s="5"/>
      <c r="F1029" s="5"/>
    </row>
    <row r="1030" spans="1:6" ht="15" x14ac:dyDescent="0.25">
      <c r="A1030" s="5"/>
      <c r="B1030" s="5"/>
      <c r="C1030" s="5"/>
      <c r="D1030" s="5"/>
      <c r="E1030" s="5"/>
      <c r="F1030" s="5"/>
    </row>
    <row r="1031" spans="1:6" ht="15" x14ac:dyDescent="0.25">
      <c r="A1031" s="5"/>
      <c r="B1031" s="5"/>
      <c r="C1031" s="5"/>
      <c r="D1031" s="5"/>
      <c r="E1031" s="5"/>
      <c r="F1031" s="5"/>
    </row>
    <row r="1032" spans="1:6" ht="15" x14ac:dyDescent="0.25">
      <c r="A1032" s="5"/>
      <c r="B1032" s="5"/>
      <c r="C1032" s="5"/>
      <c r="D1032" s="5"/>
      <c r="E1032" s="5"/>
      <c r="F1032" s="5"/>
    </row>
    <row r="1033" spans="1:6" ht="15" x14ac:dyDescent="0.25">
      <c r="A1033" s="5"/>
      <c r="B1033" s="5"/>
      <c r="C1033" s="5"/>
      <c r="D1033" s="5"/>
      <c r="E1033" s="5"/>
      <c r="F1033" s="5"/>
    </row>
    <row r="1034" spans="1:6" ht="15" x14ac:dyDescent="0.25">
      <c r="A1034" s="5"/>
      <c r="B1034" s="5"/>
      <c r="C1034" s="5"/>
      <c r="D1034" s="5"/>
      <c r="E1034" s="5"/>
      <c r="F1034" s="5"/>
    </row>
    <row r="1035" spans="1:6" ht="15" x14ac:dyDescent="0.25">
      <c r="A1035" s="5"/>
      <c r="B1035" s="5"/>
      <c r="C1035" s="5"/>
      <c r="D1035" s="5"/>
      <c r="E1035" s="5"/>
      <c r="F1035" s="5"/>
    </row>
    <row r="1036" spans="1:6" ht="15" x14ac:dyDescent="0.25">
      <c r="A1036" s="5"/>
      <c r="B1036" s="5"/>
      <c r="C1036" s="5"/>
      <c r="D1036" s="5"/>
      <c r="E1036" s="5"/>
      <c r="F1036" s="5"/>
    </row>
    <row r="1037" spans="1:6" ht="15" x14ac:dyDescent="0.25">
      <c r="A1037" s="5"/>
      <c r="B1037" s="5"/>
      <c r="C1037" s="5"/>
      <c r="D1037" s="5"/>
      <c r="E1037" s="5"/>
      <c r="F1037" s="5"/>
    </row>
    <row r="1038" spans="1:6" ht="15" x14ac:dyDescent="0.25">
      <c r="A1038" s="5"/>
      <c r="B1038" s="5"/>
      <c r="C1038" s="5"/>
      <c r="D1038" s="5"/>
      <c r="E1038" s="5"/>
      <c r="F1038" s="5"/>
    </row>
    <row r="1039" spans="1:6" ht="15" x14ac:dyDescent="0.25">
      <c r="A1039" s="5"/>
      <c r="B1039" s="5"/>
      <c r="C1039" s="5"/>
      <c r="D1039" s="5"/>
      <c r="E1039" s="5"/>
      <c r="F1039" s="5"/>
    </row>
    <row r="1040" spans="1:6" ht="15" x14ac:dyDescent="0.25">
      <c r="A1040" s="5"/>
      <c r="B1040" s="5"/>
      <c r="C1040" s="5"/>
      <c r="D1040" s="5"/>
      <c r="E1040" s="5"/>
      <c r="F1040" s="5"/>
    </row>
    <row r="1041" spans="1:6" ht="15" x14ac:dyDescent="0.25">
      <c r="A1041" s="5"/>
      <c r="B1041" s="5"/>
      <c r="C1041" s="5"/>
      <c r="D1041" s="5"/>
      <c r="E1041" s="5"/>
      <c r="F1041" s="5"/>
    </row>
    <row r="1042" spans="1:6" ht="15" x14ac:dyDescent="0.25">
      <c r="A1042" s="5"/>
      <c r="B1042" s="5"/>
      <c r="C1042" s="5"/>
      <c r="D1042" s="5"/>
      <c r="E1042" s="5"/>
      <c r="F1042" s="5"/>
    </row>
    <row r="1043" spans="1:6" ht="15" x14ac:dyDescent="0.25">
      <c r="A1043" s="5"/>
      <c r="B1043" s="5"/>
      <c r="C1043" s="5"/>
      <c r="D1043" s="5"/>
      <c r="E1043" s="5"/>
      <c r="F1043" s="5"/>
    </row>
    <row r="1044" spans="1:6" ht="15" x14ac:dyDescent="0.25">
      <c r="A1044" s="5"/>
      <c r="B1044" s="5"/>
      <c r="C1044" s="5"/>
      <c r="D1044" s="5"/>
      <c r="E1044" s="5"/>
      <c r="F1044" s="5"/>
    </row>
    <row r="1045" spans="1:6" ht="15" x14ac:dyDescent="0.25">
      <c r="A1045" s="5"/>
      <c r="B1045" s="5"/>
      <c r="C1045" s="5"/>
      <c r="D1045" s="5"/>
      <c r="E1045" s="5"/>
      <c r="F1045" s="5"/>
    </row>
    <row r="1046" spans="1:6" ht="15" x14ac:dyDescent="0.25">
      <c r="A1046" s="5"/>
      <c r="B1046" s="5"/>
      <c r="C1046" s="5"/>
      <c r="D1046" s="5"/>
      <c r="E1046" s="5"/>
      <c r="F1046" s="5"/>
    </row>
    <row r="1047" spans="1:6" ht="15" x14ac:dyDescent="0.25">
      <c r="A1047" s="5"/>
      <c r="B1047" s="5"/>
      <c r="C1047" s="5"/>
      <c r="D1047" s="5"/>
      <c r="E1047" s="5"/>
      <c r="F1047" s="5"/>
    </row>
    <row r="1048" spans="1:6" ht="15" x14ac:dyDescent="0.25">
      <c r="A1048" s="5"/>
      <c r="B1048" s="5"/>
      <c r="C1048" s="5"/>
      <c r="D1048" s="5"/>
      <c r="E1048" s="5"/>
      <c r="F1048" s="5"/>
    </row>
    <row r="1049" spans="1:6" ht="15" x14ac:dyDescent="0.25">
      <c r="A1049" s="5"/>
      <c r="B1049" s="5"/>
      <c r="C1049" s="5"/>
      <c r="D1049" s="5"/>
      <c r="E1049" s="5"/>
      <c r="F1049" s="5"/>
    </row>
    <row r="1050" spans="1:6" ht="15" x14ac:dyDescent="0.25">
      <c r="A1050" s="5"/>
      <c r="B1050" s="5"/>
      <c r="C1050" s="5"/>
      <c r="D1050" s="5"/>
      <c r="E1050" s="5"/>
      <c r="F1050" s="5"/>
    </row>
    <row r="1051" spans="1:6" ht="15" x14ac:dyDescent="0.25">
      <c r="A1051" s="5"/>
      <c r="B1051" s="5"/>
      <c r="C1051" s="5"/>
      <c r="D1051" s="5"/>
      <c r="E1051" s="5"/>
      <c r="F1051" s="5"/>
    </row>
    <row r="1052" spans="1:6" ht="15" x14ac:dyDescent="0.25">
      <c r="A1052" s="5"/>
      <c r="B1052" s="5"/>
      <c r="C1052" s="5"/>
      <c r="D1052" s="5"/>
      <c r="E1052" s="5"/>
      <c r="F1052" s="5"/>
    </row>
    <row r="1053" spans="1:6" ht="15" x14ac:dyDescent="0.25">
      <c r="A1053" s="5"/>
      <c r="B1053" s="5"/>
      <c r="C1053" s="5"/>
      <c r="D1053" s="5"/>
      <c r="E1053" s="5"/>
      <c r="F1053" s="5"/>
    </row>
    <row r="1054" spans="1:6" ht="15" x14ac:dyDescent="0.25">
      <c r="A1054" s="5"/>
      <c r="B1054" s="5"/>
      <c r="C1054" s="5"/>
      <c r="D1054" s="5"/>
      <c r="E1054" s="5"/>
      <c r="F1054" s="5"/>
    </row>
    <row r="1055" spans="1:6" ht="15" x14ac:dyDescent="0.25">
      <c r="A1055" s="5"/>
      <c r="B1055" s="5"/>
      <c r="C1055" s="5"/>
      <c r="D1055" s="5"/>
      <c r="E1055" s="5"/>
      <c r="F1055" s="5"/>
    </row>
    <row r="1056" spans="1:6" ht="15" x14ac:dyDescent="0.25">
      <c r="A1056" s="5"/>
      <c r="B1056" s="5"/>
      <c r="C1056" s="5"/>
      <c r="D1056" s="5"/>
      <c r="E1056" s="5"/>
      <c r="F1056" s="5"/>
    </row>
    <row r="1057" spans="1:6" ht="15" x14ac:dyDescent="0.25">
      <c r="A1057" s="5"/>
      <c r="B1057" s="5"/>
      <c r="C1057" s="5"/>
      <c r="D1057" s="5"/>
      <c r="E1057" s="5"/>
      <c r="F1057" s="5"/>
    </row>
    <row r="1058" spans="1:6" ht="15" x14ac:dyDescent="0.25">
      <c r="A1058" s="5"/>
      <c r="B1058" s="5"/>
      <c r="C1058" s="5"/>
      <c r="D1058" s="5"/>
      <c r="E1058" s="5"/>
      <c r="F1058" s="5"/>
    </row>
    <row r="1059" spans="1:6" ht="15" x14ac:dyDescent="0.25">
      <c r="A1059" s="5"/>
      <c r="B1059" s="5"/>
      <c r="C1059" s="5"/>
      <c r="D1059" s="5"/>
      <c r="E1059" s="5"/>
      <c r="F1059" s="5"/>
    </row>
    <row r="1060" spans="1:6" ht="15" x14ac:dyDescent="0.25">
      <c r="A1060" s="5"/>
      <c r="B1060" s="5"/>
      <c r="C1060" s="5"/>
      <c r="D1060" s="5"/>
      <c r="E1060" s="5"/>
      <c r="F1060" s="5"/>
    </row>
    <row r="1061" spans="1:6" ht="15" x14ac:dyDescent="0.25">
      <c r="A1061" s="5"/>
      <c r="B1061" s="5"/>
      <c r="C1061" s="5"/>
      <c r="D1061" s="5"/>
      <c r="E1061" s="5"/>
      <c r="F1061" s="5"/>
    </row>
    <row r="1062" spans="1:6" ht="15" x14ac:dyDescent="0.25">
      <c r="A1062" s="5"/>
      <c r="B1062" s="5"/>
      <c r="C1062" s="5"/>
      <c r="D1062" s="5"/>
      <c r="E1062" s="5"/>
      <c r="F1062" s="5"/>
    </row>
    <row r="1063" spans="1:6" ht="15" x14ac:dyDescent="0.25">
      <c r="A1063" s="5"/>
      <c r="B1063" s="5"/>
      <c r="C1063" s="5"/>
      <c r="D1063" s="5"/>
      <c r="E1063" s="5"/>
      <c r="F1063" s="5"/>
    </row>
    <row r="1064" spans="1:6" ht="15" x14ac:dyDescent="0.25">
      <c r="A1064" s="5"/>
      <c r="B1064" s="5"/>
      <c r="C1064" s="5"/>
      <c r="D1064" s="5"/>
      <c r="E1064" s="5"/>
      <c r="F1064" s="5"/>
    </row>
    <row r="1065" spans="1:6" ht="15" x14ac:dyDescent="0.25">
      <c r="A1065" s="5"/>
      <c r="B1065" s="5"/>
      <c r="C1065" s="5"/>
      <c r="D1065" s="5"/>
      <c r="E1065" s="5"/>
      <c r="F1065" s="5"/>
    </row>
    <row r="1066" spans="1:6" ht="15" x14ac:dyDescent="0.25">
      <c r="A1066" s="5"/>
      <c r="B1066" s="5"/>
      <c r="C1066" s="5"/>
      <c r="D1066" s="5"/>
      <c r="E1066" s="5"/>
      <c r="F1066" s="5"/>
    </row>
    <row r="1067" spans="1:6" ht="15" x14ac:dyDescent="0.25">
      <c r="A1067" s="5"/>
      <c r="B1067" s="5"/>
      <c r="C1067" s="5"/>
      <c r="D1067" s="5"/>
      <c r="E1067" s="5"/>
      <c r="F1067" s="5"/>
    </row>
    <row r="1068" spans="1:6" ht="15" x14ac:dyDescent="0.25">
      <c r="A1068" s="5"/>
      <c r="B1068" s="5"/>
      <c r="C1068" s="5"/>
      <c r="D1068" s="5"/>
      <c r="E1068" s="5"/>
      <c r="F1068" s="5"/>
    </row>
    <row r="1069" spans="1:6" ht="15" x14ac:dyDescent="0.25">
      <c r="A1069" s="5"/>
      <c r="B1069" s="5"/>
      <c r="C1069" s="5"/>
      <c r="D1069" s="5"/>
      <c r="E1069" s="5"/>
      <c r="F1069" s="5"/>
    </row>
    <row r="1070" spans="1:6" ht="15" x14ac:dyDescent="0.25">
      <c r="A1070" s="5"/>
      <c r="B1070" s="5"/>
      <c r="C1070" s="5"/>
      <c r="D1070" s="5"/>
      <c r="E1070" s="5"/>
      <c r="F1070" s="5"/>
    </row>
    <row r="1071" spans="1:6" ht="15" x14ac:dyDescent="0.25">
      <c r="A1071" s="5"/>
      <c r="B1071" s="5"/>
      <c r="C1071" s="5"/>
      <c r="D1071" s="5"/>
      <c r="E1071" s="5"/>
      <c r="F1071" s="5"/>
    </row>
    <row r="1072" spans="1:6" ht="15" x14ac:dyDescent="0.25">
      <c r="A1072" s="5"/>
      <c r="B1072" s="5"/>
      <c r="C1072" s="5"/>
      <c r="D1072" s="5"/>
      <c r="E1072" s="5"/>
      <c r="F1072" s="5"/>
    </row>
    <row r="1073" spans="1:6" ht="15" x14ac:dyDescent="0.25">
      <c r="A1073" s="5"/>
      <c r="B1073" s="5"/>
      <c r="C1073" s="5"/>
      <c r="D1073" s="5"/>
      <c r="E1073" s="5"/>
      <c r="F1073" s="5"/>
    </row>
    <row r="1074" spans="1:6" ht="15" x14ac:dyDescent="0.25">
      <c r="A1074" s="5"/>
      <c r="B1074" s="5"/>
      <c r="C1074" s="5"/>
      <c r="D1074" s="5"/>
      <c r="E1074" s="5"/>
      <c r="F1074" s="5"/>
    </row>
    <row r="1075" spans="1:6" ht="15" x14ac:dyDescent="0.25">
      <c r="A1075" s="5"/>
      <c r="B1075" s="5"/>
      <c r="C1075" s="5"/>
      <c r="D1075" s="5"/>
      <c r="E1075" s="5"/>
      <c r="F1075" s="5"/>
    </row>
    <row r="1076" spans="1:6" ht="15" x14ac:dyDescent="0.25">
      <c r="A1076" s="5"/>
      <c r="B1076" s="5"/>
      <c r="C1076" s="5"/>
      <c r="D1076" s="5"/>
      <c r="E1076" s="5"/>
      <c r="F1076" s="5"/>
    </row>
    <row r="1077" spans="1:6" ht="15" x14ac:dyDescent="0.25">
      <c r="A1077" s="5"/>
      <c r="B1077" s="5"/>
      <c r="C1077" s="5"/>
      <c r="D1077" s="5"/>
      <c r="E1077" s="5"/>
      <c r="F1077" s="5"/>
    </row>
    <row r="1078" spans="1:6" ht="15" x14ac:dyDescent="0.25">
      <c r="A1078" s="5"/>
      <c r="B1078" s="5"/>
      <c r="C1078" s="5"/>
      <c r="D1078" s="5"/>
      <c r="E1078" s="5"/>
      <c r="F1078" s="5"/>
    </row>
    <row r="1079" spans="1:6" ht="15" x14ac:dyDescent="0.25">
      <c r="A1079" s="5"/>
      <c r="B1079" s="5"/>
      <c r="C1079" s="5"/>
      <c r="D1079" s="5"/>
      <c r="E1079" s="5"/>
      <c r="F1079" s="5"/>
    </row>
    <row r="1080" spans="1:6" ht="15" x14ac:dyDescent="0.25">
      <c r="A1080" s="5"/>
      <c r="B1080" s="5"/>
      <c r="C1080" s="5"/>
      <c r="D1080" s="5"/>
      <c r="E1080" s="5"/>
      <c r="F1080" s="5"/>
    </row>
    <row r="1081" spans="1:6" ht="15" x14ac:dyDescent="0.25">
      <c r="A1081" s="5"/>
      <c r="B1081" s="5"/>
      <c r="C1081" s="5"/>
      <c r="D1081" s="5"/>
      <c r="E1081" s="5"/>
      <c r="F1081" s="5"/>
    </row>
    <row r="1082" spans="1:6" ht="15" x14ac:dyDescent="0.25">
      <c r="A1082" s="5"/>
      <c r="B1082" s="5"/>
      <c r="C1082" s="5"/>
      <c r="D1082" s="5"/>
      <c r="E1082" s="5"/>
      <c r="F1082" s="5"/>
    </row>
    <row r="1083" spans="1:6" ht="15" x14ac:dyDescent="0.25">
      <c r="A1083" s="5"/>
      <c r="B1083" s="5"/>
      <c r="C1083" s="5"/>
      <c r="D1083" s="5"/>
      <c r="E1083" s="5"/>
      <c r="F1083" s="5"/>
    </row>
    <row r="1084" spans="1:6" ht="15" x14ac:dyDescent="0.25">
      <c r="A1084" s="5"/>
      <c r="B1084" s="5"/>
      <c r="C1084" s="5"/>
      <c r="D1084" s="5"/>
      <c r="E1084" s="5"/>
      <c r="F1084" s="5"/>
    </row>
    <row r="1085" spans="1:6" ht="15" x14ac:dyDescent="0.25">
      <c r="A1085" s="5"/>
      <c r="B1085" s="5"/>
      <c r="C1085" s="5"/>
      <c r="D1085" s="5"/>
      <c r="E1085" s="5"/>
      <c r="F1085" s="5"/>
    </row>
    <row r="1086" spans="1:6" ht="15" x14ac:dyDescent="0.25">
      <c r="A1086" s="5"/>
      <c r="B1086" s="5"/>
      <c r="C1086" s="5"/>
      <c r="D1086" s="5"/>
      <c r="E1086" s="5"/>
      <c r="F1086" s="5"/>
    </row>
    <row r="1087" spans="1:6" ht="15" x14ac:dyDescent="0.25">
      <c r="A1087" s="5"/>
      <c r="B1087" s="5"/>
      <c r="C1087" s="5"/>
      <c r="D1087" s="5"/>
      <c r="E1087" s="5"/>
      <c r="F1087" s="5"/>
    </row>
    <row r="1088" spans="1:6" ht="15" x14ac:dyDescent="0.25">
      <c r="A1088" s="5"/>
      <c r="B1088" s="5"/>
      <c r="C1088" s="5"/>
      <c r="D1088" s="5"/>
      <c r="E1088" s="5"/>
      <c r="F1088" s="5"/>
    </row>
    <row r="1089" spans="1:6" ht="15" x14ac:dyDescent="0.25">
      <c r="A1089" s="5"/>
      <c r="B1089" s="5"/>
      <c r="C1089" s="5"/>
      <c r="D1089" s="5"/>
      <c r="E1089" s="5"/>
      <c r="F1089" s="5"/>
    </row>
    <row r="1090" spans="1:6" ht="15" x14ac:dyDescent="0.25">
      <c r="A1090" s="5"/>
      <c r="B1090" s="5"/>
      <c r="C1090" s="5"/>
      <c r="D1090" s="5"/>
      <c r="E1090" s="5"/>
      <c r="F1090" s="5"/>
    </row>
    <row r="1091" spans="1:6" ht="15" x14ac:dyDescent="0.25">
      <c r="A1091" s="5"/>
      <c r="B1091" s="5"/>
      <c r="C1091" s="5"/>
      <c r="D1091" s="5"/>
      <c r="E1091" s="5"/>
      <c r="F1091" s="5"/>
    </row>
    <row r="1092" spans="1:6" ht="15" x14ac:dyDescent="0.25">
      <c r="A1092" s="5"/>
      <c r="B1092" s="5"/>
      <c r="C1092" s="5"/>
      <c r="D1092" s="5"/>
      <c r="E1092" s="5"/>
      <c r="F1092" s="5"/>
    </row>
    <row r="1093" spans="1:6" ht="15" x14ac:dyDescent="0.25">
      <c r="A1093" s="5"/>
      <c r="B1093" s="5"/>
      <c r="C1093" s="5"/>
      <c r="D1093" s="5"/>
      <c r="E1093" s="5"/>
      <c r="F1093" s="5"/>
    </row>
    <row r="1094" spans="1:6" ht="15" x14ac:dyDescent="0.25">
      <c r="A1094" s="5"/>
      <c r="B1094" s="5"/>
      <c r="C1094" s="5"/>
      <c r="D1094" s="5"/>
      <c r="E1094" s="5"/>
      <c r="F1094" s="5"/>
    </row>
    <row r="1095" spans="1:6" ht="15" x14ac:dyDescent="0.25">
      <c r="A1095" s="5"/>
      <c r="B1095" s="5"/>
      <c r="C1095" s="5"/>
      <c r="D1095" s="5"/>
      <c r="E1095" s="5"/>
      <c r="F1095" s="5"/>
    </row>
    <row r="1096" spans="1:6" ht="15" x14ac:dyDescent="0.25">
      <c r="A1096" s="5"/>
      <c r="B1096" s="5"/>
      <c r="C1096" s="5"/>
      <c r="D1096" s="5"/>
      <c r="E1096" s="5"/>
      <c r="F1096" s="5"/>
    </row>
    <row r="1097" spans="1:6" ht="15" x14ac:dyDescent="0.25">
      <c r="A1097" s="5"/>
      <c r="B1097" s="5"/>
      <c r="C1097" s="5"/>
      <c r="D1097" s="5"/>
      <c r="E1097" s="5"/>
      <c r="F1097" s="5"/>
    </row>
    <row r="1098" spans="1:6" ht="15" x14ac:dyDescent="0.25">
      <c r="A1098" s="5"/>
      <c r="B1098" s="5"/>
      <c r="C1098" s="5"/>
      <c r="D1098" s="5"/>
      <c r="E1098" s="5"/>
      <c r="F1098" s="5"/>
    </row>
    <row r="1099" spans="1:6" ht="15" x14ac:dyDescent="0.25">
      <c r="A1099" s="5"/>
      <c r="B1099" s="5"/>
      <c r="C1099" s="5"/>
      <c r="D1099" s="5"/>
      <c r="E1099" s="5"/>
      <c r="F1099" s="5"/>
    </row>
    <row r="1100" spans="1:6" ht="15" x14ac:dyDescent="0.25">
      <c r="A1100" s="5"/>
      <c r="B1100" s="5"/>
      <c r="C1100" s="5"/>
      <c r="D1100" s="5"/>
      <c r="E1100" s="5"/>
      <c r="F1100" s="5"/>
    </row>
    <row r="1101" spans="1:6" ht="15" x14ac:dyDescent="0.25">
      <c r="A1101" s="5"/>
      <c r="B1101" s="5"/>
      <c r="C1101" s="5"/>
      <c r="D1101" s="5"/>
      <c r="E1101" s="5"/>
      <c r="F1101" s="5"/>
    </row>
    <row r="1102" spans="1:6" ht="15" x14ac:dyDescent="0.25">
      <c r="A1102" s="5"/>
      <c r="B1102" s="5"/>
      <c r="C1102" s="5"/>
      <c r="D1102" s="5"/>
      <c r="E1102" s="5"/>
      <c r="F1102" s="5"/>
    </row>
    <row r="1103" spans="1:6" ht="15" x14ac:dyDescent="0.25">
      <c r="A1103" s="5"/>
      <c r="B1103" s="5"/>
      <c r="C1103" s="5"/>
      <c r="D1103" s="5"/>
      <c r="E1103" s="5"/>
      <c r="F1103" s="5"/>
    </row>
    <row r="1104" spans="1:6" ht="15" x14ac:dyDescent="0.25">
      <c r="A1104" s="5"/>
      <c r="B1104" s="5"/>
      <c r="C1104" s="5"/>
      <c r="D1104" s="5"/>
      <c r="E1104" s="5"/>
      <c r="F1104" s="5"/>
    </row>
    <row r="1105" spans="1:6" ht="15" x14ac:dyDescent="0.25">
      <c r="A1105" s="5"/>
      <c r="B1105" s="5"/>
      <c r="C1105" s="5"/>
      <c r="D1105" s="5"/>
      <c r="E1105" s="5"/>
      <c r="F1105" s="5"/>
    </row>
    <row r="1106" spans="1:6" ht="15" x14ac:dyDescent="0.25">
      <c r="A1106" s="5"/>
      <c r="B1106" s="5"/>
      <c r="C1106" s="5"/>
      <c r="D1106" s="5"/>
      <c r="E1106" s="5"/>
      <c r="F1106" s="5"/>
    </row>
    <row r="1107" spans="1:6" ht="15" x14ac:dyDescent="0.25">
      <c r="A1107" s="5"/>
      <c r="B1107" s="5"/>
      <c r="C1107" s="5"/>
      <c r="D1107" s="5"/>
      <c r="E1107" s="5"/>
      <c r="F1107" s="5"/>
    </row>
    <row r="1108" spans="1:6" ht="15" x14ac:dyDescent="0.25">
      <c r="A1108" s="5"/>
      <c r="B1108" s="5"/>
      <c r="C1108" s="5"/>
      <c r="D1108" s="5"/>
      <c r="E1108" s="5"/>
      <c r="F1108" s="5"/>
    </row>
    <row r="1109" spans="1:6" ht="15" x14ac:dyDescent="0.25">
      <c r="A1109" s="5"/>
      <c r="B1109" s="5"/>
      <c r="C1109" s="5"/>
      <c r="D1109" s="5"/>
      <c r="E1109" s="5"/>
      <c r="F1109" s="5"/>
    </row>
    <row r="1110" spans="1:6" ht="15" x14ac:dyDescent="0.25">
      <c r="A1110" s="5"/>
      <c r="B1110" s="5"/>
      <c r="C1110" s="5"/>
      <c r="D1110" s="5"/>
      <c r="E1110" s="5"/>
      <c r="F1110" s="5"/>
    </row>
    <row r="1111" spans="1:6" ht="15" x14ac:dyDescent="0.25">
      <c r="A1111" s="5"/>
      <c r="B1111" s="5"/>
      <c r="C1111" s="5"/>
      <c r="D1111" s="5"/>
      <c r="E1111" s="5"/>
      <c r="F1111" s="5"/>
    </row>
    <row r="1112" spans="1:6" ht="15" x14ac:dyDescent="0.25">
      <c r="A1112" s="5"/>
      <c r="B1112" s="5"/>
      <c r="C1112" s="5"/>
      <c r="D1112" s="5"/>
      <c r="E1112" s="5"/>
      <c r="F1112" s="5"/>
    </row>
    <row r="1113" spans="1:6" ht="15" x14ac:dyDescent="0.25">
      <c r="A1113" s="5"/>
      <c r="B1113" s="5"/>
      <c r="C1113" s="5"/>
      <c r="D1113" s="5"/>
      <c r="E1113" s="5"/>
      <c r="F1113" s="5"/>
    </row>
    <row r="1114" spans="1:6" ht="15" x14ac:dyDescent="0.25">
      <c r="A1114" s="5"/>
      <c r="B1114" s="5"/>
      <c r="C1114" s="5"/>
      <c r="D1114" s="5"/>
      <c r="E1114" s="5"/>
      <c r="F1114" s="5"/>
    </row>
    <row r="1115" spans="1:6" ht="15" x14ac:dyDescent="0.25">
      <c r="A1115" s="5"/>
      <c r="B1115" s="5"/>
      <c r="C1115" s="5"/>
      <c r="D1115" s="5"/>
      <c r="E1115" s="5"/>
      <c r="F1115" s="5"/>
    </row>
    <row r="1116" spans="1:6" ht="15" x14ac:dyDescent="0.25">
      <c r="A1116" s="5"/>
      <c r="B1116" s="5"/>
      <c r="C1116" s="5"/>
      <c r="D1116" s="5"/>
      <c r="E1116" s="5"/>
      <c r="F1116" s="5"/>
    </row>
    <row r="1117" spans="1:6" ht="15" x14ac:dyDescent="0.25">
      <c r="A1117" s="5"/>
      <c r="B1117" s="5"/>
      <c r="C1117" s="5"/>
      <c r="D1117" s="5"/>
      <c r="E1117" s="5"/>
      <c r="F1117" s="5"/>
    </row>
    <row r="1118" spans="1:6" ht="15" x14ac:dyDescent="0.25">
      <c r="A1118" s="5"/>
      <c r="B1118" s="5"/>
      <c r="C1118" s="5"/>
      <c r="D1118" s="5"/>
      <c r="E1118" s="5"/>
      <c r="F1118" s="5"/>
    </row>
    <row r="1119" spans="1:6" ht="15" x14ac:dyDescent="0.25">
      <c r="A1119" s="5"/>
      <c r="B1119" s="5"/>
      <c r="C1119" s="5"/>
      <c r="D1119" s="5"/>
      <c r="E1119" s="5"/>
      <c r="F1119" s="5"/>
    </row>
    <row r="1120" spans="1:6" ht="15" x14ac:dyDescent="0.25">
      <c r="A1120" s="5"/>
      <c r="B1120" s="5"/>
      <c r="C1120" s="5"/>
      <c r="D1120" s="5"/>
      <c r="E1120" s="5"/>
      <c r="F1120" s="5"/>
    </row>
    <row r="1121" spans="1:6" ht="15" x14ac:dyDescent="0.25">
      <c r="A1121" s="5"/>
      <c r="B1121" s="5"/>
      <c r="C1121" s="5"/>
      <c r="D1121" s="5"/>
      <c r="E1121" s="5"/>
      <c r="F1121" s="5"/>
    </row>
    <row r="1122" spans="1:6" ht="15" x14ac:dyDescent="0.25">
      <c r="A1122" s="5"/>
      <c r="B1122" s="5"/>
      <c r="C1122" s="5"/>
      <c r="D1122" s="5"/>
      <c r="E1122" s="5"/>
      <c r="F1122" s="5"/>
    </row>
    <row r="1123" spans="1:6" ht="15" x14ac:dyDescent="0.25">
      <c r="A1123" s="5"/>
      <c r="B1123" s="5"/>
      <c r="C1123" s="5"/>
      <c r="D1123" s="5"/>
      <c r="E1123" s="5"/>
      <c r="F1123" s="5"/>
    </row>
    <row r="1124" spans="1:6" ht="15" x14ac:dyDescent="0.25">
      <c r="A1124" s="5"/>
      <c r="B1124" s="5"/>
      <c r="C1124" s="5"/>
      <c r="D1124" s="5"/>
      <c r="E1124" s="5"/>
      <c r="F1124" s="5"/>
    </row>
    <row r="1125" spans="1:6" ht="15" x14ac:dyDescent="0.25">
      <c r="A1125" s="5"/>
      <c r="B1125" s="5"/>
      <c r="C1125" s="5"/>
      <c r="D1125" s="5"/>
      <c r="E1125" s="5"/>
      <c r="F1125" s="5"/>
    </row>
    <row r="1126" spans="1:6" ht="15" x14ac:dyDescent="0.25">
      <c r="A1126" s="5"/>
      <c r="B1126" s="5"/>
      <c r="C1126" s="5"/>
      <c r="D1126" s="5"/>
      <c r="E1126" s="5"/>
      <c r="F1126" s="5"/>
    </row>
    <row r="1127" spans="1:6" ht="15" x14ac:dyDescent="0.25">
      <c r="A1127" s="5"/>
      <c r="B1127" s="5"/>
      <c r="C1127" s="5"/>
      <c r="D1127" s="5"/>
      <c r="E1127" s="5"/>
      <c r="F1127" s="5"/>
    </row>
    <row r="1128" spans="1:6" ht="15" x14ac:dyDescent="0.25">
      <c r="A1128" s="5"/>
      <c r="B1128" s="5"/>
      <c r="C1128" s="5"/>
      <c r="D1128" s="5"/>
      <c r="E1128" s="5"/>
      <c r="F1128" s="5"/>
    </row>
    <row r="1129" spans="1:6" ht="15" x14ac:dyDescent="0.25">
      <c r="A1129" s="5"/>
      <c r="B1129" s="5"/>
      <c r="C1129" s="5"/>
      <c r="D1129" s="5"/>
      <c r="E1129" s="5"/>
      <c r="F1129" s="5"/>
    </row>
    <row r="1130" spans="1:6" ht="15" x14ac:dyDescent="0.25">
      <c r="A1130" s="5"/>
      <c r="B1130" s="5"/>
      <c r="C1130" s="5"/>
      <c r="D1130" s="5"/>
      <c r="E1130" s="5"/>
      <c r="F1130" s="5"/>
    </row>
    <row r="1131" spans="1:6" ht="15" x14ac:dyDescent="0.25">
      <c r="A1131" s="5"/>
      <c r="B1131" s="5"/>
      <c r="C1131" s="5"/>
      <c r="D1131" s="5"/>
      <c r="E1131" s="5"/>
      <c r="F1131" s="5"/>
    </row>
    <row r="1132" spans="1:6" ht="15" x14ac:dyDescent="0.25">
      <c r="A1132" s="5"/>
      <c r="B1132" s="5"/>
      <c r="C1132" s="5"/>
      <c r="D1132" s="5"/>
      <c r="E1132" s="5"/>
      <c r="F1132" s="5"/>
    </row>
    <row r="1133" spans="1:6" ht="15" x14ac:dyDescent="0.25">
      <c r="A1133" s="5"/>
      <c r="B1133" s="5"/>
      <c r="C1133" s="5"/>
      <c r="D1133" s="5"/>
      <c r="E1133" s="5"/>
      <c r="F1133" s="5"/>
    </row>
    <row r="1134" spans="1:6" ht="15" x14ac:dyDescent="0.25">
      <c r="A1134" s="5"/>
      <c r="B1134" s="5"/>
      <c r="C1134" s="5"/>
      <c r="D1134" s="5"/>
      <c r="E1134" s="5"/>
      <c r="F1134" s="5"/>
    </row>
    <row r="1135" spans="1:6" ht="15" x14ac:dyDescent="0.25">
      <c r="A1135" s="5"/>
      <c r="B1135" s="5"/>
      <c r="C1135" s="5"/>
      <c r="D1135" s="5"/>
      <c r="E1135" s="5"/>
      <c r="F1135" s="5"/>
    </row>
    <row r="1136" spans="1:6" ht="15" x14ac:dyDescent="0.25">
      <c r="A1136" s="5"/>
      <c r="B1136" s="5"/>
      <c r="C1136" s="5"/>
      <c r="D1136" s="5"/>
      <c r="E1136" s="5"/>
      <c r="F1136" s="5"/>
    </row>
    <row r="1137" spans="1:6" ht="15" x14ac:dyDescent="0.25">
      <c r="A1137" s="5"/>
      <c r="B1137" s="5"/>
      <c r="C1137" s="5"/>
      <c r="D1137" s="5"/>
      <c r="E1137" s="5"/>
      <c r="F1137" s="5"/>
    </row>
    <row r="1138" spans="1:6" ht="15" x14ac:dyDescent="0.25">
      <c r="A1138" s="5"/>
      <c r="B1138" s="5"/>
      <c r="C1138" s="5"/>
      <c r="D1138" s="5"/>
      <c r="E1138" s="5"/>
      <c r="F1138" s="5"/>
    </row>
    <row r="1139" spans="1:6" ht="15" x14ac:dyDescent="0.25">
      <c r="A1139" s="5"/>
      <c r="B1139" s="5"/>
      <c r="C1139" s="5"/>
      <c r="D1139" s="5"/>
      <c r="E1139" s="5"/>
      <c r="F1139" s="5"/>
    </row>
    <row r="1140" spans="1:6" ht="15" x14ac:dyDescent="0.25">
      <c r="A1140" s="5"/>
      <c r="B1140" s="5"/>
      <c r="C1140" s="5"/>
      <c r="D1140" s="5"/>
      <c r="E1140" s="5"/>
      <c r="F1140" s="5"/>
    </row>
    <row r="1141" spans="1:6" ht="15" x14ac:dyDescent="0.25">
      <c r="A1141" s="5"/>
      <c r="B1141" s="5"/>
      <c r="C1141" s="5"/>
      <c r="D1141" s="5"/>
      <c r="E1141" s="5"/>
      <c r="F1141" s="5"/>
    </row>
    <row r="1142" spans="1:6" ht="15" x14ac:dyDescent="0.25">
      <c r="A1142" s="5"/>
      <c r="B1142" s="5"/>
      <c r="C1142" s="5"/>
      <c r="D1142" s="5"/>
      <c r="E1142" s="5"/>
      <c r="F1142" s="5"/>
    </row>
    <row r="1143" spans="1:6" ht="15" x14ac:dyDescent="0.25">
      <c r="A1143" s="5"/>
      <c r="B1143" s="5"/>
      <c r="C1143" s="5"/>
      <c r="D1143" s="5"/>
      <c r="E1143" s="5"/>
      <c r="F1143" s="5"/>
    </row>
    <row r="1144" spans="1:6" ht="15" x14ac:dyDescent="0.25">
      <c r="A1144" s="5"/>
      <c r="B1144" s="5"/>
      <c r="C1144" s="5"/>
      <c r="D1144" s="5"/>
      <c r="E1144" s="5"/>
      <c r="F1144" s="5"/>
    </row>
    <row r="1145" spans="1:6" ht="15" x14ac:dyDescent="0.25">
      <c r="A1145" s="5"/>
      <c r="B1145" s="5"/>
      <c r="C1145" s="5"/>
      <c r="D1145" s="5"/>
      <c r="E1145" s="5"/>
      <c r="F1145" s="5"/>
    </row>
    <row r="1146" spans="1:6" ht="15" x14ac:dyDescent="0.25">
      <c r="A1146" s="5"/>
      <c r="B1146" s="5"/>
      <c r="C1146" s="5"/>
      <c r="D1146" s="5"/>
      <c r="E1146" s="5"/>
      <c r="F1146" s="5"/>
    </row>
    <row r="1147" spans="1:6" ht="15" x14ac:dyDescent="0.25">
      <c r="A1147" s="5"/>
      <c r="B1147" s="5"/>
      <c r="C1147" s="5"/>
      <c r="D1147" s="5"/>
      <c r="E1147" s="5"/>
      <c r="F1147" s="5"/>
    </row>
    <row r="1148" spans="1:6" ht="15" x14ac:dyDescent="0.25">
      <c r="A1148" s="5"/>
      <c r="B1148" s="5"/>
      <c r="C1148" s="5"/>
      <c r="D1148" s="5"/>
      <c r="E1148" s="5"/>
      <c r="F1148" s="5"/>
    </row>
    <row r="1149" spans="1:6" ht="15" x14ac:dyDescent="0.25">
      <c r="A1149" s="5"/>
      <c r="B1149" s="5"/>
      <c r="C1149" s="5"/>
      <c r="D1149" s="5"/>
      <c r="E1149" s="5"/>
      <c r="F1149" s="5"/>
    </row>
    <row r="1150" spans="1:6" ht="15" x14ac:dyDescent="0.25">
      <c r="A1150" s="5"/>
      <c r="B1150" s="5"/>
      <c r="C1150" s="5"/>
      <c r="D1150" s="5"/>
      <c r="E1150" s="5"/>
      <c r="F1150" s="5"/>
    </row>
    <row r="1151" spans="1:6" ht="15" x14ac:dyDescent="0.25">
      <c r="A1151" s="5"/>
      <c r="B1151" s="5"/>
      <c r="C1151" s="5"/>
      <c r="D1151" s="5"/>
      <c r="E1151" s="5"/>
      <c r="F1151" s="5"/>
    </row>
    <row r="1152" spans="1:6" ht="15" x14ac:dyDescent="0.25">
      <c r="A1152" s="5"/>
      <c r="B1152" s="5"/>
      <c r="C1152" s="5"/>
      <c r="D1152" s="5"/>
      <c r="E1152" s="5"/>
      <c r="F1152" s="5"/>
    </row>
    <row r="1153" spans="1:6" ht="15" x14ac:dyDescent="0.25">
      <c r="A1153" s="5"/>
      <c r="B1153" s="5"/>
      <c r="C1153" s="5"/>
      <c r="D1153" s="5"/>
      <c r="E1153" s="5"/>
      <c r="F1153" s="5"/>
    </row>
    <row r="1154" spans="1:6" ht="15" x14ac:dyDescent="0.25">
      <c r="A1154" s="5"/>
      <c r="B1154" s="5"/>
      <c r="C1154" s="5"/>
      <c r="D1154" s="5"/>
      <c r="E1154" s="5"/>
      <c r="F1154" s="5"/>
    </row>
    <row r="1155" spans="1:6" ht="15" x14ac:dyDescent="0.25">
      <c r="A1155" s="5"/>
      <c r="B1155" s="5"/>
      <c r="C1155" s="5"/>
      <c r="D1155" s="5"/>
      <c r="E1155" s="5"/>
      <c r="F1155" s="5"/>
    </row>
    <row r="1156" spans="1:6" ht="15" x14ac:dyDescent="0.25">
      <c r="A1156" s="5"/>
      <c r="B1156" s="5"/>
      <c r="C1156" s="5"/>
      <c r="D1156" s="5"/>
      <c r="E1156" s="5"/>
      <c r="F1156" s="5"/>
    </row>
    <row r="1157" spans="1:6" ht="15" x14ac:dyDescent="0.25">
      <c r="A1157" s="5"/>
      <c r="B1157" s="5"/>
      <c r="C1157" s="5"/>
      <c r="D1157" s="5"/>
      <c r="E1157" s="5"/>
      <c r="F1157" s="5"/>
    </row>
    <row r="1158" spans="1:6" ht="15" x14ac:dyDescent="0.25">
      <c r="A1158" s="5"/>
      <c r="B1158" s="5"/>
      <c r="C1158" s="5"/>
      <c r="D1158" s="5"/>
      <c r="E1158" s="5"/>
      <c r="F1158" s="5"/>
    </row>
    <row r="1159" spans="1:6" ht="15" x14ac:dyDescent="0.25">
      <c r="A1159" s="5"/>
      <c r="B1159" s="5"/>
      <c r="C1159" s="5"/>
      <c r="D1159" s="5"/>
      <c r="E1159" s="5"/>
      <c r="F1159" s="5"/>
    </row>
    <row r="1160" spans="1:6" ht="15" x14ac:dyDescent="0.25">
      <c r="A1160" s="5"/>
      <c r="B1160" s="5"/>
      <c r="C1160" s="5"/>
      <c r="D1160" s="5"/>
      <c r="E1160" s="5"/>
      <c r="F1160" s="5"/>
    </row>
    <row r="1161" spans="1:6" ht="15" x14ac:dyDescent="0.25">
      <c r="A1161" s="5"/>
      <c r="B1161" s="5"/>
      <c r="C1161" s="5"/>
      <c r="D1161" s="5"/>
      <c r="E1161" s="5"/>
      <c r="F1161" s="5"/>
    </row>
    <row r="1162" spans="1:6" ht="15" x14ac:dyDescent="0.25">
      <c r="A1162" s="5"/>
      <c r="B1162" s="5"/>
      <c r="C1162" s="5"/>
      <c r="D1162" s="5"/>
      <c r="E1162" s="5"/>
      <c r="F1162" s="5"/>
    </row>
    <row r="1163" spans="1:6" ht="15" x14ac:dyDescent="0.25">
      <c r="A1163" s="5"/>
      <c r="B1163" s="5"/>
      <c r="C1163" s="5"/>
      <c r="D1163" s="5"/>
      <c r="E1163" s="5"/>
      <c r="F1163" s="5"/>
    </row>
    <row r="1164" spans="1:6" ht="15" x14ac:dyDescent="0.25">
      <c r="A1164" s="5"/>
      <c r="B1164" s="5"/>
      <c r="C1164" s="5"/>
      <c r="D1164" s="5"/>
      <c r="E1164" s="5"/>
      <c r="F1164" s="5"/>
    </row>
    <row r="1165" spans="1:6" ht="15" x14ac:dyDescent="0.25">
      <c r="A1165" s="5"/>
      <c r="B1165" s="5"/>
      <c r="C1165" s="5"/>
      <c r="D1165" s="5"/>
      <c r="E1165" s="5"/>
      <c r="F1165" s="5"/>
    </row>
    <row r="1166" spans="1:6" ht="15" x14ac:dyDescent="0.25">
      <c r="A1166" s="5"/>
      <c r="B1166" s="5"/>
      <c r="C1166" s="5"/>
      <c r="D1166" s="5"/>
      <c r="E1166" s="5"/>
      <c r="F1166" s="5"/>
    </row>
    <row r="1167" spans="1:6" ht="15" x14ac:dyDescent="0.25">
      <c r="A1167" s="5"/>
      <c r="B1167" s="5"/>
      <c r="C1167" s="5"/>
      <c r="D1167" s="5"/>
      <c r="E1167" s="5"/>
      <c r="F1167" s="5"/>
    </row>
    <row r="1168" spans="1:6" ht="15" x14ac:dyDescent="0.25">
      <c r="A1168" s="5"/>
      <c r="B1168" s="5"/>
      <c r="C1168" s="5"/>
      <c r="D1168" s="5"/>
      <c r="E1168" s="5"/>
      <c r="F1168" s="5"/>
    </row>
    <row r="1169" spans="1:6" ht="15" x14ac:dyDescent="0.25">
      <c r="A1169" s="5"/>
      <c r="B1169" s="5"/>
      <c r="C1169" s="5"/>
      <c r="D1169" s="5"/>
      <c r="E1169" s="5"/>
      <c r="F1169" s="5"/>
    </row>
    <row r="1170" spans="1:6" ht="15" x14ac:dyDescent="0.25">
      <c r="A1170" s="5"/>
      <c r="B1170" s="5"/>
      <c r="C1170" s="5"/>
      <c r="D1170" s="5"/>
      <c r="E1170" s="5"/>
      <c r="F1170" s="5"/>
    </row>
    <row r="1171" spans="1:6" ht="15" x14ac:dyDescent="0.25">
      <c r="A1171" s="5"/>
      <c r="B1171" s="5"/>
      <c r="C1171" s="5"/>
      <c r="D1171" s="5"/>
      <c r="E1171" s="5"/>
      <c r="F1171" s="5"/>
    </row>
    <row r="1172" spans="1:6" ht="15" x14ac:dyDescent="0.25">
      <c r="A1172" s="5"/>
      <c r="B1172" s="5"/>
      <c r="C1172" s="5"/>
      <c r="D1172" s="5"/>
      <c r="E1172" s="5"/>
      <c r="F1172" s="5"/>
    </row>
    <row r="1173" spans="1:6" ht="15" x14ac:dyDescent="0.25">
      <c r="A1173" s="5"/>
      <c r="B1173" s="5"/>
      <c r="C1173" s="5"/>
      <c r="D1173" s="5"/>
      <c r="E1173" s="5"/>
      <c r="F1173" s="5"/>
    </row>
    <row r="1174" spans="1:6" ht="15" x14ac:dyDescent="0.25">
      <c r="A1174" s="5"/>
      <c r="B1174" s="5"/>
      <c r="C1174" s="5"/>
      <c r="D1174" s="5"/>
      <c r="E1174" s="5"/>
      <c r="F1174" s="5"/>
    </row>
    <row r="1175" spans="1:6" ht="15" x14ac:dyDescent="0.25">
      <c r="A1175" s="5"/>
      <c r="B1175" s="5"/>
      <c r="C1175" s="5"/>
      <c r="D1175" s="5"/>
      <c r="E1175" s="5"/>
      <c r="F1175" s="5"/>
    </row>
    <row r="1176" spans="1:6" ht="15" x14ac:dyDescent="0.25">
      <c r="A1176" s="5"/>
      <c r="B1176" s="5"/>
      <c r="C1176" s="5"/>
      <c r="D1176" s="5"/>
      <c r="E1176" s="5"/>
      <c r="F1176" s="5"/>
    </row>
    <row r="1177" spans="1:6" ht="15" x14ac:dyDescent="0.25">
      <c r="A1177" s="5"/>
      <c r="B1177" s="5"/>
      <c r="C1177" s="5"/>
      <c r="D1177" s="5"/>
      <c r="E1177" s="5"/>
      <c r="F1177" s="5"/>
    </row>
    <row r="1178" spans="1:6" ht="15" x14ac:dyDescent="0.25">
      <c r="A1178" s="5"/>
      <c r="B1178" s="5"/>
      <c r="C1178" s="5"/>
      <c r="D1178" s="5"/>
      <c r="E1178" s="5"/>
      <c r="F1178" s="5"/>
    </row>
    <row r="1179" spans="1:6" ht="15" x14ac:dyDescent="0.25">
      <c r="A1179" s="5"/>
      <c r="B1179" s="5"/>
      <c r="C1179" s="5"/>
      <c r="D1179" s="5"/>
      <c r="E1179" s="5"/>
      <c r="F1179" s="5"/>
    </row>
    <row r="1180" spans="1:6" ht="15" x14ac:dyDescent="0.25">
      <c r="A1180" s="5"/>
      <c r="B1180" s="5"/>
      <c r="C1180" s="5"/>
      <c r="D1180" s="5"/>
      <c r="E1180" s="5"/>
      <c r="F1180" s="5"/>
    </row>
    <row r="1181" spans="1:6" ht="15" x14ac:dyDescent="0.25">
      <c r="A1181" s="5"/>
      <c r="B1181" s="5"/>
      <c r="C1181" s="5"/>
      <c r="D1181" s="5"/>
      <c r="E1181" s="5"/>
      <c r="F1181" s="5"/>
    </row>
    <row r="1182" spans="1:6" ht="15" x14ac:dyDescent="0.25">
      <c r="A1182" s="5"/>
      <c r="B1182" s="5"/>
      <c r="C1182" s="5"/>
      <c r="D1182" s="5"/>
      <c r="E1182" s="5"/>
      <c r="F1182" s="5"/>
    </row>
    <row r="1183" spans="1:6" ht="15" x14ac:dyDescent="0.25">
      <c r="A1183" s="5"/>
      <c r="B1183" s="5"/>
      <c r="C1183" s="5"/>
      <c r="D1183" s="5"/>
      <c r="E1183" s="5"/>
      <c r="F1183" s="5"/>
    </row>
    <row r="1184" spans="1:6" ht="15" x14ac:dyDescent="0.25">
      <c r="A1184" s="5"/>
      <c r="B1184" s="5"/>
      <c r="C1184" s="5"/>
      <c r="D1184" s="5"/>
      <c r="E1184" s="5"/>
      <c r="F1184" s="5"/>
    </row>
    <row r="1185" spans="1:6" ht="15" x14ac:dyDescent="0.25">
      <c r="A1185" s="5"/>
      <c r="B1185" s="5"/>
      <c r="C1185" s="5"/>
      <c r="D1185" s="5"/>
      <c r="E1185" s="5"/>
      <c r="F1185" s="5"/>
    </row>
    <row r="1186" spans="1:6" ht="15" x14ac:dyDescent="0.25">
      <c r="A1186" s="5"/>
      <c r="B1186" s="5"/>
      <c r="C1186" s="5"/>
      <c r="D1186" s="5"/>
      <c r="E1186" s="5"/>
      <c r="F1186" s="5"/>
    </row>
    <row r="1187" spans="1:6" ht="15" x14ac:dyDescent="0.25">
      <c r="A1187" s="5"/>
      <c r="B1187" s="5"/>
      <c r="C1187" s="5"/>
      <c r="D1187" s="5"/>
      <c r="E1187" s="5"/>
      <c r="F1187" s="5"/>
    </row>
    <row r="1188" spans="1:6" ht="15" x14ac:dyDescent="0.25">
      <c r="A1188" s="5"/>
      <c r="B1188" s="5"/>
      <c r="C1188" s="5"/>
      <c r="D1188" s="5"/>
      <c r="E1188" s="5"/>
      <c r="F1188" s="5"/>
    </row>
    <row r="1189" spans="1:6" ht="15" x14ac:dyDescent="0.25">
      <c r="A1189" s="5"/>
      <c r="B1189" s="5"/>
      <c r="C1189" s="5"/>
      <c r="D1189" s="5"/>
      <c r="E1189" s="5"/>
      <c r="F1189" s="5"/>
    </row>
    <row r="1190" spans="1:6" ht="15" x14ac:dyDescent="0.25">
      <c r="A1190" s="5"/>
      <c r="B1190" s="5"/>
      <c r="C1190" s="5"/>
      <c r="D1190" s="5"/>
      <c r="E1190" s="5"/>
      <c r="F1190" s="5"/>
    </row>
    <row r="1191" spans="1:6" ht="15" x14ac:dyDescent="0.25">
      <c r="A1191" s="5"/>
      <c r="B1191" s="5"/>
      <c r="C1191" s="5"/>
      <c r="D1191" s="5"/>
      <c r="E1191" s="5"/>
      <c r="F1191" s="5"/>
    </row>
    <row r="1192" spans="1:6" ht="15" x14ac:dyDescent="0.25">
      <c r="A1192" s="5"/>
      <c r="B1192" s="5"/>
      <c r="C1192" s="5"/>
      <c r="D1192" s="5"/>
      <c r="E1192" s="5"/>
      <c r="F1192" s="5"/>
    </row>
    <row r="1193" spans="1:6" ht="15" x14ac:dyDescent="0.25">
      <c r="A1193" s="5"/>
      <c r="B1193" s="5"/>
      <c r="C1193" s="5"/>
      <c r="D1193" s="5"/>
      <c r="E1193" s="5"/>
      <c r="F1193" s="5"/>
    </row>
    <row r="1194" spans="1:6" ht="15" x14ac:dyDescent="0.25">
      <c r="A1194" s="5"/>
      <c r="B1194" s="5"/>
      <c r="C1194" s="5"/>
      <c r="D1194" s="5"/>
      <c r="E1194" s="5"/>
      <c r="F1194" s="5"/>
    </row>
    <row r="1195" spans="1:6" ht="15" x14ac:dyDescent="0.25">
      <c r="A1195" s="5"/>
      <c r="B1195" s="5"/>
      <c r="C1195" s="5"/>
      <c r="D1195" s="5"/>
      <c r="E1195" s="5"/>
      <c r="F1195" s="5"/>
    </row>
    <row r="1196" spans="1:6" ht="15" x14ac:dyDescent="0.25">
      <c r="A1196" s="5"/>
      <c r="B1196" s="5"/>
      <c r="C1196" s="5"/>
      <c r="D1196" s="5"/>
      <c r="E1196" s="5"/>
      <c r="F1196" s="5"/>
    </row>
    <row r="1197" spans="1:6" ht="15" x14ac:dyDescent="0.25">
      <c r="A1197" s="5"/>
      <c r="B1197" s="5"/>
      <c r="C1197" s="5"/>
      <c r="D1197" s="5"/>
      <c r="E1197" s="5"/>
      <c r="F1197" s="5"/>
    </row>
    <row r="1198" spans="1:6" ht="15" x14ac:dyDescent="0.25">
      <c r="A1198" s="5"/>
      <c r="B1198" s="5"/>
      <c r="C1198" s="5"/>
      <c r="D1198" s="5"/>
      <c r="E1198" s="5"/>
      <c r="F1198" s="5"/>
    </row>
    <row r="1199" spans="1:6" ht="15" x14ac:dyDescent="0.25">
      <c r="A1199" s="5"/>
      <c r="B1199" s="5"/>
      <c r="C1199" s="5"/>
      <c r="D1199" s="5"/>
      <c r="E1199" s="5"/>
      <c r="F1199" s="5"/>
    </row>
    <row r="1200" spans="1:6" ht="15" x14ac:dyDescent="0.25">
      <c r="A1200" s="5"/>
      <c r="B1200" s="5"/>
      <c r="C1200" s="5"/>
      <c r="D1200" s="5"/>
      <c r="E1200" s="5"/>
      <c r="F1200" s="5"/>
    </row>
    <row r="1201" spans="1:6" ht="15" x14ac:dyDescent="0.25">
      <c r="A1201" s="5"/>
      <c r="B1201" s="5"/>
      <c r="C1201" s="5"/>
      <c r="D1201" s="5"/>
      <c r="E1201" s="5"/>
      <c r="F1201" s="5"/>
    </row>
    <row r="1202" spans="1:6" ht="15" x14ac:dyDescent="0.25">
      <c r="A1202" s="5"/>
      <c r="B1202" s="5"/>
      <c r="C1202" s="5"/>
      <c r="D1202" s="5"/>
      <c r="E1202" s="5"/>
      <c r="F1202" s="5"/>
    </row>
    <row r="1203" spans="1:6" ht="15" x14ac:dyDescent="0.25">
      <c r="A1203" s="5"/>
      <c r="B1203" s="5"/>
      <c r="C1203" s="5"/>
      <c r="D1203" s="5"/>
      <c r="E1203" s="5"/>
      <c r="F1203" s="5"/>
    </row>
    <row r="1204" spans="1:6" ht="15" x14ac:dyDescent="0.25">
      <c r="A1204" s="5"/>
      <c r="B1204" s="5"/>
      <c r="C1204" s="5"/>
      <c r="D1204" s="5"/>
      <c r="E1204" s="5"/>
      <c r="F1204" s="5"/>
    </row>
    <row r="1205" spans="1:6" ht="15" x14ac:dyDescent="0.25">
      <c r="A1205" s="5"/>
      <c r="B1205" s="5"/>
      <c r="C1205" s="5"/>
      <c r="D1205" s="5"/>
      <c r="E1205" s="5"/>
      <c r="F1205" s="5"/>
    </row>
    <row r="1206" spans="1:6" ht="15" x14ac:dyDescent="0.25">
      <c r="A1206" s="5"/>
      <c r="B1206" s="5"/>
      <c r="C1206" s="5"/>
      <c r="D1206" s="5"/>
      <c r="E1206" s="5"/>
      <c r="F1206" s="5"/>
    </row>
    <row r="1207" spans="1:6" ht="15" x14ac:dyDescent="0.25">
      <c r="A1207" s="5"/>
      <c r="B1207" s="5"/>
      <c r="C1207" s="5"/>
      <c r="D1207" s="5"/>
      <c r="E1207" s="5"/>
      <c r="F1207" s="5"/>
    </row>
    <row r="1208" spans="1:6" ht="15" x14ac:dyDescent="0.25">
      <c r="A1208" s="5"/>
      <c r="B1208" s="5"/>
      <c r="C1208" s="5"/>
      <c r="D1208" s="5"/>
      <c r="E1208" s="5"/>
      <c r="F1208" s="5"/>
    </row>
    <row r="1209" spans="1:6" ht="15" x14ac:dyDescent="0.25">
      <c r="A1209" s="5"/>
      <c r="B1209" s="5"/>
      <c r="C1209" s="5"/>
      <c r="D1209" s="5"/>
      <c r="E1209" s="5"/>
      <c r="F1209" s="5"/>
    </row>
    <row r="1210" spans="1:6" ht="15" x14ac:dyDescent="0.25">
      <c r="A1210" s="5"/>
      <c r="B1210" s="5"/>
      <c r="C1210" s="5"/>
      <c r="D1210" s="5"/>
      <c r="E1210" s="5"/>
      <c r="F1210" s="5"/>
    </row>
    <row r="1211" spans="1:6" ht="15" x14ac:dyDescent="0.25">
      <c r="A1211" s="5"/>
      <c r="B1211" s="5"/>
      <c r="C1211" s="5"/>
      <c r="D1211" s="5"/>
      <c r="E1211" s="5"/>
      <c r="F1211" s="5"/>
    </row>
    <row r="1212" spans="1:6" ht="15" x14ac:dyDescent="0.25">
      <c r="A1212" s="5"/>
      <c r="B1212" s="5"/>
      <c r="C1212" s="5"/>
      <c r="D1212" s="5"/>
      <c r="E1212" s="5"/>
      <c r="F1212" s="5"/>
    </row>
    <row r="1213" spans="1:6" ht="15" x14ac:dyDescent="0.25">
      <c r="A1213" s="5"/>
      <c r="B1213" s="5"/>
      <c r="C1213" s="5"/>
      <c r="D1213" s="5"/>
      <c r="E1213" s="5"/>
      <c r="F1213" s="5"/>
    </row>
    <row r="1214" spans="1:6" ht="15" x14ac:dyDescent="0.25">
      <c r="A1214" s="5"/>
      <c r="B1214" s="5"/>
      <c r="C1214" s="5"/>
      <c r="D1214" s="5"/>
      <c r="E1214" s="5"/>
      <c r="F1214" s="5"/>
    </row>
    <row r="1215" spans="1:6" ht="15" x14ac:dyDescent="0.25">
      <c r="A1215" s="5"/>
      <c r="B1215" s="5"/>
      <c r="C1215" s="5"/>
      <c r="D1215" s="5"/>
      <c r="E1215" s="5"/>
      <c r="F1215" s="5"/>
    </row>
    <row r="1216" spans="1:6" ht="15" x14ac:dyDescent="0.25">
      <c r="A1216" s="5"/>
      <c r="B1216" s="5"/>
      <c r="C1216" s="5"/>
      <c r="D1216" s="5"/>
      <c r="E1216" s="5"/>
      <c r="F1216" s="5"/>
    </row>
    <row r="1217" spans="1:6" ht="15" x14ac:dyDescent="0.25">
      <c r="A1217" s="5"/>
      <c r="B1217" s="5"/>
      <c r="C1217" s="5"/>
      <c r="D1217" s="5"/>
      <c r="E1217" s="5"/>
      <c r="F1217" s="5"/>
    </row>
    <row r="1218" spans="1:6" ht="15" x14ac:dyDescent="0.25">
      <c r="A1218" s="5"/>
      <c r="B1218" s="5"/>
      <c r="C1218" s="5"/>
      <c r="D1218" s="5"/>
      <c r="E1218" s="5"/>
      <c r="F1218" s="5"/>
    </row>
    <row r="1219" spans="1:6" ht="15" x14ac:dyDescent="0.25">
      <c r="A1219" s="5"/>
      <c r="B1219" s="5"/>
      <c r="C1219" s="5"/>
      <c r="D1219" s="5"/>
      <c r="E1219" s="5"/>
      <c r="F1219" s="5"/>
    </row>
    <row r="1220" spans="1:6" ht="15" x14ac:dyDescent="0.25">
      <c r="A1220" s="5"/>
      <c r="B1220" s="5"/>
      <c r="C1220" s="5"/>
      <c r="D1220" s="5"/>
      <c r="E1220" s="5"/>
      <c r="F1220" s="5"/>
    </row>
    <row r="1221" spans="1:6" ht="15" x14ac:dyDescent="0.25">
      <c r="A1221" s="5"/>
      <c r="B1221" s="5"/>
      <c r="C1221" s="5"/>
      <c r="D1221" s="5"/>
      <c r="E1221" s="5"/>
      <c r="F1221" s="5"/>
    </row>
    <row r="1222" spans="1:6" ht="15" x14ac:dyDescent="0.25">
      <c r="A1222" s="5"/>
      <c r="B1222" s="5"/>
      <c r="C1222" s="5"/>
      <c r="D1222" s="5"/>
      <c r="E1222" s="5"/>
      <c r="F1222" s="5"/>
    </row>
    <row r="1223" spans="1:6" ht="15" x14ac:dyDescent="0.25">
      <c r="A1223" s="5"/>
      <c r="B1223" s="5"/>
      <c r="C1223" s="5"/>
      <c r="D1223" s="5"/>
      <c r="E1223" s="5"/>
      <c r="F1223" s="5"/>
    </row>
    <row r="1224" spans="1:6" ht="15" x14ac:dyDescent="0.25">
      <c r="A1224" s="5"/>
      <c r="B1224" s="5"/>
      <c r="C1224" s="5"/>
      <c r="D1224" s="5"/>
      <c r="E1224" s="5"/>
      <c r="F1224" s="5"/>
    </row>
    <row r="1225" spans="1:6" ht="15" x14ac:dyDescent="0.25">
      <c r="A1225" s="5"/>
      <c r="B1225" s="5"/>
      <c r="C1225" s="5"/>
      <c r="D1225" s="5"/>
      <c r="E1225" s="5"/>
      <c r="F1225" s="5"/>
    </row>
    <row r="1226" spans="1:6" ht="15" x14ac:dyDescent="0.25">
      <c r="A1226" s="5"/>
      <c r="B1226" s="5"/>
      <c r="C1226" s="5"/>
      <c r="D1226" s="5"/>
      <c r="E1226" s="5"/>
      <c r="F1226" s="5"/>
    </row>
    <row r="1227" spans="1:6" ht="15" x14ac:dyDescent="0.25">
      <c r="A1227" s="5"/>
      <c r="B1227" s="5"/>
      <c r="C1227" s="5"/>
      <c r="D1227" s="5"/>
      <c r="E1227" s="5"/>
      <c r="F1227" s="5"/>
    </row>
    <row r="1228" spans="1:6" ht="15" x14ac:dyDescent="0.25">
      <c r="A1228" s="5"/>
      <c r="B1228" s="5"/>
      <c r="C1228" s="5"/>
      <c r="D1228" s="5"/>
      <c r="E1228" s="5"/>
      <c r="F1228" s="5"/>
    </row>
    <row r="1229" spans="1:6" ht="15" x14ac:dyDescent="0.25">
      <c r="A1229" s="5"/>
      <c r="B1229" s="5"/>
      <c r="C1229" s="5"/>
      <c r="D1229" s="5"/>
      <c r="E1229" s="5"/>
      <c r="F1229" s="5"/>
    </row>
    <row r="1230" spans="1:6" ht="15" x14ac:dyDescent="0.25">
      <c r="A1230" s="5"/>
      <c r="B1230" s="5"/>
      <c r="C1230" s="5"/>
      <c r="D1230" s="5"/>
      <c r="E1230" s="5"/>
      <c r="F1230" s="5"/>
    </row>
    <row r="1231" spans="1:6" ht="15" x14ac:dyDescent="0.25">
      <c r="A1231" s="5"/>
      <c r="B1231" s="5"/>
      <c r="C1231" s="5"/>
      <c r="D1231" s="5"/>
      <c r="E1231" s="5"/>
      <c r="F1231" s="5"/>
    </row>
    <row r="1232" spans="1:6" ht="15" x14ac:dyDescent="0.25">
      <c r="A1232" s="5"/>
      <c r="B1232" s="5"/>
      <c r="C1232" s="5"/>
      <c r="D1232" s="5"/>
      <c r="E1232" s="5"/>
      <c r="F1232" s="5"/>
    </row>
    <row r="1233" spans="1:6" ht="15" x14ac:dyDescent="0.25">
      <c r="A1233" s="5"/>
      <c r="B1233" s="5"/>
      <c r="C1233" s="5"/>
      <c r="D1233" s="5"/>
      <c r="E1233" s="5"/>
      <c r="F1233" s="5"/>
    </row>
    <row r="1234" spans="1:6" ht="15" x14ac:dyDescent="0.25">
      <c r="A1234" s="5"/>
      <c r="B1234" s="5"/>
      <c r="C1234" s="5"/>
      <c r="D1234" s="5"/>
      <c r="E1234" s="5"/>
      <c r="F1234" s="5"/>
    </row>
    <row r="1235" spans="1:6" ht="15" x14ac:dyDescent="0.25">
      <c r="A1235" s="5"/>
      <c r="B1235" s="5"/>
      <c r="C1235" s="5"/>
      <c r="D1235" s="5"/>
      <c r="E1235" s="5"/>
      <c r="F1235" s="5"/>
    </row>
    <row r="1236" spans="1:6" ht="15" x14ac:dyDescent="0.25">
      <c r="A1236" s="5"/>
      <c r="B1236" s="5"/>
      <c r="C1236" s="5"/>
      <c r="D1236" s="5"/>
      <c r="E1236" s="5"/>
      <c r="F1236" s="5"/>
    </row>
    <row r="1237" spans="1:6" ht="15" x14ac:dyDescent="0.25">
      <c r="A1237" s="5"/>
      <c r="B1237" s="5"/>
      <c r="C1237" s="5"/>
      <c r="D1237" s="5"/>
      <c r="E1237" s="5"/>
      <c r="F1237" s="5"/>
    </row>
    <row r="1238" spans="1:6" ht="15" x14ac:dyDescent="0.25">
      <c r="A1238" s="5"/>
      <c r="B1238" s="5"/>
      <c r="C1238" s="5"/>
      <c r="D1238" s="5"/>
      <c r="E1238" s="5"/>
      <c r="F1238" s="5"/>
    </row>
    <row r="1239" spans="1:6" ht="15" x14ac:dyDescent="0.25">
      <c r="A1239" s="5"/>
      <c r="B1239" s="5"/>
      <c r="C1239" s="5"/>
      <c r="D1239" s="5"/>
      <c r="E1239" s="5"/>
      <c r="F1239" s="5"/>
    </row>
    <row r="1240" spans="1:6" ht="15" x14ac:dyDescent="0.25">
      <c r="A1240" s="5"/>
      <c r="B1240" s="5"/>
      <c r="C1240" s="5"/>
      <c r="D1240" s="5"/>
      <c r="E1240" s="5"/>
      <c r="F1240" s="5"/>
    </row>
    <row r="1241" spans="1:6" ht="15" x14ac:dyDescent="0.25">
      <c r="A1241" s="5"/>
      <c r="B1241" s="5"/>
      <c r="C1241" s="5"/>
      <c r="D1241" s="5"/>
      <c r="E1241" s="5"/>
      <c r="F1241" s="5"/>
    </row>
    <row r="1242" spans="1:6" ht="15" x14ac:dyDescent="0.25">
      <c r="A1242" s="5"/>
      <c r="B1242" s="5"/>
      <c r="C1242" s="5"/>
      <c r="D1242" s="5"/>
      <c r="E1242" s="5"/>
      <c r="F1242" s="5"/>
    </row>
    <row r="1243" spans="1:6" ht="15" x14ac:dyDescent="0.25">
      <c r="A1243" s="5"/>
      <c r="B1243" s="5"/>
      <c r="C1243" s="5"/>
      <c r="D1243" s="5"/>
      <c r="E1243" s="5"/>
      <c r="F1243" s="5"/>
    </row>
    <row r="1244" spans="1:6" ht="15" x14ac:dyDescent="0.25">
      <c r="A1244" s="5"/>
      <c r="B1244" s="5"/>
      <c r="C1244" s="5"/>
      <c r="D1244" s="5"/>
      <c r="E1244" s="5"/>
      <c r="F1244" s="5"/>
    </row>
    <row r="1245" spans="1:6" ht="15" x14ac:dyDescent="0.25">
      <c r="A1245" s="5"/>
      <c r="B1245" s="5"/>
      <c r="C1245" s="5"/>
      <c r="D1245" s="5"/>
      <c r="E1245" s="5"/>
      <c r="F1245" s="5"/>
    </row>
    <row r="1246" spans="1:6" ht="15" x14ac:dyDescent="0.25">
      <c r="A1246" s="5"/>
      <c r="B1246" s="5"/>
      <c r="C1246" s="5"/>
      <c r="D1246" s="5"/>
      <c r="E1246" s="5"/>
      <c r="F1246" s="5"/>
    </row>
    <row r="1247" spans="1:6" ht="15" x14ac:dyDescent="0.25">
      <c r="A1247" s="5"/>
      <c r="B1247" s="5"/>
      <c r="C1247" s="5"/>
      <c r="D1247" s="5"/>
      <c r="E1247" s="5"/>
      <c r="F1247" s="5"/>
    </row>
    <row r="1248" spans="1:6" ht="15" x14ac:dyDescent="0.25">
      <c r="A1248" s="5"/>
      <c r="B1248" s="5"/>
      <c r="C1248" s="5"/>
      <c r="D1248" s="5"/>
      <c r="E1248" s="5"/>
      <c r="F1248" s="5"/>
    </row>
    <row r="1249" spans="1:6" ht="15" x14ac:dyDescent="0.25">
      <c r="A1249" s="5"/>
      <c r="B1249" s="5"/>
      <c r="C1249" s="5"/>
      <c r="D1249" s="5"/>
      <c r="E1249" s="5"/>
      <c r="F1249" s="5"/>
    </row>
    <row r="1250" spans="1:6" ht="15" x14ac:dyDescent="0.25">
      <c r="A1250" s="5"/>
      <c r="B1250" s="5"/>
      <c r="C1250" s="5"/>
      <c r="D1250" s="5"/>
      <c r="E1250" s="5"/>
      <c r="F1250" s="5"/>
    </row>
    <row r="1251" spans="1:6" ht="15" x14ac:dyDescent="0.25">
      <c r="A1251" s="5"/>
      <c r="B1251" s="5"/>
      <c r="C1251" s="5"/>
      <c r="D1251" s="5"/>
      <c r="E1251" s="5"/>
      <c r="F1251" s="5"/>
    </row>
    <row r="1252" spans="1:6" ht="15" x14ac:dyDescent="0.25">
      <c r="A1252" s="5"/>
      <c r="B1252" s="5"/>
      <c r="C1252" s="5"/>
      <c r="D1252" s="5"/>
      <c r="E1252" s="5"/>
      <c r="F1252" s="5"/>
    </row>
    <row r="1253" spans="1:6" ht="15" x14ac:dyDescent="0.25">
      <c r="A1253" s="5"/>
      <c r="B1253" s="5"/>
      <c r="C1253" s="5"/>
      <c r="D1253" s="5"/>
      <c r="E1253" s="5"/>
      <c r="F1253" s="5"/>
    </row>
    <row r="1254" spans="1:6" ht="15" x14ac:dyDescent="0.25">
      <c r="A1254" s="5"/>
      <c r="B1254" s="5"/>
      <c r="C1254" s="5"/>
      <c r="D1254" s="5"/>
      <c r="E1254" s="5"/>
      <c r="F1254" s="5"/>
    </row>
    <row r="1255" spans="1:6" ht="15" x14ac:dyDescent="0.25">
      <c r="A1255" s="5"/>
      <c r="B1255" s="5"/>
      <c r="C1255" s="5"/>
      <c r="D1255" s="5"/>
      <c r="E1255" s="5"/>
      <c r="F1255" s="5"/>
    </row>
    <row r="1256" spans="1:6" ht="15" x14ac:dyDescent="0.25">
      <c r="A1256" s="5"/>
      <c r="B1256" s="5"/>
      <c r="C1256" s="5"/>
      <c r="D1256" s="5"/>
      <c r="E1256" s="5"/>
      <c r="F1256" s="5"/>
    </row>
    <row r="1257" spans="1:6" ht="15" x14ac:dyDescent="0.25">
      <c r="A1257" s="5"/>
      <c r="B1257" s="5"/>
      <c r="C1257" s="5"/>
      <c r="D1257" s="5"/>
      <c r="E1257" s="5"/>
      <c r="F1257" s="5"/>
    </row>
    <row r="1258" spans="1:6" ht="15" x14ac:dyDescent="0.25">
      <c r="A1258" s="5"/>
      <c r="B1258" s="5"/>
      <c r="C1258" s="5"/>
      <c r="D1258" s="5"/>
      <c r="E1258" s="5"/>
      <c r="F1258" s="5"/>
    </row>
    <row r="1259" spans="1:6" ht="15" x14ac:dyDescent="0.25">
      <c r="A1259" s="5"/>
      <c r="B1259" s="5"/>
      <c r="C1259" s="5"/>
      <c r="D1259" s="5"/>
      <c r="E1259" s="5"/>
      <c r="F1259" s="5"/>
    </row>
    <row r="1260" spans="1:6" ht="15" x14ac:dyDescent="0.25">
      <c r="A1260" s="5"/>
      <c r="B1260" s="5"/>
      <c r="C1260" s="5"/>
      <c r="D1260" s="5"/>
      <c r="E1260" s="5"/>
      <c r="F1260" s="5"/>
    </row>
    <row r="1261" spans="1:6" ht="15" x14ac:dyDescent="0.25">
      <c r="A1261" s="5"/>
      <c r="B1261" s="5"/>
      <c r="C1261" s="5"/>
      <c r="D1261" s="5"/>
      <c r="E1261" s="5"/>
      <c r="F1261" s="5"/>
    </row>
    <row r="1262" spans="1:6" ht="15" x14ac:dyDescent="0.25">
      <c r="A1262" s="5"/>
      <c r="B1262" s="5"/>
      <c r="C1262" s="5"/>
      <c r="D1262" s="5"/>
      <c r="E1262" s="5"/>
      <c r="F1262" s="5"/>
    </row>
    <row r="1263" spans="1:6" ht="15" x14ac:dyDescent="0.25">
      <c r="A1263" s="5"/>
      <c r="B1263" s="5"/>
      <c r="C1263" s="5"/>
      <c r="D1263" s="5"/>
      <c r="E1263" s="5"/>
      <c r="F1263" s="5"/>
    </row>
    <row r="1264" spans="1:6" ht="15" x14ac:dyDescent="0.25">
      <c r="A1264" s="5"/>
      <c r="B1264" s="5"/>
      <c r="C1264" s="5"/>
      <c r="D1264" s="5"/>
      <c r="E1264" s="5"/>
      <c r="F1264" s="5"/>
    </row>
    <row r="1265" spans="1:6" ht="15" x14ac:dyDescent="0.25">
      <c r="A1265" s="5"/>
      <c r="B1265" s="5"/>
      <c r="C1265" s="5"/>
      <c r="D1265" s="5"/>
      <c r="E1265" s="5"/>
      <c r="F1265" s="5"/>
    </row>
    <row r="1266" spans="1:6" ht="15" x14ac:dyDescent="0.25">
      <c r="A1266" s="5"/>
      <c r="B1266" s="5"/>
      <c r="C1266" s="5"/>
      <c r="D1266" s="5"/>
      <c r="E1266" s="5"/>
      <c r="F1266" s="5"/>
    </row>
    <row r="1267" spans="1:6" ht="15" x14ac:dyDescent="0.25">
      <c r="A1267" s="5"/>
      <c r="B1267" s="5"/>
      <c r="C1267" s="5"/>
      <c r="D1267" s="5"/>
      <c r="E1267" s="5"/>
      <c r="F1267" s="5"/>
    </row>
    <row r="1268" spans="1:6" ht="15" x14ac:dyDescent="0.25">
      <c r="A1268" s="5"/>
      <c r="B1268" s="5"/>
      <c r="C1268" s="5"/>
      <c r="D1268" s="5"/>
      <c r="E1268" s="5"/>
      <c r="F1268" s="5"/>
    </row>
    <row r="1269" spans="1:6" ht="15" x14ac:dyDescent="0.25">
      <c r="A1269" s="5"/>
      <c r="B1269" s="5"/>
      <c r="C1269" s="5"/>
      <c r="D1269" s="5"/>
      <c r="E1269" s="5"/>
      <c r="F1269" s="5"/>
    </row>
    <row r="1270" spans="1:6" ht="15" x14ac:dyDescent="0.25">
      <c r="A1270" s="5"/>
      <c r="B1270" s="5"/>
      <c r="C1270" s="5"/>
      <c r="D1270" s="5"/>
      <c r="E1270" s="5"/>
      <c r="F1270" s="5"/>
    </row>
    <row r="1271" spans="1:6" ht="15" x14ac:dyDescent="0.25">
      <c r="A1271" s="5"/>
      <c r="B1271" s="5"/>
      <c r="C1271" s="5"/>
      <c r="D1271" s="5"/>
      <c r="E1271" s="5"/>
      <c r="F1271" s="5"/>
    </row>
    <row r="1272" spans="1:6" ht="15" x14ac:dyDescent="0.25">
      <c r="A1272" s="5"/>
      <c r="B1272" s="5"/>
      <c r="C1272" s="5"/>
      <c r="D1272" s="5"/>
      <c r="E1272" s="5"/>
      <c r="F1272" s="5"/>
    </row>
    <row r="1273" spans="1:6" ht="15" x14ac:dyDescent="0.25">
      <c r="A1273" s="5"/>
      <c r="B1273" s="5"/>
      <c r="C1273" s="5"/>
      <c r="D1273" s="5"/>
      <c r="E1273" s="5"/>
      <c r="F1273" s="5"/>
    </row>
    <row r="1274" spans="1:6" ht="15" x14ac:dyDescent="0.25">
      <c r="A1274" s="5"/>
      <c r="B1274" s="5"/>
      <c r="C1274" s="5"/>
      <c r="D1274" s="5"/>
      <c r="E1274" s="5"/>
      <c r="F1274" s="5"/>
    </row>
    <row r="1275" spans="1:6" ht="15" x14ac:dyDescent="0.25">
      <c r="A1275" s="5"/>
      <c r="B1275" s="5"/>
      <c r="C1275" s="5"/>
      <c r="D1275" s="5"/>
      <c r="E1275" s="5"/>
      <c r="F1275" s="5"/>
    </row>
    <row r="1276" spans="1:6" ht="15" x14ac:dyDescent="0.25">
      <c r="A1276" s="5"/>
      <c r="B1276" s="5"/>
      <c r="C1276" s="5"/>
      <c r="D1276" s="5"/>
      <c r="E1276" s="5"/>
      <c r="F1276" s="5"/>
    </row>
    <row r="1277" spans="1:6" ht="15" x14ac:dyDescent="0.25">
      <c r="A1277" s="5"/>
      <c r="B1277" s="5"/>
      <c r="C1277" s="5"/>
      <c r="D1277" s="5"/>
      <c r="E1277" s="5"/>
      <c r="F1277" s="5"/>
    </row>
    <row r="1278" spans="1:6" ht="15" x14ac:dyDescent="0.25">
      <c r="A1278" s="5"/>
      <c r="B1278" s="5"/>
      <c r="C1278" s="5"/>
      <c r="D1278" s="5"/>
      <c r="E1278" s="5"/>
      <c r="F1278" s="5"/>
    </row>
    <row r="1279" spans="1:6" ht="15" x14ac:dyDescent="0.25">
      <c r="A1279" s="5"/>
      <c r="B1279" s="5"/>
      <c r="C1279" s="5"/>
      <c r="D1279" s="5"/>
      <c r="E1279" s="5"/>
      <c r="F1279" s="5"/>
    </row>
    <row r="1280" spans="1:6" ht="15" x14ac:dyDescent="0.25">
      <c r="A1280" s="5"/>
      <c r="B1280" s="5"/>
      <c r="C1280" s="5"/>
      <c r="D1280" s="5"/>
      <c r="E1280" s="5"/>
      <c r="F1280" s="5"/>
    </row>
    <row r="1281" spans="1:6" ht="15" x14ac:dyDescent="0.25">
      <c r="A1281" s="5"/>
      <c r="B1281" s="5"/>
      <c r="C1281" s="5"/>
      <c r="D1281" s="5"/>
      <c r="E1281" s="5"/>
      <c r="F1281" s="5"/>
    </row>
    <row r="1282" spans="1:6" ht="15" x14ac:dyDescent="0.25">
      <c r="A1282" s="5"/>
      <c r="B1282" s="5"/>
      <c r="C1282" s="5"/>
      <c r="D1282" s="5"/>
      <c r="E1282" s="5"/>
      <c r="F1282" s="5"/>
    </row>
    <row r="1283" spans="1:6" ht="15" x14ac:dyDescent="0.25">
      <c r="A1283" s="5"/>
      <c r="B1283" s="5"/>
      <c r="C1283" s="5"/>
      <c r="D1283" s="5"/>
      <c r="E1283" s="5"/>
      <c r="F1283" s="5"/>
    </row>
    <row r="1284" spans="1:6" ht="15" x14ac:dyDescent="0.25">
      <c r="A1284" s="5"/>
      <c r="B1284" s="5"/>
      <c r="C1284" s="5"/>
      <c r="D1284" s="5"/>
      <c r="E1284" s="5"/>
      <c r="F1284" s="5"/>
    </row>
    <row r="1285" spans="1:6" ht="15" x14ac:dyDescent="0.25">
      <c r="A1285" s="5"/>
      <c r="B1285" s="5"/>
      <c r="C1285" s="5"/>
      <c r="D1285" s="5"/>
      <c r="E1285" s="5"/>
      <c r="F1285" s="5"/>
    </row>
    <row r="1286" spans="1:6" ht="15" x14ac:dyDescent="0.25">
      <c r="A1286" s="5"/>
      <c r="B1286" s="5"/>
      <c r="C1286" s="5"/>
      <c r="D1286" s="5"/>
      <c r="E1286" s="5"/>
      <c r="F1286" s="5"/>
    </row>
    <row r="1287" spans="1:6" ht="15" x14ac:dyDescent="0.25">
      <c r="A1287" s="5"/>
      <c r="B1287" s="5"/>
      <c r="C1287" s="5"/>
      <c r="D1287" s="5"/>
      <c r="E1287" s="5"/>
      <c r="F1287" s="5"/>
    </row>
    <row r="1288" spans="1:6" ht="15" x14ac:dyDescent="0.25">
      <c r="A1288" s="5"/>
      <c r="B1288" s="5"/>
      <c r="C1288" s="5"/>
      <c r="D1288" s="5"/>
      <c r="E1288" s="5"/>
      <c r="F1288" s="5"/>
    </row>
    <row r="1289" spans="1:6" ht="15" x14ac:dyDescent="0.25">
      <c r="A1289" s="5"/>
      <c r="B1289" s="5"/>
      <c r="C1289" s="5"/>
      <c r="D1289" s="5"/>
      <c r="E1289" s="5"/>
      <c r="F1289" s="5"/>
    </row>
    <row r="1290" spans="1:6" ht="15" x14ac:dyDescent="0.25">
      <c r="A1290" s="5"/>
      <c r="B1290" s="5"/>
      <c r="C1290" s="5"/>
      <c r="D1290" s="5"/>
      <c r="E1290" s="5"/>
      <c r="F1290" s="5"/>
    </row>
    <row r="1291" spans="1:6" ht="15" x14ac:dyDescent="0.25">
      <c r="A1291" s="5"/>
      <c r="B1291" s="5"/>
      <c r="C1291" s="5"/>
      <c r="D1291" s="5"/>
      <c r="E1291" s="5"/>
      <c r="F1291" s="5"/>
    </row>
    <row r="1292" spans="1:6" ht="15" x14ac:dyDescent="0.25">
      <c r="A1292" s="5"/>
      <c r="B1292" s="5"/>
      <c r="C1292" s="5"/>
      <c r="D1292" s="5"/>
      <c r="E1292" s="5"/>
      <c r="F1292" s="5"/>
    </row>
    <row r="1293" spans="1:6" ht="15" x14ac:dyDescent="0.25">
      <c r="A1293" s="5"/>
      <c r="B1293" s="5"/>
      <c r="C1293" s="5"/>
      <c r="D1293" s="5"/>
      <c r="E1293" s="5"/>
      <c r="F1293" s="5"/>
    </row>
    <row r="1294" spans="1:6" ht="15" x14ac:dyDescent="0.25">
      <c r="A1294" s="5"/>
      <c r="B1294" s="5"/>
      <c r="C1294" s="5"/>
      <c r="D1294" s="5"/>
      <c r="E1294" s="5"/>
      <c r="F1294" s="5"/>
    </row>
    <row r="1295" spans="1:6" ht="15" x14ac:dyDescent="0.25">
      <c r="A1295" s="5"/>
      <c r="B1295" s="5"/>
      <c r="C1295" s="5"/>
      <c r="D1295" s="5"/>
      <c r="E1295" s="5"/>
      <c r="F1295" s="5"/>
    </row>
    <row r="1296" spans="1:6" ht="15" x14ac:dyDescent="0.25">
      <c r="A1296" s="5"/>
      <c r="B1296" s="5"/>
      <c r="C1296" s="5"/>
      <c r="D1296" s="5"/>
      <c r="E1296" s="5"/>
      <c r="F1296" s="5"/>
    </row>
    <row r="1297" spans="1:6" ht="15" x14ac:dyDescent="0.25">
      <c r="A1297" s="5"/>
      <c r="B1297" s="5"/>
      <c r="C1297" s="5"/>
      <c r="D1297" s="5"/>
      <c r="E1297" s="5"/>
      <c r="F1297" s="5"/>
    </row>
    <row r="1298" spans="1:6" ht="15" x14ac:dyDescent="0.25">
      <c r="A1298" s="5"/>
      <c r="B1298" s="5"/>
      <c r="C1298" s="5"/>
      <c r="D1298" s="5"/>
      <c r="E1298" s="5"/>
      <c r="F1298" s="5"/>
    </row>
    <row r="1299" spans="1:6" ht="15" x14ac:dyDescent="0.25">
      <c r="A1299" s="5"/>
      <c r="B1299" s="5"/>
      <c r="C1299" s="5"/>
      <c r="D1299" s="5"/>
      <c r="E1299" s="5"/>
      <c r="F1299" s="5"/>
    </row>
    <row r="1300" spans="1:6" ht="15" x14ac:dyDescent="0.25">
      <c r="A1300" s="5"/>
      <c r="B1300" s="5"/>
      <c r="C1300" s="5"/>
      <c r="D1300" s="5"/>
      <c r="E1300" s="5"/>
      <c r="F1300" s="5"/>
    </row>
    <row r="1301" spans="1:6" ht="15" x14ac:dyDescent="0.25">
      <c r="A1301" s="5"/>
      <c r="B1301" s="5"/>
      <c r="C1301" s="5"/>
      <c r="D1301" s="5"/>
      <c r="E1301" s="5"/>
      <c r="F1301" s="5"/>
    </row>
    <row r="1302" spans="1:6" ht="15" x14ac:dyDescent="0.25">
      <c r="A1302" s="5"/>
      <c r="B1302" s="5"/>
      <c r="C1302" s="5"/>
      <c r="D1302" s="5"/>
      <c r="E1302" s="5"/>
      <c r="F1302" s="5"/>
    </row>
    <row r="1303" spans="1:6" ht="15" x14ac:dyDescent="0.25">
      <c r="A1303" s="5"/>
      <c r="B1303" s="5"/>
      <c r="C1303" s="5"/>
      <c r="D1303" s="5"/>
      <c r="E1303" s="5"/>
      <c r="F1303" s="5"/>
    </row>
    <row r="1304" spans="1:6" ht="15" x14ac:dyDescent="0.25">
      <c r="A1304" s="5"/>
      <c r="B1304" s="5"/>
      <c r="C1304" s="5"/>
      <c r="D1304" s="5"/>
      <c r="E1304" s="5"/>
      <c r="F1304" s="5"/>
    </row>
    <row r="1305" spans="1:6" ht="15" x14ac:dyDescent="0.25">
      <c r="A1305" s="5"/>
      <c r="B1305" s="5"/>
      <c r="C1305" s="5"/>
      <c r="D1305" s="5"/>
      <c r="E1305" s="5"/>
      <c r="F1305" s="5"/>
    </row>
    <row r="1306" spans="1:6" ht="15" x14ac:dyDescent="0.25">
      <c r="A1306" s="5"/>
      <c r="B1306" s="5"/>
      <c r="C1306" s="5"/>
      <c r="D1306" s="5"/>
      <c r="E1306" s="5"/>
      <c r="F1306" s="5"/>
    </row>
    <row r="1307" spans="1:6" ht="15" x14ac:dyDescent="0.25">
      <c r="A1307" s="5"/>
      <c r="B1307" s="5"/>
      <c r="C1307" s="5"/>
      <c r="D1307" s="5"/>
      <c r="E1307" s="5"/>
      <c r="F1307" s="5"/>
    </row>
    <row r="1308" spans="1:6" ht="15" x14ac:dyDescent="0.25">
      <c r="A1308" s="5"/>
      <c r="B1308" s="5"/>
      <c r="C1308" s="5"/>
      <c r="D1308" s="5"/>
      <c r="E1308" s="5"/>
      <c r="F1308" s="5"/>
    </row>
    <row r="1309" spans="1:6" ht="15" x14ac:dyDescent="0.25">
      <c r="A1309" s="5"/>
      <c r="B1309" s="5"/>
      <c r="C1309" s="5"/>
      <c r="D1309" s="5"/>
      <c r="E1309" s="5"/>
      <c r="F1309" s="5"/>
    </row>
    <row r="1310" spans="1:6" ht="15" x14ac:dyDescent="0.25">
      <c r="A1310" s="5"/>
      <c r="B1310" s="5"/>
      <c r="C1310" s="5"/>
      <c r="D1310" s="5"/>
      <c r="E1310" s="5"/>
      <c r="F1310" s="5"/>
    </row>
    <row r="1311" spans="1:6" ht="15" x14ac:dyDescent="0.25">
      <c r="A1311" s="5"/>
      <c r="B1311" s="5"/>
      <c r="C1311" s="5"/>
      <c r="D1311" s="5"/>
      <c r="E1311" s="5"/>
      <c r="F1311" s="5"/>
    </row>
    <row r="1312" spans="1:6" ht="15" x14ac:dyDescent="0.25">
      <c r="A1312" s="5"/>
      <c r="B1312" s="5"/>
      <c r="C1312" s="5"/>
      <c r="D1312" s="5"/>
      <c r="E1312" s="5"/>
      <c r="F1312" s="5"/>
    </row>
    <row r="1313" spans="1:6" ht="15" x14ac:dyDescent="0.25">
      <c r="A1313" s="5"/>
      <c r="B1313" s="5"/>
      <c r="C1313" s="5"/>
      <c r="D1313" s="5"/>
      <c r="E1313" s="5"/>
      <c r="F1313" s="5"/>
    </row>
    <row r="1314" spans="1:6" ht="15" x14ac:dyDescent="0.25">
      <c r="A1314" s="5"/>
      <c r="B1314" s="5"/>
      <c r="C1314" s="5"/>
      <c r="D1314" s="5"/>
      <c r="E1314" s="5"/>
      <c r="F1314" s="5"/>
    </row>
    <row r="1315" spans="1:6" ht="15" x14ac:dyDescent="0.25">
      <c r="A1315" s="5"/>
      <c r="B1315" s="5"/>
      <c r="C1315" s="5"/>
      <c r="D1315" s="5"/>
      <c r="E1315" s="5"/>
      <c r="F1315" s="5"/>
    </row>
    <row r="1316" spans="1:6" ht="15" x14ac:dyDescent="0.25">
      <c r="A1316" s="5"/>
      <c r="B1316" s="5"/>
      <c r="C1316" s="5"/>
      <c r="D1316" s="5"/>
      <c r="E1316" s="5"/>
      <c r="F1316" s="5"/>
    </row>
    <row r="1317" spans="1:6" ht="15" x14ac:dyDescent="0.25">
      <c r="A1317" s="5"/>
      <c r="B1317" s="5"/>
      <c r="C1317" s="5"/>
      <c r="D1317" s="5"/>
      <c r="E1317" s="5"/>
      <c r="F1317" s="5"/>
    </row>
    <row r="1318" spans="1:6" ht="15" x14ac:dyDescent="0.25">
      <c r="A1318" s="5"/>
      <c r="B1318" s="5"/>
      <c r="C1318" s="5"/>
      <c r="D1318" s="5"/>
      <c r="E1318" s="5"/>
      <c r="F1318" s="5"/>
    </row>
    <row r="1319" spans="1:6" ht="15" x14ac:dyDescent="0.25">
      <c r="A1319" s="5"/>
      <c r="B1319" s="5"/>
      <c r="C1319" s="5"/>
      <c r="D1319" s="5"/>
      <c r="E1319" s="5"/>
      <c r="F1319" s="5"/>
    </row>
    <row r="1320" spans="1:6" ht="15" x14ac:dyDescent="0.25">
      <c r="A1320" s="5"/>
      <c r="B1320" s="5"/>
      <c r="C1320" s="5"/>
      <c r="D1320" s="5"/>
      <c r="E1320" s="5"/>
      <c r="F1320" s="5"/>
    </row>
    <row r="1321" spans="1:6" ht="15" x14ac:dyDescent="0.25">
      <c r="A1321" s="5"/>
      <c r="B1321" s="5"/>
      <c r="C1321" s="5"/>
      <c r="D1321" s="5"/>
      <c r="E1321" s="5"/>
      <c r="F1321" s="5"/>
    </row>
    <row r="1322" spans="1:6" ht="15" x14ac:dyDescent="0.25">
      <c r="A1322" s="5"/>
      <c r="B1322" s="5"/>
      <c r="C1322" s="5"/>
      <c r="D1322" s="5"/>
      <c r="E1322" s="5"/>
      <c r="F1322" s="5"/>
    </row>
    <row r="1323" spans="1:6" ht="15" x14ac:dyDescent="0.25">
      <c r="A1323" s="5"/>
      <c r="B1323" s="5"/>
      <c r="C1323" s="5"/>
      <c r="D1323" s="5"/>
      <c r="E1323" s="5"/>
      <c r="F1323" s="5"/>
    </row>
    <row r="1324" spans="1:6" ht="15" x14ac:dyDescent="0.25">
      <c r="A1324" s="5"/>
      <c r="B1324" s="5"/>
      <c r="C1324" s="5"/>
      <c r="D1324" s="5"/>
      <c r="E1324" s="5"/>
      <c r="F1324" s="5"/>
    </row>
    <row r="1325" spans="1:6" ht="15" x14ac:dyDescent="0.25">
      <c r="A1325" s="5"/>
      <c r="B1325" s="5"/>
      <c r="C1325" s="5"/>
      <c r="D1325" s="5"/>
      <c r="E1325" s="5"/>
      <c r="F1325" s="5"/>
    </row>
    <row r="1326" spans="1:6" ht="15" x14ac:dyDescent="0.25">
      <c r="A1326" s="5"/>
      <c r="B1326" s="5"/>
      <c r="C1326" s="5"/>
      <c r="D1326" s="5"/>
      <c r="E1326" s="5"/>
      <c r="F1326" s="5"/>
    </row>
    <row r="1327" spans="1:6" ht="15" x14ac:dyDescent="0.25">
      <c r="A1327" s="5"/>
      <c r="B1327" s="5"/>
      <c r="C1327" s="5"/>
      <c r="D1327" s="5"/>
      <c r="E1327" s="5"/>
      <c r="F1327" s="5"/>
    </row>
    <row r="1328" spans="1:6" ht="15" x14ac:dyDescent="0.25">
      <c r="A1328" s="5"/>
      <c r="B1328" s="5"/>
      <c r="C1328" s="5"/>
      <c r="D1328" s="5"/>
      <c r="E1328" s="5"/>
      <c r="F1328" s="5"/>
    </row>
    <row r="1329" spans="1:6" ht="15" x14ac:dyDescent="0.25">
      <c r="A1329" s="5"/>
      <c r="B1329" s="5"/>
      <c r="C1329" s="5"/>
      <c r="D1329" s="5"/>
      <c r="E1329" s="5"/>
      <c r="F1329" s="5"/>
    </row>
    <row r="1330" spans="1:6" ht="15" x14ac:dyDescent="0.25">
      <c r="A1330" s="5"/>
      <c r="B1330" s="5"/>
      <c r="C1330" s="5"/>
      <c r="D1330" s="5"/>
      <c r="E1330" s="5"/>
      <c r="F1330" s="5"/>
    </row>
    <row r="1331" spans="1:6" ht="15" x14ac:dyDescent="0.25">
      <c r="A1331" s="5"/>
      <c r="B1331" s="5"/>
      <c r="C1331" s="5"/>
      <c r="D1331" s="5"/>
      <c r="E1331" s="5"/>
      <c r="F1331" s="5"/>
    </row>
    <row r="1332" spans="1:6" ht="15" x14ac:dyDescent="0.25">
      <c r="A1332" s="5"/>
      <c r="B1332" s="5"/>
      <c r="C1332" s="5"/>
      <c r="D1332" s="5"/>
      <c r="E1332" s="5"/>
      <c r="F1332" s="5"/>
    </row>
    <row r="1333" spans="1:6" ht="15" x14ac:dyDescent="0.25">
      <c r="A1333" s="5"/>
      <c r="B1333" s="5"/>
      <c r="C1333" s="5"/>
      <c r="D1333" s="5"/>
      <c r="E1333" s="5"/>
      <c r="F1333" s="5"/>
    </row>
    <row r="1334" spans="1:6" ht="15" x14ac:dyDescent="0.25">
      <c r="A1334" s="5"/>
      <c r="B1334" s="5"/>
      <c r="C1334" s="5"/>
      <c r="D1334" s="5"/>
      <c r="E1334" s="5"/>
      <c r="F1334" s="5"/>
    </row>
    <row r="1335" spans="1:6" ht="15" x14ac:dyDescent="0.25">
      <c r="A1335" s="5"/>
      <c r="B1335" s="5"/>
      <c r="C1335" s="5"/>
      <c r="D1335" s="5"/>
      <c r="E1335" s="5"/>
      <c r="F1335" s="5"/>
    </row>
    <row r="1336" spans="1:6" ht="15" x14ac:dyDescent="0.25">
      <c r="A1336" s="5"/>
      <c r="B1336" s="5"/>
      <c r="C1336" s="5"/>
      <c r="D1336" s="5"/>
      <c r="E1336" s="5"/>
      <c r="F1336" s="5"/>
    </row>
    <row r="1337" spans="1:6" ht="15" x14ac:dyDescent="0.25">
      <c r="A1337" s="5"/>
      <c r="B1337" s="5"/>
      <c r="C1337" s="5"/>
      <c r="D1337" s="5"/>
      <c r="E1337" s="5"/>
      <c r="F1337" s="5"/>
    </row>
    <row r="1338" spans="1:6" ht="15" x14ac:dyDescent="0.25">
      <c r="A1338" s="5"/>
      <c r="B1338" s="5"/>
      <c r="C1338" s="5"/>
      <c r="D1338" s="5"/>
      <c r="E1338" s="5"/>
      <c r="F1338" s="5"/>
    </row>
    <row r="1339" spans="1:6" ht="15" x14ac:dyDescent="0.25">
      <c r="A1339" s="5"/>
      <c r="B1339" s="5"/>
      <c r="C1339" s="5"/>
      <c r="D1339" s="5"/>
      <c r="E1339" s="5"/>
      <c r="F1339" s="5"/>
    </row>
    <row r="1340" spans="1:6" ht="15" x14ac:dyDescent="0.25">
      <c r="A1340" s="5"/>
      <c r="B1340" s="5"/>
      <c r="C1340" s="5"/>
      <c r="D1340" s="5"/>
      <c r="E1340" s="5"/>
      <c r="F1340" s="5"/>
    </row>
    <row r="1341" spans="1:6" ht="15" x14ac:dyDescent="0.25">
      <c r="A1341" s="5"/>
      <c r="B1341" s="5"/>
      <c r="C1341" s="5"/>
      <c r="D1341" s="5"/>
      <c r="E1341" s="5"/>
      <c r="F1341" s="5"/>
    </row>
    <row r="1342" spans="1:6" ht="15" x14ac:dyDescent="0.25">
      <c r="A1342" s="5"/>
      <c r="B1342" s="5"/>
      <c r="C1342" s="5"/>
      <c r="D1342" s="5"/>
      <c r="E1342" s="5"/>
      <c r="F1342" s="5"/>
    </row>
    <row r="1343" spans="1:6" ht="15" x14ac:dyDescent="0.25">
      <c r="A1343" s="5"/>
      <c r="B1343" s="5"/>
      <c r="C1343" s="5"/>
      <c r="D1343" s="5"/>
      <c r="E1343" s="5"/>
      <c r="F1343" s="5"/>
    </row>
    <row r="1344" spans="1:6" ht="15" x14ac:dyDescent="0.25">
      <c r="A1344" s="5"/>
      <c r="B1344" s="5"/>
      <c r="C1344" s="5"/>
      <c r="D1344" s="5"/>
      <c r="E1344" s="5"/>
      <c r="F1344" s="5"/>
    </row>
    <row r="1345" spans="1:6" ht="15" x14ac:dyDescent="0.25">
      <c r="A1345" s="5"/>
      <c r="B1345" s="5"/>
      <c r="C1345" s="5"/>
      <c r="D1345" s="5"/>
      <c r="E1345" s="5"/>
      <c r="F1345" s="5"/>
    </row>
    <row r="1346" spans="1:6" ht="15" x14ac:dyDescent="0.25">
      <c r="A1346" s="5"/>
      <c r="B1346" s="5"/>
      <c r="C1346" s="5"/>
      <c r="D1346" s="5"/>
      <c r="E1346" s="5"/>
      <c r="F1346" s="5"/>
    </row>
    <row r="1347" spans="1:6" ht="15" x14ac:dyDescent="0.25">
      <c r="A1347" s="5"/>
      <c r="B1347" s="5"/>
      <c r="C1347" s="5"/>
      <c r="D1347" s="5"/>
      <c r="E1347" s="5"/>
      <c r="F1347" s="5"/>
    </row>
    <row r="1348" spans="1:6" ht="15" x14ac:dyDescent="0.25">
      <c r="A1348" s="5"/>
      <c r="B1348" s="5"/>
      <c r="C1348" s="5"/>
      <c r="D1348" s="5"/>
      <c r="E1348" s="5"/>
      <c r="F1348" s="5"/>
    </row>
    <row r="1349" spans="1:6" ht="15" x14ac:dyDescent="0.25">
      <c r="A1349" s="5"/>
      <c r="B1349" s="5"/>
      <c r="C1349" s="5"/>
      <c r="D1349" s="5"/>
      <c r="E1349" s="5"/>
      <c r="F1349" s="5"/>
    </row>
    <row r="1350" spans="1:6" ht="15" x14ac:dyDescent="0.25">
      <c r="A1350" s="5"/>
      <c r="B1350" s="5"/>
      <c r="C1350" s="5"/>
      <c r="D1350" s="5"/>
      <c r="E1350" s="5"/>
      <c r="F1350" s="5"/>
    </row>
    <row r="1351" spans="1:6" ht="15" x14ac:dyDescent="0.25">
      <c r="A1351" s="5"/>
      <c r="B1351" s="5"/>
      <c r="C1351" s="5"/>
      <c r="D1351" s="5"/>
      <c r="E1351" s="5"/>
      <c r="F1351" s="5"/>
    </row>
    <row r="1352" spans="1:6" ht="15" x14ac:dyDescent="0.25">
      <c r="A1352" s="5"/>
      <c r="B1352" s="5"/>
      <c r="C1352" s="5"/>
      <c r="D1352" s="5"/>
      <c r="E1352" s="5"/>
      <c r="F1352" s="5"/>
    </row>
    <row r="1353" spans="1:6" ht="15" x14ac:dyDescent="0.25">
      <c r="A1353" s="5"/>
      <c r="B1353" s="5"/>
      <c r="C1353" s="5"/>
      <c r="D1353" s="5"/>
      <c r="E1353" s="5"/>
      <c r="F1353" s="5"/>
    </row>
    <row r="1354" spans="1:6" ht="15" x14ac:dyDescent="0.25">
      <c r="A1354" s="5"/>
      <c r="B1354" s="5"/>
      <c r="C1354" s="5"/>
      <c r="D1354" s="5"/>
      <c r="E1354" s="5"/>
      <c r="F1354" s="5"/>
    </row>
    <row r="1355" spans="1:6" ht="15" x14ac:dyDescent="0.25">
      <c r="A1355" s="5"/>
      <c r="B1355" s="5"/>
      <c r="C1355" s="5"/>
      <c r="D1355" s="5"/>
      <c r="E1355" s="5"/>
      <c r="F1355" s="5"/>
    </row>
    <row r="1356" spans="1:6" ht="15" x14ac:dyDescent="0.25">
      <c r="A1356" s="5"/>
      <c r="B1356" s="5"/>
      <c r="C1356" s="5"/>
      <c r="D1356" s="5"/>
      <c r="E1356" s="5"/>
      <c r="F1356" s="5"/>
    </row>
    <row r="1357" spans="1:6" ht="15" x14ac:dyDescent="0.25">
      <c r="A1357" s="5"/>
      <c r="B1357" s="5"/>
      <c r="C1357" s="5"/>
      <c r="D1357" s="5"/>
      <c r="E1357" s="5"/>
      <c r="F1357" s="5"/>
    </row>
    <row r="1358" spans="1:6" ht="15" x14ac:dyDescent="0.25">
      <c r="A1358" s="5"/>
      <c r="B1358" s="5"/>
      <c r="C1358" s="5"/>
      <c r="D1358" s="5"/>
      <c r="E1358" s="5"/>
      <c r="F1358" s="5"/>
    </row>
    <row r="1359" spans="1:6" ht="15" x14ac:dyDescent="0.25">
      <c r="A1359" s="5"/>
      <c r="B1359" s="5"/>
      <c r="C1359" s="5"/>
      <c r="D1359" s="5"/>
      <c r="E1359" s="5"/>
      <c r="F1359" s="5"/>
    </row>
    <row r="1360" spans="1:6" ht="15" x14ac:dyDescent="0.25">
      <c r="A1360" s="5"/>
      <c r="B1360" s="5"/>
      <c r="C1360" s="5"/>
      <c r="D1360" s="5"/>
      <c r="E1360" s="5"/>
      <c r="F1360" s="5"/>
    </row>
    <row r="1361" spans="1:6" ht="15" x14ac:dyDescent="0.25">
      <c r="A1361" s="5"/>
      <c r="B1361" s="5"/>
      <c r="C1361" s="5"/>
      <c r="D1361" s="5"/>
      <c r="E1361" s="5"/>
      <c r="F1361" s="5"/>
    </row>
    <row r="1362" spans="1:6" ht="15" x14ac:dyDescent="0.25">
      <c r="A1362" s="5"/>
      <c r="B1362" s="5"/>
      <c r="C1362" s="5"/>
      <c r="D1362" s="5"/>
      <c r="E1362" s="5"/>
      <c r="F1362" s="5"/>
    </row>
    <row r="1363" spans="1:6" ht="15" x14ac:dyDescent="0.25">
      <c r="A1363" s="5"/>
      <c r="B1363" s="5"/>
      <c r="C1363" s="5"/>
      <c r="D1363" s="5"/>
      <c r="E1363" s="5"/>
      <c r="F1363" s="5"/>
    </row>
    <row r="1364" spans="1:6" ht="15" x14ac:dyDescent="0.25">
      <c r="A1364" s="5"/>
      <c r="B1364" s="5"/>
      <c r="C1364" s="5"/>
      <c r="D1364" s="5"/>
      <c r="E1364" s="5"/>
      <c r="F1364" s="5"/>
    </row>
    <row r="1365" spans="1:6" ht="15" x14ac:dyDescent="0.25">
      <c r="A1365" s="5"/>
      <c r="B1365" s="5"/>
      <c r="C1365" s="5"/>
      <c r="D1365" s="5"/>
      <c r="E1365" s="5"/>
      <c r="F1365" s="5"/>
    </row>
    <row r="1366" spans="1:6" ht="15" x14ac:dyDescent="0.25">
      <c r="A1366" s="5"/>
      <c r="B1366" s="5"/>
      <c r="C1366" s="5"/>
      <c r="D1366" s="5"/>
      <c r="E1366" s="5"/>
      <c r="F1366" s="5"/>
    </row>
    <row r="1367" spans="1:6" ht="15" x14ac:dyDescent="0.25">
      <c r="A1367" s="5"/>
      <c r="B1367" s="5"/>
      <c r="C1367" s="5"/>
      <c r="D1367" s="5"/>
      <c r="E1367" s="5"/>
      <c r="F1367" s="5"/>
    </row>
    <row r="1368" spans="1:6" ht="15" x14ac:dyDescent="0.25">
      <c r="A1368" s="5"/>
      <c r="B1368" s="5"/>
      <c r="C1368" s="5"/>
      <c r="D1368" s="5"/>
      <c r="E1368" s="5"/>
      <c r="F1368" s="5"/>
    </row>
    <row r="1369" spans="1:6" ht="15" x14ac:dyDescent="0.25">
      <c r="A1369" s="5"/>
      <c r="B1369" s="5"/>
      <c r="C1369" s="5"/>
      <c r="D1369" s="5"/>
      <c r="E1369" s="5"/>
      <c r="F1369" s="5"/>
    </row>
    <row r="1370" spans="1:6" ht="15" x14ac:dyDescent="0.25">
      <c r="A1370" s="5"/>
      <c r="B1370" s="5"/>
      <c r="C1370" s="5"/>
      <c r="D1370" s="5"/>
      <c r="E1370" s="5"/>
      <c r="F1370" s="5"/>
    </row>
    <row r="1371" spans="1:6" ht="15" x14ac:dyDescent="0.25">
      <c r="A1371" s="5"/>
      <c r="B1371" s="5"/>
      <c r="C1371" s="5"/>
      <c r="D1371" s="5"/>
      <c r="E1371" s="5"/>
      <c r="F1371" s="5"/>
    </row>
    <row r="1372" spans="1:6" ht="15" x14ac:dyDescent="0.25">
      <c r="A1372" s="5"/>
      <c r="B1372" s="5"/>
      <c r="C1372" s="5"/>
      <c r="D1372" s="5"/>
      <c r="E1372" s="5"/>
      <c r="F1372" s="5"/>
    </row>
    <row r="1373" spans="1:6" ht="15" x14ac:dyDescent="0.25">
      <c r="A1373" s="5"/>
      <c r="B1373" s="5"/>
      <c r="C1373" s="5"/>
      <c r="D1373" s="5"/>
      <c r="E1373" s="5"/>
      <c r="F1373" s="5"/>
    </row>
    <row r="1374" spans="1:6" ht="15" x14ac:dyDescent="0.25">
      <c r="A1374" s="5"/>
      <c r="B1374" s="5"/>
      <c r="C1374" s="5"/>
      <c r="D1374" s="5"/>
      <c r="E1374" s="5"/>
      <c r="F1374" s="5"/>
    </row>
    <row r="1375" spans="1:6" ht="15" x14ac:dyDescent="0.25">
      <c r="A1375" s="5"/>
      <c r="B1375" s="5"/>
      <c r="C1375" s="5"/>
      <c r="D1375" s="5"/>
      <c r="E1375" s="5"/>
      <c r="F1375" s="5"/>
    </row>
    <row r="1376" spans="1:6" ht="15" x14ac:dyDescent="0.25">
      <c r="A1376" s="5"/>
      <c r="B1376" s="5"/>
      <c r="C1376" s="5"/>
      <c r="D1376" s="5"/>
      <c r="E1376" s="5"/>
      <c r="F1376" s="5"/>
    </row>
    <row r="1377" spans="1:6" ht="15" x14ac:dyDescent="0.25">
      <c r="A1377" s="5"/>
      <c r="B1377" s="5"/>
      <c r="C1377" s="5"/>
      <c r="D1377" s="5"/>
      <c r="E1377" s="5"/>
      <c r="F1377" s="5"/>
    </row>
    <row r="1378" spans="1:6" ht="15" x14ac:dyDescent="0.25">
      <c r="A1378" s="5"/>
      <c r="B1378" s="5"/>
      <c r="C1378" s="5"/>
      <c r="D1378" s="5"/>
      <c r="E1378" s="5"/>
      <c r="F1378" s="5"/>
    </row>
    <row r="1379" spans="1:6" ht="15" x14ac:dyDescent="0.25">
      <c r="A1379" s="5"/>
      <c r="B1379" s="5"/>
      <c r="C1379" s="5"/>
      <c r="D1379" s="5"/>
      <c r="E1379" s="5"/>
      <c r="F1379" s="5"/>
    </row>
    <row r="1380" spans="1:6" ht="15" x14ac:dyDescent="0.25">
      <c r="A1380" s="5"/>
      <c r="B1380" s="5"/>
      <c r="C1380" s="5"/>
      <c r="D1380" s="5"/>
      <c r="E1380" s="5"/>
      <c r="F1380" s="5"/>
    </row>
    <row r="1381" spans="1:6" ht="15" x14ac:dyDescent="0.25">
      <c r="A1381" s="5"/>
      <c r="B1381" s="5"/>
      <c r="C1381" s="5"/>
      <c r="D1381" s="5"/>
      <c r="E1381" s="5"/>
      <c r="F1381" s="5"/>
    </row>
    <row r="1382" spans="1:6" ht="15" x14ac:dyDescent="0.25">
      <c r="A1382" s="5"/>
      <c r="B1382" s="5"/>
      <c r="C1382" s="5"/>
      <c r="D1382" s="5"/>
      <c r="E1382" s="5"/>
      <c r="F1382" s="5"/>
    </row>
    <row r="1383" spans="1:6" ht="15" x14ac:dyDescent="0.25">
      <c r="A1383" s="5"/>
      <c r="B1383" s="5"/>
      <c r="C1383" s="5"/>
      <c r="D1383" s="5"/>
      <c r="E1383" s="5"/>
      <c r="F1383" s="5"/>
    </row>
    <row r="1384" spans="1:6" ht="15" x14ac:dyDescent="0.25">
      <c r="A1384" s="5"/>
      <c r="B1384" s="5"/>
      <c r="C1384" s="5"/>
      <c r="D1384" s="5"/>
      <c r="E1384" s="5"/>
      <c r="F1384" s="5"/>
    </row>
    <row r="1385" spans="1:6" ht="15" x14ac:dyDescent="0.25">
      <c r="A1385" s="5"/>
      <c r="B1385" s="5"/>
      <c r="C1385" s="5"/>
      <c r="D1385" s="5"/>
      <c r="E1385" s="5"/>
      <c r="F1385" s="5"/>
    </row>
    <row r="1386" spans="1:6" ht="15" x14ac:dyDescent="0.25">
      <c r="A1386" s="5"/>
      <c r="B1386" s="5"/>
      <c r="C1386" s="5"/>
      <c r="D1386" s="5"/>
      <c r="E1386" s="5"/>
      <c r="F1386" s="5"/>
    </row>
    <row r="1387" spans="1:6" ht="15" x14ac:dyDescent="0.25">
      <c r="A1387" s="5"/>
      <c r="B1387" s="5"/>
      <c r="C1387" s="5"/>
      <c r="D1387" s="5"/>
      <c r="E1387" s="5"/>
      <c r="F1387" s="5"/>
    </row>
    <row r="1388" spans="1:6" ht="15" x14ac:dyDescent="0.25">
      <c r="A1388" s="5"/>
      <c r="B1388" s="5"/>
      <c r="C1388" s="5"/>
      <c r="D1388" s="5"/>
      <c r="E1388" s="5"/>
      <c r="F1388" s="5"/>
    </row>
    <row r="1389" spans="1:6" ht="15" x14ac:dyDescent="0.25">
      <c r="A1389" s="5"/>
      <c r="B1389" s="5"/>
      <c r="C1389" s="5"/>
      <c r="D1389" s="5"/>
      <c r="E1389" s="5"/>
      <c r="F1389" s="5"/>
    </row>
    <row r="1390" spans="1:6" ht="15" x14ac:dyDescent="0.25">
      <c r="A1390" s="5"/>
      <c r="B1390" s="5"/>
      <c r="C1390" s="5"/>
      <c r="D1390" s="5"/>
      <c r="E1390" s="5"/>
      <c r="F1390" s="5"/>
    </row>
    <row r="1391" spans="1:6" ht="15" x14ac:dyDescent="0.25">
      <c r="A1391" s="5"/>
      <c r="B1391" s="5"/>
      <c r="C1391" s="5"/>
      <c r="D1391" s="5"/>
      <c r="E1391" s="5"/>
      <c r="F1391" s="5"/>
    </row>
    <row r="1392" spans="1:6" ht="15" x14ac:dyDescent="0.25">
      <c r="A1392" s="5"/>
      <c r="B1392" s="5"/>
      <c r="C1392" s="5"/>
      <c r="D1392" s="5"/>
      <c r="E1392" s="5"/>
      <c r="F1392" s="5"/>
    </row>
    <row r="1393" spans="1:6" ht="15" x14ac:dyDescent="0.25">
      <c r="A1393" s="5"/>
      <c r="B1393" s="5"/>
      <c r="C1393" s="5"/>
      <c r="D1393" s="5"/>
      <c r="E1393" s="5"/>
      <c r="F1393" s="5"/>
    </row>
    <row r="1394" spans="1:6" ht="15" x14ac:dyDescent="0.25">
      <c r="A1394" s="5"/>
      <c r="B1394" s="5"/>
      <c r="C1394" s="5"/>
      <c r="D1394" s="5"/>
      <c r="E1394" s="5"/>
      <c r="F1394" s="5"/>
    </row>
    <row r="1395" spans="1:6" ht="15" x14ac:dyDescent="0.25">
      <c r="A1395" s="5"/>
      <c r="B1395" s="5"/>
      <c r="C1395" s="5"/>
      <c r="D1395" s="5"/>
      <c r="E1395" s="5"/>
      <c r="F1395" s="5"/>
    </row>
    <row r="1396" spans="1:6" ht="15" x14ac:dyDescent="0.25">
      <c r="A1396" s="5"/>
      <c r="B1396" s="5"/>
      <c r="C1396" s="5"/>
      <c r="D1396" s="5"/>
      <c r="E1396" s="5"/>
      <c r="F1396" s="5"/>
    </row>
    <row r="1397" spans="1:6" ht="15" x14ac:dyDescent="0.25">
      <c r="A1397" s="5"/>
      <c r="B1397" s="5"/>
      <c r="C1397" s="5"/>
      <c r="D1397" s="5"/>
      <c r="E1397" s="5"/>
      <c r="F1397" s="5"/>
    </row>
    <row r="1398" spans="1:6" ht="15" x14ac:dyDescent="0.25">
      <c r="A1398" s="5"/>
      <c r="B1398" s="5"/>
      <c r="C1398" s="5"/>
      <c r="D1398" s="5"/>
      <c r="E1398" s="5"/>
      <c r="F1398" s="5"/>
    </row>
    <row r="1399" spans="1:6" ht="15" x14ac:dyDescent="0.25">
      <c r="A1399" s="5"/>
      <c r="B1399" s="5"/>
      <c r="C1399" s="5"/>
      <c r="D1399" s="5"/>
      <c r="E1399" s="5"/>
      <c r="F1399" s="5"/>
    </row>
    <row r="1400" spans="1:6" ht="15" x14ac:dyDescent="0.25">
      <c r="A1400" s="5"/>
      <c r="B1400" s="5"/>
      <c r="C1400" s="5"/>
      <c r="D1400" s="5"/>
      <c r="E1400" s="5"/>
      <c r="F1400" s="5"/>
    </row>
    <row r="1401" spans="1:6" ht="15" x14ac:dyDescent="0.25">
      <c r="A1401" s="5"/>
      <c r="B1401" s="5"/>
      <c r="C1401" s="5"/>
      <c r="D1401" s="5"/>
      <c r="E1401" s="5"/>
      <c r="F1401" s="5"/>
    </row>
    <row r="1402" spans="1:6" ht="15" x14ac:dyDescent="0.25">
      <c r="A1402" s="5"/>
      <c r="B1402" s="5"/>
      <c r="C1402" s="5"/>
      <c r="D1402" s="5"/>
      <c r="E1402" s="5"/>
      <c r="F1402" s="5"/>
    </row>
    <row r="1403" spans="1:6" ht="15" x14ac:dyDescent="0.25">
      <c r="A1403" s="5"/>
      <c r="B1403" s="5"/>
      <c r="C1403" s="5"/>
      <c r="D1403" s="5"/>
      <c r="E1403" s="5"/>
      <c r="F1403" s="5"/>
    </row>
    <row r="1404" spans="1:6" ht="15" x14ac:dyDescent="0.25">
      <c r="A1404" s="5"/>
      <c r="B1404" s="5"/>
      <c r="C1404" s="5"/>
      <c r="D1404" s="5"/>
      <c r="E1404" s="5"/>
      <c r="F1404" s="5"/>
    </row>
    <row r="1405" spans="1:6" ht="15" x14ac:dyDescent="0.25">
      <c r="A1405" s="5"/>
      <c r="B1405" s="5"/>
      <c r="C1405" s="5"/>
      <c r="D1405" s="5"/>
      <c r="E1405" s="5"/>
      <c r="F1405" s="5"/>
    </row>
    <row r="1406" spans="1:6" ht="15" x14ac:dyDescent="0.25">
      <c r="A1406" s="5"/>
      <c r="B1406" s="5"/>
      <c r="C1406" s="5"/>
      <c r="D1406" s="5"/>
      <c r="E1406" s="5"/>
      <c r="F1406" s="5"/>
    </row>
    <row r="1407" spans="1:6" ht="15" x14ac:dyDescent="0.25">
      <c r="A1407" s="5"/>
      <c r="B1407" s="5"/>
      <c r="C1407" s="5"/>
      <c r="D1407" s="5"/>
      <c r="E1407" s="5"/>
      <c r="F1407" s="5"/>
    </row>
    <row r="1408" spans="1:6" ht="15" x14ac:dyDescent="0.25">
      <c r="A1408" s="5"/>
      <c r="B1408" s="5"/>
      <c r="C1408" s="5"/>
      <c r="D1408" s="5"/>
      <c r="E1408" s="5"/>
      <c r="F1408" s="5"/>
    </row>
    <row r="1409" spans="1:6" ht="15" x14ac:dyDescent="0.25">
      <c r="A1409" s="5"/>
      <c r="B1409" s="5"/>
      <c r="C1409" s="5"/>
      <c r="D1409" s="5"/>
      <c r="E1409" s="5"/>
      <c r="F1409" s="5"/>
    </row>
    <row r="1410" spans="1:6" ht="15" x14ac:dyDescent="0.25">
      <c r="A1410" s="5"/>
      <c r="B1410" s="5"/>
      <c r="C1410" s="5"/>
      <c r="D1410" s="5"/>
      <c r="E1410" s="5"/>
      <c r="F1410" s="5"/>
    </row>
    <row r="1411" spans="1:6" ht="15" x14ac:dyDescent="0.25">
      <c r="A1411" s="5"/>
      <c r="B1411" s="5"/>
      <c r="C1411" s="5"/>
      <c r="D1411" s="5"/>
      <c r="E1411" s="5"/>
      <c r="F1411" s="5"/>
    </row>
    <row r="1412" spans="1:6" ht="15" x14ac:dyDescent="0.25">
      <c r="A1412" s="5"/>
      <c r="B1412" s="5"/>
      <c r="C1412" s="5"/>
      <c r="D1412" s="5"/>
      <c r="E1412" s="5"/>
      <c r="F1412" s="5"/>
    </row>
    <row r="1413" spans="1:6" ht="15" x14ac:dyDescent="0.25">
      <c r="A1413" s="5"/>
      <c r="B1413" s="5"/>
      <c r="C1413" s="5"/>
      <c r="D1413" s="5"/>
      <c r="E1413" s="5"/>
      <c r="F1413" s="5"/>
    </row>
    <row r="1414" spans="1:6" ht="15" x14ac:dyDescent="0.25">
      <c r="A1414" s="5"/>
      <c r="B1414" s="5"/>
      <c r="C1414" s="5"/>
      <c r="D1414" s="5"/>
      <c r="E1414" s="5"/>
      <c r="F1414" s="5"/>
    </row>
    <row r="1415" spans="1:6" ht="15" x14ac:dyDescent="0.25">
      <c r="A1415" s="5"/>
      <c r="B1415" s="5"/>
      <c r="C1415" s="5"/>
      <c r="D1415" s="5"/>
      <c r="E1415" s="5"/>
      <c r="F1415" s="5"/>
    </row>
    <row r="1416" spans="1:6" ht="15" x14ac:dyDescent="0.25">
      <c r="A1416" s="5"/>
      <c r="B1416" s="5"/>
      <c r="C1416" s="5"/>
      <c r="D1416" s="5"/>
      <c r="E1416" s="5"/>
      <c r="F1416" s="5"/>
    </row>
    <row r="1417" spans="1:6" ht="15" x14ac:dyDescent="0.25">
      <c r="A1417" s="5"/>
      <c r="B1417" s="5"/>
      <c r="C1417" s="5"/>
      <c r="D1417" s="5"/>
      <c r="E1417" s="5"/>
      <c r="F1417" s="5"/>
    </row>
    <row r="1418" spans="1:6" ht="15" x14ac:dyDescent="0.25">
      <c r="A1418" s="5"/>
      <c r="B1418" s="5"/>
      <c r="C1418" s="5"/>
      <c r="D1418" s="5"/>
      <c r="E1418" s="5"/>
      <c r="F1418" s="5"/>
    </row>
    <row r="1419" spans="1:6" ht="15" x14ac:dyDescent="0.25">
      <c r="A1419" s="5"/>
      <c r="B1419" s="5"/>
      <c r="C1419" s="5"/>
      <c r="D1419" s="5"/>
      <c r="E1419" s="5"/>
      <c r="F1419" s="5"/>
    </row>
    <row r="1420" spans="1:6" ht="15" x14ac:dyDescent="0.25">
      <c r="A1420" s="5"/>
      <c r="B1420" s="5"/>
      <c r="C1420" s="5"/>
      <c r="D1420" s="5"/>
      <c r="E1420" s="5"/>
      <c r="F1420" s="5"/>
    </row>
    <row r="1421" spans="1:6" ht="15" x14ac:dyDescent="0.25">
      <c r="A1421" s="5"/>
      <c r="B1421" s="5"/>
      <c r="C1421" s="5"/>
      <c r="D1421" s="5"/>
      <c r="E1421" s="5"/>
      <c r="F1421" s="5"/>
    </row>
    <row r="1422" spans="1:6" ht="15" x14ac:dyDescent="0.25">
      <c r="A1422" s="5"/>
      <c r="B1422" s="5"/>
      <c r="C1422" s="5"/>
      <c r="D1422" s="5"/>
      <c r="E1422" s="5"/>
      <c r="F1422" s="5"/>
    </row>
    <row r="1423" spans="1:6" ht="15" x14ac:dyDescent="0.25">
      <c r="A1423" s="5"/>
      <c r="B1423" s="5"/>
      <c r="C1423" s="5"/>
      <c r="D1423" s="5"/>
      <c r="E1423" s="5"/>
      <c r="F1423" s="5"/>
    </row>
    <row r="1424" spans="1:6" ht="15" x14ac:dyDescent="0.25">
      <c r="A1424" s="5"/>
      <c r="B1424" s="5"/>
      <c r="C1424" s="5"/>
      <c r="D1424" s="5"/>
      <c r="E1424" s="5"/>
      <c r="F1424" s="5"/>
    </row>
    <row r="1425" spans="1:6" ht="15" x14ac:dyDescent="0.25">
      <c r="A1425" s="5"/>
      <c r="B1425" s="5"/>
      <c r="C1425" s="5"/>
      <c r="D1425" s="5"/>
      <c r="E1425" s="5"/>
      <c r="F1425" s="5"/>
    </row>
    <row r="1426" spans="1:6" ht="15" x14ac:dyDescent="0.25">
      <c r="A1426" s="5"/>
      <c r="B1426" s="5"/>
      <c r="C1426" s="5"/>
      <c r="D1426" s="5"/>
      <c r="E1426" s="5"/>
      <c r="F1426" s="5"/>
    </row>
    <row r="1427" spans="1:6" ht="15" x14ac:dyDescent="0.25">
      <c r="A1427" s="5"/>
      <c r="B1427" s="5"/>
      <c r="C1427" s="5"/>
      <c r="D1427" s="5"/>
      <c r="E1427" s="5"/>
      <c r="F1427" s="5"/>
    </row>
    <row r="1428" spans="1:6" ht="15" x14ac:dyDescent="0.25">
      <c r="A1428" s="5"/>
      <c r="B1428" s="5"/>
      <c r="C1428" s="5"/>
      <c r="D1428" s="5"/>
      <c r="E1428" s="5"/>
      <c r="F1428" s="5"/>
    </row>
    <row r="1429" spans="1:6" ht="15" x14ac:dyDescent="0.25">
      <c r="A1429" s="5"/>
      <c r="B1429" s="5"/>
      <c r="C1429" s="5"/>
      <c r="D1429" s="5"/>
      <c r="E1429" s="5"/>
      <c r="F1429" s="5"/>
    </row>
    <row r="1430" spans="1:6" ht="15" x14ac:dyDescent="0.25">
      <c r="A1430" s="5"/>
      <c r="B1430" s="5"/>
      <c r="C1430" s="5"/>
      <c r="D1430" s="5"/>
      <c r="E1430" s="5"/>
      <c r="F1430" s="5"/>
    </row>
    <row r="1431" spans="1:6" ht="15" x14ac:dyDescent="0.25">
      <c r="A1431" s="5"/>
      <c r="B1431" s="5"/>
      <c r="C1431" s="5"/>
      <c r="D1431" s="5"/>
      <c r="E1431" s="5"/>
      <c r="F1431" s="5"/>
    </row>
    <row r="1432" spans="1:6" ht="15" x14ac:dyDescent="0.25">
      <c r="A1432" s="5"/>
      <c r="B1432" s="5"/>
      <c r="C1432" s="5"/>
      <c r="D1432" s="5"/>
      <c r="E1432" s="5"/>
      <c r="F1432" s="5"/>
    </row>
    <row r="1433" spans="1:6" ht="15" x14ac:dyDescent="0.25">
      <c r="A1433" s="5"/>
      <c r="B1433" s="5"/>
      <c r="C1433" s="5"/>
      <c r="D1433" s="5"/>
      <c r="E1433" s="5"/>
      <c r="F1433" s="5"/>
    </row>
    <row r="1434" spans="1:6" ht="15" x14ac:dyDescent="0.25">
      <c r="A1434" s="5"/>
      <c r="B1434" s="5"/>
      <c r="C1434" s="5"/>
      <c r="D1434" s="5"/>
      <c r="E1434" s="5"/>
      <c r="F1434" s="5"/>
    </row>
    <row r="1435" spans="1:6" ht="15" x14ac:dyDescent="0.25">
      <c r="A1435" s="5"/>
      <c r="B1435" s="5"/>
      <c r="C1435" s="5"/>
      <c r="D1435" s="5"/>
      <c r="E1435" s="5"/>
      <c r="F1435" s="5"/>
    </row>
    <row r="1436" spans="1:6" ht="15" x14ac:dyDescent="0.25">
      <c r="A1436" s="5"/>
      <c r="B1436" s="5"/>
      <c r="C1436" s="5"/>
      <c r="D1436" s="5"/>
      <c r="E1436" s="5"/>
      <c r="F1436" s="5"/>
    </row>
    <row r="1437" spans="1:6" ht="15" x14ac:dyDescent="0.25">
      <c r="A1437" s="5"/>
      <c r="B1437" s="5"/>
      <c r="C1437" s="5"/>
      <c r="D1437" s="5"/>
      <c r="E1437" s="5"/>
      <c r="F1437" s="5"/>
    </row>
    <row r="1438" spans="1:6" ht="15" x14ac:dyDescent="0.25">
      <c r="A1438" s="5"/>
      <c r="B1438" s="5"/>
      <c r="C1438" s="5"/>
      <c r="D1438" s="5"/>
      <c r="E1438" s="5"/>
      <c r="F1438" s="5"/>
    </row>
    <row r="1439" spans="1:6" ht="15" x14ac:dyDescent="0.25">
      <c r="A1439" s="5"/>
      <c r="B1439" s="5"/>
      <c r="C1439" s="5"/>
      <c r="D1439" s="5"/>
      <c r="E1439" s="5"/>
      <c r="F1439" s="5"/>
    </row>
    <row r="1440" spans="1:6" ht="15" x14ac:dyDescent="0.25">
      <c r="A1440" s="5"/>
      <c r="B1440" s="5"/>
      <c r="C1440" s="5"/>
      <c r="D1440" s="5"/>
      <c r="E1440" s="5"/>
      <c r="F1440" s="5"/>
    </row>
    <row r="1441" spans="1:6" ht="15" x14ac:dyDescent="0.25">
      <c r="A1441" s="5"/>
      <c r="B1441" s="5"/>
      <c r="C1441" s="5"/>
      <c r="D1441" s="5"/>
      <c r="E1441" s="5"/>
      <c r="F1441" s="5"/>
    </row>
    <row r="1442" spans="1:6" ht="15" x14ac:dyDescent="0.25">
      <c r="A1442" s="5"/>
      <c r="B1442" s="5"/>
      <c r="C1442" s="5"/>
      <c r="D1442" s="5"/>
      <c r="E1442" s="5"/>
      <c r="F1442" s="5"/>
    </row>
    <row r="1443" spans="1:6" ht="15" x14ac:dyDescent="0.25">
      <c r="A1443" s="5"/>
      <c r="B1443" s="5"/>
      <c r="C1443" s="5"/>
      <c r="D1443" s="5"/>
      <c r="E1443" s="5"/>
      <c r="F1443" s="5"/>
    </row>
    <row r="1444" spans="1:6" ht="15" x14ac:dyDescent="0.25">
      <c r="A1444" s="5"/>
      <c r="B1444" s="5"/>
      <c r="C1444" s="5"/>
      <c r="D1444" s="5"/>
      <c r="E1444" s="5"/>
      <c r="F1444" s="5"/>
    </row>
    <row r="1445" spans="1:6" ht="15" x14ac:dyDescent="0.25">
      <c r="A1445" s="5"/>
      <c r="B1445" s="5"/>
      <c r="C1445" s="5"/>
      <c r="D1445" s="5"/>
      <c r="E1445" s="5"/>
      <c r="F1445" s="5"/>
    </row>
    <row r="1446" spans="1:6" ht="15" x14ac:dyDescent="0.25">
      <c r="A1446" s="5"/>
      <c r="B1446" s="5"/>
      <c r="C1446" s="5"/>
      <c r="D1446" s="5"/>
      <c r="E1446" s="5"/>
      <c r="F1446" s="5"/>
    </row>
    <row r="1447" spans="1:6" ht="15" x14ac:dyDescent="0.25">
      <c r="A1447" s="5"/>
      <c r="B1447" s="5"/>
      <c r="C1447" s="5"/>
      <c r="D1447" s="5"/>
      <c r="E1447" s="5"/>
      <c r="F1447" s="5"/>
    </row>
    <row r="1448" spans="1:6" ht="15" x14ac:dyDescent="0.25">
      <c r="A1448" s="5"/>
      <c r="B1448" s="5"/>
      <c r="C1448" s="5"/>
      <c r="D1448" s="5"/>
      <c r="E1448" s="5"/>
      <c r="F1448" s="5"/>
    </row>
    <row r="1449" spans="1:6" ht="15" x14ac:dyDescent="0.25">
      <c r="A1449" s="5"/>
      <c r="B1449" s="5"/>
      <c r="C1449" s="5"/>
      <c r="D1449" s="5"/>
      <c r="E1449" s="5"/>
      <c r="F1449" s="5"/>
    </row>
    <row r="1450" spans="1:6" ht="15" x14ac:dyDescent="0.25">
      <c r="A1450" s="5"/>
      <c r="B1450" s="5"/>
      <c r="C1450" s="5"/>
      <c r="D1450" s="5"/>
      <c r="E1450" s="5"/>
      <c r="F1450" s="5"/>
    </row>
    <row r="1451" spans="1:6" ht="15" x14ac:dyDescent="0.25">
      <c r="A1451" s="5"/>
      <c r="B1451" s="5"/>
      <c r="C1451" s="5"/>
      <c r="D1451" s="5"/>
      <c r="E1451" s="5"/>
      <c r="F1451" s="5"/>
    </row>
    <row r="1452" spans="1:6" ht="15" x14ac:dyDescent="0.25">
      <c r="A1452" s="5"/>
      <c r="B1452" s="5"/>
      <c r="C1452" s="5"/>
      <c r="D1452" s="5"/>
      <c r="E1452" s="5"/>
      <c r="F1452" s="5"/>
    </row>
    <row r="1453" spans="1:6" ht="15" x14ac:dyDescent="0.25">
      <c r="A1453" s="5"/>
      <c r="B1453" s="5"/>
      <c r="C1453" s="5"/>
      <c r="D1453" s="5"/>
      <c r="E1453" s="5"/>
      <c r="F1453" s="5"/>
    </row>
    <row r="1454" spans="1:6" ht="15" x14ac:dyDescent="0.25">
      <c r="A1454" s="5"/>
      <c r="B1454" s="5"/>
      <c r="C1454" s="5"/>
      <c r="D1454" s="5"/>
      <c r="E1454" s="5"/>
      <c r="F1454" s="5"/>
    </row>
    <row r="1455" spans="1:6" ht="15" x14ac:dyDescent="0.25">
      <c r="A1455" s="5"/>
      <c r="B1455" s="5"/>
      <c r="C1455" s="5"/>
      <c r="D1455" s="5"/>
      <c r="E1455" s="5"/>
      <c r="F1455" s="5"/>
    </row>
    <row r="1456" spans="1:6" ht="15" x14ac:dyDescent="0.25">
      <c r="A1456" s="5"/>
      <c r="B1456" s="5"/>
      <c r="C1456" s="5"/>
      <c r="D1456" s="5"/>
      <c r="E1456" s="5"/>
      <c r="F1456" s="5"/>
    </row>
    <row r="1457" spans="1:6" ht="15" x14ac:dyDescent="0.25">
      <c r="A1457" s="5"/>
      <c r="B1457" s="5"/>
      <c r="C1457" s="5"/>
      <c r="D1457" s="5"/>
      <c r="E1457" s="5"/>
      <c r="F1457" s="5"/>
    </row>
    <row r="1458" spans="1:6" ht="15" x14ac:dyDescent="0.25">
      <c r="A1458" s="5"/>
      <c r="B1458" s="5"/>
      <c r="C1458" s="5"/>
      <c r="D1458" s="5"/>
      <c r="E1458" s="5"/>
      <c r="F1458" s="5"/>
    </row>
    <row r="1459" spans="1:6" ht="15" x14ac:dyDescent="0.25">
      <c r="A1459" s="5"/>
      <c r="B1459" s="5"/>
      <c r="C1459" s="5"/>
      <c r="D1459" s="5"/>
      <c r="E1459" s="5"/>
      <c r="F1459" s="5"/>
    </row>
    <row r="1460" spans="1:6" ht="15" x14ac:dyDescent="0.25">
      <c r="A1460" s="5"/>
      <c r="B1460" s="5"/>
      <c r="C1460" s="5"/>
      <c r="D1460" s="5"/>
      <c r="E1460" s="5"/>
      <c r="F1460" s="5"/>
    </row>
    <row r="1461" spans="1:6" ht="15" x14ac:dyDescent="0.25">
      <c r="A1461" s="5"/>
      <c r="B1461" s="5"/>
      <c r="C1461" s="5"/>
      <c r="D1461" s="5"/>
      <c r="E1461" s="5"/>
      <c r="F1461" s="5"/>
    </row>
    <row r="1462" spans="1:6" ht="15" x14ac:dyDescent="0.25">
      <c r="A1462" s="5"/>
      <c r="B1462" s="5"/>
      <c r="C1462" s="5"/>
      <c r="D1462" s="5"/>
      <c r="E1462" s="5"/>
      <c r="F1462" s="5"/>
    </row>
    <row r="1463" spans="1:6" ht="15" x14ac:dyDescent="0.25">
      <c r="A1463" s="5"/>
      <c r="B1463" s="5"/>
      <c r="C1463" s="5"/>
      <c r="D1463" s="5"/>
      <c r="E1463" s="5"/>
      <c r="F1463" s="5"/>
    </row>
    <row r="1464" spans="1:6" ht="15" x14ac:dyDescent="0.25">
      <c r="A1464" s="5"/>
      <c r="B1464" s="5"/>
      <c r="C1464" s="5"/>
      <c r="D1464" s="5"/>
      <c r="E1464" s="5"/>
      <c r="F1464" s="5"/>
    </row>
    <row r="1465" spans="1:6" ht="15" x14ac:dyDescent="0.25">
      <c r="A1465" s="5"/>
      <c r="B1465" s="5"/>
      <c r="C1465" s="5"/>
      <c r="D1465" s="5"/>
      <c r="E1465" s="5"/>
      <c r="F1465" s="5"/>
    </row>
    <row r="1466" spans="1:6" ht="15" x14ac:dyDescent="0.25">
      <c r="A1466" s="5"/>
      <c r="B1466" s="5"/>
      <c r="C1466" s="5"/>
      <c r="D1466" s="5"/>
      <c r="E1466" s="5"/>
      <c r="F1466" s="5"/>
    </row>
    <row r="1467" spans="1:6" ht="15" x14ac:dyDescent="0.25">
      <c r="A1467" s="5"/>
      <c r="B1467" s="5"/>
      <c r="C1467" s="5"/>
      <c r="D1467" s="5"/>
      <c r="E1467" s="5"/>
      <c r="F1467" s="5"/>
    </row>
    <row r="1468" spans="1:6" ht="15" x14ac:dyDescent="0.25">
      <c r="A1468" s="5"/>
      <c r="B1468" s="5"/>
      <c r="C1468" s="5"/>
      <c r="D1468" s="5"/>
      <c r="E1468" s="5"/>
      <c r="F1468" s="5"/>
    </row>
    <row r="1469" spans="1:6" ht="15" x14ac:dyDescent="0.25">
      <c r="A1469" s="5"/>
      <c r="B1469" s="5"/>
      <c r="C1469" s="5"/>
      <c r="D1469" s="5"/>
      <c r="E1469" s="5"/>
      <c r="F1469" s="5"/>
    </row>
    <row r="1470" spans="1:6" ht="15" x14ac:dyDescent="0.25">
      <c r="A1470" s="5"/>
      <c r="B1470" s="5"/>
      <c r="C1470" s="5"/>
      <c r="D1470" s="5"/>
      <c r="E1470" s="5"/>
      <c r="F1470" s="5"/>
    </row>
    <row r="1471" spans="1:6" ht="15" x14ac:dyDescent="0.25">
      <c r="A1471" s="5"/>
      <c r="B1471" s="5"/>
      <c r="C1471" s="5"/>
      <c r="D1471" s="5"/>
      <c r="E1471" s="5"/>
      <c r="F1471" s="5"/>
    </row>
    <row r="1472" spans="1:6" ht="15" x14ac:dyDescent="0.25">
      <c r="A1472" s="5"/>
      <c r="B1472" s="5"/>
      <c r="C1472" s="5"/>
      <c r="D1472" s="5"/>
      <c r="E1472" s="5"/>
      <c r="F1472" s="5"/>
    </row>
    <row r="1473" spans="1:6" ht="15" x14ac:dyDescent="0.25">
      <c r="A1473" s="5"/>
      <c r="B1473" s="5"/>
      <c r="C1473" s="5"/>
      <c r="D1473" s="5"/>
      <c r="E1473" s="5"/>
      <c r="F1473" s="5"/>
    </row>
    <row r="1474" spans="1:6" ht="15" x14ac:dyDescent="0.25">
      <c r="A1474" s="5"/>
      <c r="B1474" s="5"/>
      <c r="C1474" s="5"/>
      <c r="D1474" s="5"/>
      <c r="E1474" s="5"/>
      <c r="F1474" s="5"/>
    </row>
    <row r="1475" spans="1:6" ht="15" x14ac:dyDescent="0.25">
      <c r="A1475" s="5"/>
      <c r="B1475" s="5"/>
      <c r="C1475" s="5"/>
      <c r="D1475" s="5"/>
      <c r="E1475" s="5"/>
      <c r="F1475" s="5"/>
    </row>
    <row r="1476" spans="1:6" ht="15" x14ac:dyDescent="0.25">
      <c r="A1476" s="5"/>
      <c r="B1476" s="5"/>
      <c r="C1476" s="5"/>
      <c r="D1476" s="5"/>
      <c r="E1476" s="5"/>
      <c r="F1476" s="5"/>
    </row>
    <row r="1477" spans="1:6" ht="15" x14ac:dyDescent="0.25">
      <c r="A1477" s="5"/>
      <c r="B1477" s="5"/>
      <c r="C1477" s="5"/>
      <c r="D1477" s="5"/>
      <c r="E1477" s="5"/>
      <c r="F1477" s="5"/>
    </row>
    <row r="1478" spans="1:6" ht="15" x14ac:dyDescent="0.25">
      <c r="A1478" s="5"/>
      <c r="B1478" s="5"/>
      <c r="C1478" s="5"/>
      <c r="D1478" s="5"/>
      <c r="E1478" s="5"/>
      <c r="F1478" s="5"/>
    </row>
    <row r="1479" spans="1:6" ht="15" x14ac:dyDescent="0.25">
      <c r="A1479" s="5"/>
      <c r="B1479" s="5"/>
      <c r="C1479" s="5"/>
      <c r="D1479" s="5"/>
      <c r="E1479" s="5"/>
      <c r="F1479" s="5"/>
    </row>
    <row r="1480" spans="1:6" ht="15" x14ac:dyDescent="0.25">
      <c r="A1480" s="5"/>
      <c r="B1480" s="5"/>
      <c r="C1480" s="5"/>
      <c r="D1480" s="5"/>
      <c r="E1480" s="5"/>
      <c r="F1480" s="5"/>
    </row>
    <row r="1481" spans="1:6" ht="15" x14ac:dyDescent="0.25">
      <c r="A1481" s="5"/>
      <c r="B1481" s="5"/>
      <c r="C1481" s="5"/>
      <c r="D1481" s="5"/>
      <c r="E1481" s="5"/>
      <c r="F1481" s="5"/>
    </row>
    <row r="1482" spans="1:6" ht="15" x14ac:dyDescent="0.25">
      <c r="A1482" s="5"/>
      <c r="B1482" s="5"/>
      <c r="C1482" s="5"/>
      <c r="D1482" s="5"/>
      <c r="E1482" s="5"/>
      <c r="F1482" s="5"/>
    </row>
    <row r="1483" spans="1:6" ht="15" x14ac:dyDescent="0.25">
      <c r="A1483" s="5"/>
      <c r="B1483" s="5"/>
      <c r="C1483" s="5"/>
      <c r="D1483" s="5"/>
      <c r="E1483" s="5"/>
      <c r="F1483" s="5"/>
    </row>
    <row r="1484" spans="1:6" ht="15" x14ac:dyDescent="0.25">
      <c r="A1484" s="5"/>
      <c r="B1484" s="5"/>
      <c r="C1484" s="5"/>
      <c r="D1484" s="5"/>
      <c r="E1484" s="5"/>
      <c r="F1484" s="5"/>
    </row>
    <row r="1485" spans="1:6" ht="15" x14ac:dyDescent="0.25">
      <c r="A1485" s="5"/>
      <c r="B1485" s="5"/>
      <c r="C1485" s="5"/>
      <c r="D1485" s="5"/>
      <c r="E1485" s="5"/>
      <c r="F1485" s="5"/>
    </row>
    <row r="1486" spans="1:6" ht="15" x14ac:dyDescent="0.25">
      <c r="A1486" s="5"/>
      <c r="B1486" s="5"/>
      <c r="C1486" s="5"/>
      <c r="D1486" s="5"/>
      <c r="E1486" s="5"/>
      <c r="F1486" s="5"/>
    </row>
    <row r="1487" spans="1:6" ht="15" x14ac:dyDescent="0.25">
      <c r="A1487" s="5"/>
      <c r="B1487" s="5"/>
      <c r="C1487" s="5"/>
      <c r="D1487" s="5"/>
      <c r="E1487" s="5"/>
      <c r="F1487" s="5"/>
    </row>
    <row r="1488" spans="1:6" ht="15" x14ac:dyDescent="0.25">
      <c r="A1488" s="5"/>
      <c r="B1488" s="5"/>
      <c r="C1488" s="5"/>
      <c r="D1488" s="5"/>
      <c r="E1488" s="5"/>
      <c r="F1488" s="5"/>
    </row>
    <row r="1489" spans="1:6" ht="15" x14ac:dyDescent="0.25">
      <c r="A1489" s="5"/>
      <c r="B1489" s="5"/>
      <c r="C1489" s="5"/>
      <c r="D1489" s="5"/>
      <c r="E1489" s="5"/>
      <c r="F1489" s="5"/>
    </row>
    <row r="1490" spans="1:6" ht="15" x14ac:dyDescent="0.25">
      <c r="A1490" s="5"/>
      <c r="B1490" s="5"/>
      <c r="C1490" s="5"/>
      <c r="D1490" s="5"/>
      <c r="E1490" s="5"/>
      <c r="F1490" s="5"/>
    </row>
    <row r="1491" spans="1:6" ht="15" x14ac:dyDescent="0.25">
      <c r="A1491" s="5"/>
      <c r="B1491" s="5"/>
      <c r="C1491" s="5"/>
      <c r="D1491" s="5"/>
      <c r="E1491" s="5"/>
      <c r="F1491" s="5"/>
    </row>
    <row r="1492" spans="1:6" ht="15" x14ac:dyDescent="0.25">
      <c r="A1492" s="5"/>
      <c r="B1492" s="5"/>
      <c r="C1492" s="5"/>
      <c r="D1492" s="5"/>
      <c r="E1492" s="5"/>
      <c r="F1492" s="5"/>
    </row>
    <row r="1493" spans="1:6" ht="15" x14ac:dyDescent="0.25">
      <c r="A1493" s="5"/>
      <c r="B1493" s="5"/>
      <c r="C1493" s="5"/>
      <c r="D1493" s="5"/>
      <c r="E1493" s="5"/>
      <c r="F1493" s="5"/>
    </row>
    <row r="1494" spans="1:6" ht="15" x14ac:dyDescent="0.25">
      <c r="A1494" s="5"/>
      <c r="B1494" s="5"/>
      <c r="C1494" s="5"/>
      <c r="D1494" s="5"/>
      <c r="E1494" s="5"/>
      <c r="F1494" s="5"/>
    </row>
    <row r="1495" spans="1:6" ht="15" x14ac:dyDescent="0.25">
      <c r="A1495" s="5"/>
      <c r="B1495" s="5"/>
      <c r="C1495" s="5"/>
      <c r="D1495" s="5"/>
      <c r="E1495" s="5"/>
      <c r="F1495" s="5"/>
    </row>
    <row r="1496" spans="1:6" ht="15" x14ac:dyDescent="0.25">
      <c r="A1496" s="5"/>
      <c r="B1496" s="5"/>
      <c r="C1496" s="5"/>
      <c r="D1496" s="5"/>
      <c r="E1496" s="5"/>
      <c r="F1496" s="5"/>
    </row>
    <row r="1497" spans="1:6" ht="15" x14ac:dyDescent="0.25">
      <c r="A1497" s="5"/>
      <c r="B1497" s="5"/>
      <c r="C1497" s="5"/>
      <c r="D1497" s="5"/>
      <c r="E1497" s="5"/>
      <c r="F1497" s="5"/>
    </row>
    <row r="1498" spans="1:6" ht="15" x14ac:dyDescent="0.25">
      <c r="A1498" s="5"/>
      <c r="B1498" s="5"/>
      <c r="C1498" s="5"/>
      <c r="D1498" s="5"/>
      <c r="E1498" s="5"/>
      <c r="F1498" s="5"/>
    </row>
    <row r="1499" spans="1:6" ht="15" x14ac:dyDescent="0.25">
      <c r="A1499" s="5"/>
      <c r="B1499" s="5"/>
      <c r="C1499" s="5"/>
      <c r="D1499" s="5"/>
      <c r="E1499" s="5"/>
      <c r="F1499" s="5"/>
    </row>
    <row r="1500" spans="1:6" ht="15" x14ac:dyDescent="0.25">
      <c r="A1500" s="5"/>
      <c r="B1500" s="5"/>
      <c r="C1500" s="5"/>
      <c r="D1500" s="5"/>
      <c r="E1500" s="5"/>
      <c r="F1500" s="5"/>
    </row>
    <row r="1501" spans="1:6" ht="15" x14ac:dyDescent="0.25">
      <c r="A1501" s="5"/>
      <c r="B1501" s="5"/>
      <c r="C1501" s="5"/>
      <c r="D1501" s="5"/>
      <c r="E1501" s="5"/>
      <c r="F1501" s="5"/>
    </row>
    <row r="1502" spans="1:6" ht="15" x14ac:dyDescent="0.25">
      <c r="A1502" s="5"/>
      <c r="B1502" s="5"/>
      <c r="C1502" s="5"/>
      <c r="D1502" s="5"/>
      <c r="E1502" s="5"/>
      <c r="F1502" s="5"/>
    </row>
    <row r="1503" spans="1:6" ht="15" x14ac:dyDescent="0.25">
      <c r="A1503" s="5"/>
      <c r="B1503" s="5"/>
      <c r="C1503" s="5"/>
      <c r="D1503" s="5"/>
      <c r="E1503" s="5"/>
      <c r="F1503" s="5"/>
    </row>
    <row r="1504" spans="1:6" ht="15" x14ac:dyDescent="0.25">
      <c r="A1504" s="5"/>
      <c r="B1504" s="5"/>
      <c r="C1504" s="5"/>
      <c r="D1504" s="5"/>
      <c r="E1504" s="5"/>
      <c r="F1504" s="5"/>
    </row>
    <row r="1505" spans="1:6" ht="15" x14ac:dyDescent="0.25">
      <c r="A1505" s="5"/>
      <c r="B1505" s="5"/>
      <c r="C1505" s="5"/>
      <c r="D1505" s="5"/>
      <c r="E1505" s="5"/>
      <c r="F1505" s="5"/>
    </row>
    <row r="1506" spans="1:6" ht="15" x14ac:dyDescent="0.25">
      <c r="A1506" s="5"/>
      <c r="B1506" s="5"/>
      <c r="C1506" s="5"/>
      <c r="D1506" s="5"/>
      <c r="E1506" s="5"/>
      <c r="F1506" s="5"/>
    </row>
    <row r="1507" spans="1:6" ht="15" x14ac:dyDescent="0.25">
      <c r="A1507" s="5"/>
      <c r="B1507" s="5"/>
      <c r="C1507" s="5"/>
      <c r="D1507" s="5"/>
      <c r="E1507" s="5"/>
      <c r="F1507" s="5"/>
    </row>
    <row r="1508" spans="1:6" ht="15" x14ac:dyDescent="0.25">
      <c r="A1508" s="5"/>
      <c r="B1508" s="5"/>
      <c r="C1508" s="5"/>
      <c r="D1508" s="5"/>
      <c r="E1508" s="5"/>
      <c r="F1508" s="5"/>
    </row>
    <row r="1509" spans="1:6" ht="15" x14ac:dyDescent="0.25">
      <c r="A1509" s="5"/>
      <c r="B1509" s="5"/>
      <c r="C1509" s="5"/>
      <c r="D1509" s="5"/>
      <c r="E1509" s="5"/>
      <c r="F1509" s="5"/>
    </row>
    <row r="1510" spans="1:6" ht="15" x14ac:dyDescent="0.25">
      <c r="A1510" s="5"/>
      <c r="B1510" s="5"/>
      <c r="C1510" s="5"/>
      <c r="D1510" s="5"/>
      <c r="E1510" s="5"/>
      <c r="F1510" s="5"/>
    </row>
    <row r="1511" spans="1:6" ht="15" x14ac:dyDescent="0.25">
      <c r="A1511" s="5"/>
      <c r="B1511" s="5"/>
      <c r="C1511" s="5"/>
      <c r="D1511" s="5"/>
      <c r="E1511" s="5"/>
      <c r="F1511" s="5"/>
    </row>
    <row r="1512" spans="1:6" ht="15" x14ac:dyDescent="0.25">
      <c r="A1512" s="5"/>
      <c r="B1512" s="5"/>
      <c r="C1512" s="5"/>
      <c r="D1512" s="5"/>
      <c r="E1512" s="5"/>
      <c r="F1512" s="5"/>
    </row>
    <row r="1513" spans="1:6" ht="15" x14ac:dyDescent="0.25">
      <c r="A1513" s="5"/>
      <c r="B1513" s="5"/>
      <c r="C1513" s="5"/>
      <c r="D1513" s="5"/>
      <c r="E1513" s="5"/>
      <c r="F1513" s="5"/>
    </row>
    <row r="1514" spans="1:6" ht="15" x14ac:dyDescent="0.25">
      <c r="A1514" s="5"/>
      <c r="B1514" s="5"/>
      <c r="C1514" s="5"/>
      <c r="D1514" s="5"/>
      <c r="E1514" s="5"/>
      <c r="F1514" s="5"/>
    </row>
    <row r="1515" spans="1:6" ht="15" x14ac:dyDescent="0.25">
      <c r="A1515" s="5"/>
      <c r="B1515" s="5"/>
      <c r="C1515" s="5"/>
      <c r="D1515" s="5"/>
      <c r="E1515" s="5"/>
      <c r="F1515" s="5"/>
    </row>
    <row r="1516" spans="1:6" ht="15" x14ac:dyDescent="0.25">
      <c r="A1516" s="5"/>
      <c r="B1516" s="5"/>
      <c r="C1516" s="5"/>
      <c r="D1516" s="5"/>
      <c r="E1516" s="5"/>
      <c r="F1516" s="5"/>
    </row>
    <row r="1517" spans="1:6" ht="15" x14ac:dyDescent="0.25">
      <c r="A1517" s="5"/>
      <c r="B1517" s="5"/>
      <c r="C1517" s="5"/>
      <c r="D1517" s="5"/>
      <c r="E1517" s="5"/>
      <c r="F1517" s="5"/>
    </row>
    <row r="1518" spans="1:6" ht="15" x14ac:dyDescent="0.25">
      <c r="A1518" s="5"/>
      <c r="B1518" s="5"/>
      <c r="C1518" s="5"/>
      <c r="D1518" s="5"/>
      <c r="E1518" s="5"/>
      <c r="F1518" s="5"/>
    </row>
    <row r="1519" spans="1:6" ht="15" x14ac:dyDescent="0.25">
      <c r="A1519" s="5"/>
      <c r="B1519" s="5"/>
      <c r="C1519" s="5"/>
      <c r="D1519" s="5"/>
      <c r="E1519" s="5"/>
      <c r="F1519" s="5"/>
    </row>
    <row r="1520" spans="1:6" ht="15" x14ac:dyDescent="0.25">
      <c r="A1520" s="5"/>
      <c r="B1520" s="5"/>
      <c r="C1520" s="5"/>
      <c r="D1520" s="5"/>
      <c r="E1520" s="5"/>
      <c r="F1520" s="5"/>
    </row>
    <row r="1521" spans="1:6" ht="15" x14ac:dyDescent="0.25">
      <c r="A1521" s="5"/>
      <c r="B1521" s="5"/>
      <c r="C1521" s="5"/>
      <c r="D1521" s="5"/>
      <c r="E1521" s="5"/>
      <c r="F1521" s="5"/>
    </row>
    <row r="1522" spans="1:6" ht="15" x14ac:dyDescent="0.25">
      <c r="A1522" s="5"/>
      <c r="B1522" s="5"/>
      <c r="C1522" s="5"/>
      <c r="D1522" s="5"/>
      <c r="E1522" s="5"/>
      <c r="F1522" s="5"/>
    </row>
    <row r="1523" spans="1:6" ht="15" x14ac:dyDescent="0.25">
      <c r="A1523" s="5"/>
      <c r="B1523" s="5"/>
      <c r="C1523" s="5"/>
      <c r="D1523" s="5"/>
      <c r="E1523" s="5"/>
      <c r="F1523" s="5"/>
    </row>
    <row r="1524" spans="1:6" ht="15" x14ac:dyDescent="0.25">
      <c r="A1524" s="5"/>
      <c r="B1524" s="5"/>
      <c r="C1524" s="5"/>
      <c r="D1524" s="5"/>
      <c r="E1524" s="5"/>
      <c r="F1524" s="5"/>
    </row>
    <row r="1525" spans="1:6" ht="15" x14ac:dyDescent="0.25">
      <c r="A1525" s="5"/>
      <c r="B1525" s="5"/>
      <c r="C1525" s="5"/>
      <c r="D1525" s="5"/>
      <c r="E1525" s="5"/>
      <c r="F1525" s="5"/>
    </row>
    <row r="1526" spans="1:6" ht="15" x14ac:dyDescent="0.25">
      <c r="A1526" s="5"/>
      <c r="B1526" s="5"/>
      <c r="C1526" s="5"/>
      <c r="D1526" s="5"/>
      <c r="E1526" s="5"/>
      <c r="F1526" s="5"/>
    </row>
    <row r="1527" spans="1:6" ht="15" x14ac:dyDescent="0.25">
      <c r="A1527" s="5"/>
      <c r="B1527" s="5"/>
      <c r="C1527" s="5"/>
      <c r="D1527" s="5"/>
      <c r="E1527" s="5"/>
      <c r="F1527" s="5"/>
    </row>
    <row r="1528" spans="1:6" ht="15" x14ac:dyDescent="0.25">
      <c r="A1528" s="5"/>
      <c r="B1528" s="5"/>
      <c r="C1528" s="5"/>
      <c r="D1528" s="5"/>
      <c r="E1528" s="5"/>
      <c r="F1528" s="5"/>
    </row>
    <row r="1529" spans="1:6" ht="15" x14ac:dyDescent="0.25">
      <c r="A1529" s="5"/>
      <c r="B1529" s="5"/>
      <c r="C1529" s="5"/>
      <c r="D1529" s="5"/>
      <c r="E1529" s="5"/>
      <c r="F1529" s="5"/>
    </row>
    <row r="1530" spans="1:6" ht="15" x14ac:dyDescent="0.25">
      <c r="A1530" s="5"/>
      <c r="B1530" s="5"/>
      <c r="C1530" s="5"/>
      <c r="D1530" s="5"/>
      <c r="E1530" s="5"/>
      <c r="F1530" s="5"/>
    </row>
    <row r="1531" spans="1:6" ht="15" x14ac:dyDescent="0.25">
      <c r="A1531" s="5"/>
      <c r="B1531" s="5"/>
      <c r="C1531" s="5"/>
      <c r="D1531" s="5"/>
      <c r="E1531" s="5"/>
      <c r="F1531" s="5"/>
    </row>
    <row r="1532" spans="1:6" ht="15" x14ac:dyDescent="0.25">
      <c r="A1532" s="5"/>
      <c r="B1532" s="5"/>
      <c r="C1532" s="5"/>
      <c r="D1532" s="5"/>
      <c r="E1532" s="5"/>
      <c r="F1532" s="5"/>
    </row>
    <row r="1533" spans="1:6" ht="15" x14ac:dyDescent="0.25">
      <c r="A1533" s="5"/>
      <c r="B1533" s="5"/>
      <c r="C1533" s="5"/>
      <c r="D1533" s="5"/>
      <c r="E1533" s="5"/>
      <c r="F1533" s="5"/>
    </row>
    <row r="1534" spans="1:6" ht="15" x14ac:dyDescent="0.25">
      <c r="A1534" s="5"/>
      <c r="B1534" s="5"/>
      <c r="C1534" s="5"/>
      <c r="D1534" s="5"/>
      <c r="E1534" s="5"/>
      <c r="F1534" s="5"/>
    </row>
    <row r="1535" spans="1:6" ht="15" x14ac:dyDescent="0.25">
      <c r="A1535" s="5"/>
      <c r="B1535" s="5"/>
      <c r="C1535" s="5"/>
      <c r="D1535" s="5"/>
      <c r="E1535" s="5"/>
      <c r="F1535" s="5"/>
    </row>
    <row r="1536" spans="1:6" ht="15" x14ac:dyDescent="0.25">
      <c r="A1536" s="5"/>
      <c r="B1536" s="5"/>
      <c r="C1536" s="5"/>
      <c r="D1536" s="5"/>
      <c r="E1536" s="5"/>
      <c r="F1536" s="5"/>
    </row>
    <row r="1537" spans="1:6" ht="15" x14ac:dyDescent="0.25">
      <c r="A1537" s="5"/>
      <c r="B1537" s="5"/>
      <c r="C1537" s="5"/>
      <c r="D1537" s="5"/>
      <c r="E1537" s="5"/>
      <c r="F1537" s="5"/>
    </row>
    <row r="1538" spans="1:6" ht="15" x14ac:dyDescent="0.25">
      <c r="A1538" s="5"/>
      <c r="B1538" s="5"/>
      <c r="C1538" s="5"/>
      <c r="D1538" s="5"/>
      <c r="E1538" s="5"/>
      <c r="F1538" s="5"/>
    </row>
    <row r="1539" spans="1:6" ht="15" x14ac:dyDescent="0.25">
      <c r="A1539" s="5"/>
      <c r="B1539" s="5"/>
      <c r="C1539" s="5"/>
      <c r="D1539" s="5"/>
      <c r="E1539" s="5"/>
      <c r="F1539" s="5"/>
    </row>
    <row r="1540" spans="1:6" ht="15" x14ac:dyDescent="0.25">
      <c r="A1540" s="5"/>
      <c r="B1540" s="5"/>
      <c r="C1540" s="5"/>
      <c r="D1540" s="5"/>
      <c r="E1540" s="5"/>
      <c r="F1540" s="5"/>
    </row>
    <row r="1541" spans="1:6" ht="15" x14ac:dyDescent="0.25">
      <c r="A1541" s="5"/>
      <c r="B1541" s="5"/>
      <c r="C1541" s="5"/>
      <c r="D1541" s="5"/>
      <c r="E1541" s="5"/>
      <c r="F1541" s="5"/>
    </row>
    <row r="1542" spans="1:6" ht="15" x14ac:dyDescent="0.25">
      <c r="A1542" s="5"/>
      <c r="B1542" s="5"/>
      <c r="C1542" s="5"/>
      <c r="D1542" s="5"/>
      <c r="E1542" s="5"/>
      <c r="F1542" s="5"/>
    </row>
    <row r="1543" spans="1:6" ht="15" x14ac:dyDescent="0.25">
      <c r="A1543" s="5"/>
      <c r="B1543" s="5"/>
      <c r="C1543" s="5"/>
      <c r="D1543" s="5"/>
      <c r="E1543" s="5"/>
      <c r="F1543" s="5"/>
    </row>
    <row r="1544" spans="1:6" ht="15" x14ac:dyDescent="0.25">
      <c r="A1544" s="5"/>
      <c r="B1544" s="5"/>
      <c r="C1544" s="5"/>
      <c r="D1544" s="5"/>
      <c r="E1544" s="5"/>
      <c r="F1544" s="5"/>
    </row>
    <row r="1545" spans="1:6" ht="15" x14ac:dyDescent="0.25">
      <c r="A1545" s="5"/>
      <c r="B1545" s="5"/>
      <c r="C1545" s="5"/>
      <c r="D1545" s="5"/>
      <c r="E1545" s="5"/>
      <c r="F1545" s="5"/>
    </row>
    <row r="1546" spans="1:6" ht="15" x14ac:dyDescent="0.25">
      <c r="A1546" s="5"/>
      <c r="B1546" s="5"/>
      <c r="C1546" s="5"/>
      <c r="D1546" s="5"/>
      <c r="E1546" s="5"/>
      <c r="F1546" s="5"/>
    </row>
    <row r="1547" spans="1:6" ht="15" x14ac:dyDescent="0.25">
      <c r="A1547" s="5"/>
      <c r="B1547" s="5"/>
      <c r="C1547" s="5"/>
      <c r="D1547" s="5"/>
      <c r="E1547" s="5"/>
      <c r="F1547" s="5"/>
    </row>
    <row r="1548" spans="1:6" ht="15" x14ac:dyDescent="0.25">
      <c r="A1548" s="5"/>
      <c r="B1548" s="5"/>
      <c r="C1548" s="5"/>
      <c r="D1548" s="5"/>
      <c r="E1548" s="5"/>
      <c r="F1548" s="5"/>
    </row>
    <row r="1549" spans="1:6" ht="15" x14ac:dyDescent="0.25">
      <c r="A1549" s="5"/>
      <c r="B1549" s="5"/>
      <c r="C1549" s="5"/>
      <c r="D1549" s="5"/>
      <c r="E1549" s="5"/>
      <c r="F1549" s="5"/>
    </row>
    <row r="1550" spans="1:6" ht="15" x14ac:dyDescent="0.25">
      <c r="A1550" s="5"/>
      <c r="B1550" s="5"/>
      <c r="C1550" s="5"/>
      <c r="D1550" s="5"/>
      <c r="E1550" s="5"/>
      <c r="F1550" s="5"/>
    </row>
    <row r="1551" spans="1:6" ht="15" x14ac:dyDescent="0.25">
      <c r="A1551" s="5"/>
      <c r="B1551" s="5"/>
      <c r="C1551" s="5"/>
      <c r="D1551" s="5"/>
      <c r="E1551" s="5"/>
      <c r="F1551" s="5"/>
    </row>
    <row r="1552" spans="1:6" ht="15" x14ac:dyDescent="0.25">
      <c r="A1552" s="5"/>
      <c r="B1552" s="5"/>
      <c r="C1552" s="5"/>
      <c r="D1552" s="5"/>
      <c r="E1552" s="5"/>
      <c r="F1552" s="5"/>
    </row>
    <row r="1553" spans="1:6" ht="15" x14ac:dyDescent="0.25">
      <c r="A1553" s="5"/>
      <c r="B1553" s="5"/>
      <c r="C1553" s="5"/>
      <c r="D1553" s="5"/>
      <c r="E1553" s="5"/>
      <c r="F1553" s="5"/>
    </row>
    <row r="1554" spans="1:6" ht="15" x14ac:dyDescent="0.25">
      <c r="A1554" s="5"/>
      <c r="B1554" s="5"/>
      <c r="C1554" s="5"/>
      <c r="D1554" s="5"/>
      <c r="E1554" s="5"/>
      <c r="F1554" s="5"/>
    </row>
    <row r="1555" spans="1:6" ht="15" x14ac:dyDescent="0.25">
      <c r="A1555" s="5"/>
      <c r="B1555" s="5"/>
      <c r="C1555" s="5"/>
      <c r="D1555" s="5"/>
      <c r="E1555" s="5"/>
      <c r="F1555" s="5"/>
    </row>
    <row r="1556" spans="1:6" ht="15" x14ac:dyDescent="0.25">
      <c r="A1556" s="5"/>
      <c r="B1556" s="5"/>
      <c r="C1556" s="5"/>
      <c r="D1556" s="5"/>
      <c r="E1556" s="5"/>
      <c r="F1556" s="5"/>
    </row>
    <row r="1557" spans="1:6" ht="15" x14ac:dyDescent="0.25">
      <c r="A1557" s="5"/>
      <c r="B1557" s="5"/>
      <c r="C1557" s="5"/>
      <c r="D1557" s="5"/>
      <c r="E1557" s="5"/>
      <c r="F1557" s="5"/>
    </row>
    <row r="1558" spans="1:6" ht="15" x14ac:dyDescent="0.25">
      <c r="A1558" s="5"/>
      <c r="B1558" s="5"/>
      <c r="C1558" s="5"/>
      <c r="D1558" s="5"/>
      <c r="E1558" s="5"/>
      <c r="F1558" s="5"/>
    </row>
    <row r="1559" spans="1:6" ht="15" x14ac:dyDescent="0.25">
      <c r="A1559" s="5"/>
      <c r="B1559" s="5"/>
      <c r="C1559" s="5"/>
      <c r="D1559" s="5"/>
      <c r="E1559" s="5"/>
      <c r="F1559" s="5"/>
    </row>
    <row r="1560" spans="1:6" ht="15" x14ac:dyDescent="0.25">
      <c r="A1560" s="5"/>
      <c r="B1560" s="5"/>
      <c r="C1560" s="5"/>
      <c r="D1560" s="5"/>
      <c r="E1560" s="5"/>
      <c r="F1560" s="5"/>
    </row>
    <row r="1561" spans="1:6" ht="15" x14ac:dyDescent="0.25">
      <c r="A1561" s="5"/>
      <c r="B1561" s="5"/>
      <c r="C1561" s="5"/>
      <c r="D1561" s="5"/>
      <c r="E1561" s="5"/>
      <c r="F1561" s="5"/>
    </row>
    <row r="1562" spans="1:6" ht="15" x14ac:dyDescent="0.25">
      <c r="A1562" s="5"/>
      <c r="B1562" s="5"/>
      <c r="C1562" s="5"/>
      <c r="D1562" s="5"/>
      <c r="E1562" s="5"/>
      <c r="F1562" s="5"/>
    </row>
    <row r="1563" spans="1:6" ht="15" x14ac:dyDescent="0.25">
      <c r="A1563" s="5"/>
      <c r="B1563" s="5"/>
      <c r="C1563" s="5"/>
      <c r="D1563" s="5"/>
      <c r="E1563" s="5"/>
      <c r="F1563" s="5"/>
    </row>
    <row r="1564" spans="1:6" ht="15" x14ac:dyDescent="0.25">
      <c r="A1564" s="5"/>
      <c r="B1564" s="5"/>
      <c r="C1564" s="5"/>
      <c r="D1564" s="5"/>
      <c r="E1564" s="5"/>
      <c r="F1564" s="5"/>
    </row>
    <row r="1565" spans="1:6" ht="15" x14ac:dyDescent="0.25">
      <c r="A1565" s="5"/>
      <c r="B1565" s="5"/>
      <c r="C1565" s="5"/>
      <c r="D1565" s="5"/>
      <c r="E1565" s="5"/>
      <c r="F1565" s="5"/>
    </row>
    <row r="1566" spans="1:6" ht="15" x14ac:dyDescent="0.25">
      <c r="A1566" s="5"/>
      <c r="B1566" s="5"/>
      <c r="C1566" s="5"/>
      <c r="D1566" s="5"/>
      <c r="E1566" s="5"/>
      <c r="F1566" s="5"/>
    </row>
    <row r="1567" spans="1:6" ht="15" x14ac:dyDescent="0.25">
      <c r="A1567" s="5"/>
      <c r="B1567" s="5"/>
      <c r="C1567" s="5"/>
      <c r="D1567" s="5"/>
      <c r="E1567" s="5"/>
      <c r="F1567" s="5"/>
    </row>
    <row r="1568" spans="1:6" ht="15" x14ac:dyDescent="0.25">
      <c r="A1568" s="5"/>
      <c r="B1568" s="5"/>
      <c r="C1568" s="5"/>
      <c r="D1568" s="5"/>
      <c r="E1568" s="5"/>
      <c r="F1568" s="5"/>
    </row>
    <row r="1569" spans="1:6" ht="15" x14ac:dyDescent="0.25">
      <c r="A1569" s="5"/>
      <c r="B1569" s="5"/>
      <c r="C1569" s="5"/>
      <c r="D1569" s="5"/>
      <c r="E1569" s="5"/>
      <c r="F1569" s="5"/>
    </row>
    <row r="1570" spans="1:6" ht="15" x14ac:dyDescent="0.25">
      <c r="A1570" s="5"/>
      <c r="B1570" s="5"/>
      <c r="C1570" s="5"/>
      <c r="D1570" s="5"/>
      <c r="E1570" s="5"/>
      <c r="F1570" s="5"/>
    </row>
    <row r="1571" spans="1:6" ht="15" x14ac:dyDescent="0.25">
      <c r="A1571" s="5"/>
      <c r="B1571" s="5"/>
      <c r="C1571" s="5"/>
      <c r="D1571" s="5"/>
      <c r="E1571" s="5"/>
      <c r="F1571" s="5"/>
    </row>
    <row r="1572" spans="1:6" ht="15" x14ac:dyDescent="0.25">
      <c r="A1572" s="5"/>
      <c r="B1572" s="5"/>
      <c r="C1572" s="5"/>
      <c r="D1572" s="5"/>
      <c r="E1572" s="5"/>
      <c r="F1572" s="5"/>
    </row>
    <row r="1573" spans="1:6" ht="15" x14ac:dyDescent="0.25">
      <c r="A1573" s="5"/>
      <c r="B1573" s="5"/>
      <c r="C1573" s="5"/>
      <c r="D1573" s="5"/>
      <c r="E1573" s="5"/>
      <c r="F1573" s="5"/>
    </row>
    <row r="1574" spans="1:6" ht="15" x14ac:dyDescent="0.25">
      <c r="A1574" s="5"/>
      <c r="B1574" s="5"/>
      <c r="C1574" s="5"/>
      <c r="D1574" s="5"/>
      <c r="E1574" s="5"/>
      <c r="F1574" s="5"/>
    </row>
    <row r="1575" spans="1:6" ht="15" x14ac:dyDescent="0.25">
      <c r="A1575" s="5"/>
      <c r="B1575" s="5"/>
      <c r="C1575" s="5"/>
      <c r="D1575" s="5"/>
      <c r="E1575" s="5"/>
      <c r="F1575" s="5"/>
    </row>
    <row r="1576" spans="1:6" ht="15" x14ac:dyDescent="0.25">
      <c r="A1576" s="5"/>
      <c r="B1576" s="5"/>
      <c r="C1576" s="5"/>
      <c r="D1576" s="5"/>
      <c r="E1576" s="5"/>
      <c r="F1576" s="5"/>
    </row>
    <row r="1577" spans="1:6" ht="15" x14ac:dyDescent="0.25">
      <c r="A1577" s="5"/>
      <c r="B1577" s="5"/>
      <c r="C1577" s="5"/>
      <c r="D1577" s="5"/>
      <c r="E1577" s="5"/>
      <c r="F1577" s="5"/>
    </row>
    <row r="1578" spans="1:6" ht="15" x14ac:dyDescent="0.25">
      <c r="A1578" s="5"/>
      <c r="B1578" s="5"/>
      <c r="C1578" s="5"/>
      <c r="D1578" s="5"/>
      <c r="E1578" s="5"/>
      <c r="F1578" s="5"/>
    </row>
    <row r="1579" spans="1:6" ht="15" x14ac:dyDescent="0.25">
      <c r="A1579" s="5"/>
      <c r="B1579" s="5"/>
      <c r="C1579" s="5"/>
      <c r="D1579" s="5"/>
      <c r="E1579" s="5"/>
      <c r="F1579" s="5"/>
    </row>
    <row r="1580" spans="1:6" ht="15" x14ac:dyDescent="0.25">
      <c r="A1580" s="5"/>
      <c r="B1580" s="5"/>
      <c r="C1580" s="5"/>
      <c r="D1580" s="5"/>
      <c r="E1580" s="5"/>
      <c r="F1580" s="5"/>
    </row>
    <row r="1581" spans="1:6" ht="15" x14ac:dyDescent="0.25">
      <c r="A1581" s="5"/>
      <c r="B1581" s="5"/>
      <c r="C1581" s="5"/>
      <c r="D1581" s="5"/>
      <c r="E1581" s="5"/>
      <c r="F1581" s="5"/>
    </row>
    <row r="1582" spans="1:6" ht="15" x14ac:dyDescent="0.25">
      <c r="A1582" s="5"/>
      <c r="B1582" s="5"/>
      <c r="C1582" s="5"/>
      <c r="D1582" s="5"/>
      <c r="E1582" s="5"/>
      <c r="F1582" s="5"/>
    </row>
    <row r="1583" spans="1:6" ht="15" x14ac:dyDescent="0.25">
      <c r="A1583" s="5"/>
      <c r="B1583" s="5"/>
      <c r="C1583" s="5"/>
      <c r="D1583" s="5"/>
      <c r="E1583" s="5"/>
      <c r="F1583" s="5"/>
    </row>
    <row r="1584" spans="1:6" ht="15" x14ac:dyDescent="0.25">
      <c r="A1584" s="5"/>
      <c r="B1584" s="5"/>
      <c r="C1584" s="5"/>
      <c r="D1584" s="5"/>
      <c r="E1584" s="5"/>
      <c r="F1584" s="5"/>
    </row>
    <row r="1585" spans="1:6" ht="15" x14ac:dyDescent="0.25">
      <c r="A1585" s="5"/>
      <c r="B1585" s="5"/>
      <c r="C1585" s="5"/>
      <c r="D1585" s="5"/>
      <c r="E1585" s="5"/>
      <c r="F1585" s="5"/>
    </row>
    <row r="1586" spans="1:6" ht="15" x14ac:dyDescent="0.25">
      <c r="A1586" s="5"/>
      <c r="B1586" s="5"/>
      <c r="C1586" s="5"/>
      <c r="D1586" s="5"/>
      <c r="E1586" s="5"/>
      <c r="F1586" s="5"/>
    </row>
    <row r="1587" spans="1:6" ht="15" x14ac:dyDescent="0.25">
      <c r="A1587" s="5"/>
      <c r="B1587" s="5"/>
      <c r="C1587" s="5"/>
      <c r="D1587" s="5"/>
      <c r="E1587" s="5"/>
      <c r="F1587" s="5"/>
    </row>
    <row r="1588" spans="1:6" ht="15" x14ac:dyDescent="0.25">
      <c r="A1588" s="5"/>
      <c r="B1588" s="5"/>
      <c r="C1588" s="5"/>
      <c r="D1588" s="5"/>
      <c r="E1588" s="5"/>
      <c r="F1588" s="5"/>
    </row>
    <row r="1589" spans="1:6" ht="15" x14ac:dyDescent="0.25">
      <c r="A1589" s="5"/>
      <c r="B1589" s="5"/>
      <c r="C1589" s="5"/>
      <c r="D1589" s="5"/>
      <c r="E1589" s="5"/>
      <c r="F1589" s="5"/>
    </row>
    <row r="1590" spans="1:6" ht="15" x14ac:dyDescent="0.25">
      <c r="A1590" s="5"/>
      <c r="B1590" s="5"/>
      <c r="C1590" s="5"/>
      <c r="D1590" s="5"/>
      <c r="E1590" s="5"/>
      <c r="F1590" s="5"/>
    </row>
    <row r="1591" spans="1:6" ht="15" x14ac:dyDescent="0.25">
      <c r="A1591" s="5"/>
      <c r="B1591" s="5"/>
      <c r="C1591" s="5"/>
      <c r="D1591" s="5"/>
      <c r="E1591" s="5"/>
      <c r="F1591" s="5"/>
    </row>
    <row r="1592" spans="1:6" ht="15" x14ac:dyDescent="0.25">
      <c r="A1592" s="5"/>
      <c r="B1592" s="5"/>
      <c r="C1592" s="5"/>
      <c r="D1592" s="5"/>
      <c r="E1592" s="5"/>
      <c r="F1592" s="5"/>
    </row>
    <row r="1593" spans="1:6" ht="15" x14ac:dyDescent="0.25">
      <c r="A1593" s="5"/>
      <c r="B1593" s="5"/>
      <c r="C1593" s="5"/>
      <c r="D1593" s="5"/>
      <c r="E1593" s="5"/>
      <c r="F1593" s="5"/>
    </row>
    <row r="1594" spans="1:6" ht="15" x14ac:dyDescent="0.25">
      <c r="A1594" s="5"/>
      <c r="B1594" s="5"/>
      <c r="C1594" s="5"/>
      <c r="D1594" s="5"/>
      <c r="E1594" s="5"/>
      <c r="F1594" s="5"/>
    </row>
    <row r="1595" spans="1:6" ht="15" x14ac:dyDescent="0.25">
      <c r="A1595" s="5"/>
      <c r="B1595" s="5"/>
      <c r="C1595" s="5"/>
      <c r="D1595" s="5"/>
      <c r="E1595" s="5"/>
      <c r="F1595" s="5"/>
    </row>
    <row r="1596" spans="1:6" ht="15" x14ac:dyDescent="0.25">
      <c r="A1596" s="5"/>
      <c r="B1596" s="5"/>
      <c r="C1596" s="5"/>
      <c r="D1596" s="5"/>
      <c r="E1596" s="5"/>
      <c r="F1596" s="5"/>
    </row>
    <row r="1597" spans="1:6" ht="15" x14ac:dyDescent="0.25">
      <c r="A1597" s="5"/>
      <c r="B1597" s="5"/>
      <c r="C1597" s="5"/>
      <c r="D1597" s="5"/>
      <c r="E1597" s="5"/>
      <c r="F1597" s="5"/>
    </row>
    <row r="1598" spans="1:6" ht="15" x14ac:dyDescent="0.25">
      <c r="A1598" s="5"/>
      <c r="B1598" s="5"/>
      <c r="C1598" s="5"/>
      <c r="D1598" s="5"/>
      <c r="E1598" s="5"/>
      <c r="F1598" s="5"/>
    </row>
    <row r="1599" spans="1:6" ht="15" x14ac:dyDescent="0.25">
      <c r="A1599" s="5"/>
      <c r="B1599" s="5"/>
      <c r="C1599" s="5"/>
      <c r="D1599" s="5"/>
      <c r="E1599" s="5"/>
      <c r="F1599" s="5"/>
    </row>
    <row r="1600" spans="1:6" ht="15" x14ac:dyDescent="0.25">
      <c r="A1600" s="5"/>
      <c r="B1600" s="5"/>
      <c r="C1600" s="5"/>
      <c r="D1600" s="5"/>
      <c r="E1600" s="5"/>
      <c r="F1600" s="5"/>
    </row>
    <row r="1601" spans="1:6" ht="15" x14ac:dyDescent="0.25">
      <c r="A1601" s="5"/>
      <c r="B1601" s="5"/>
      <c r="C1601" s="5"/>
      <c r="D1601" s="5"/>
      <c r="E1601" s="5"/>
      <c r="F1601" s="5"/>
    </row>
    <row r="1602" spans="1:6" ht="15" x14ac:dyDescent="0.25">
      <c r="A1602" s="5"/>
      <c r="B1602" s="5"/>
      <c r="C1602" s="5"/>
      <c r="D1602" s="5"/>
      <c r="E1602" s="5"/>
      <c r="F1602" s="5"/>
    </row>
    <row r="1603" spans="1:6" ht="15" x14ac:dyDescent="0.25">
      <c r="A1603" s="5"/>
      <c r="B1603" s="5"/>
      <c r="C1603" s="5"/>
      <c r="D1603" s="5"/>
      <c r="E1603" s="5"/>
      <c r="F1603" s="5"/>
    </row>
    <row r="1604" spans="1:6" ht="15" x14ac:dyDescent="0.25">
      <c r="A1604" s="5"/>
      <c r="B1604" s="5"/>
      <c r="C1604" s="5"/>
      <c r="D1604" s="5"/>
      <c r="E1604" s="5"/>
      <c r="F1604" s="5"/>
    </row>
    <row r="1605" spans="1:6" ht="15" x14ac:dyDescent="0.25">
      <c r="A1605" s="5"/>
      <c r="B1605" s="5"/>
      <c r="C1605" s="5"/>
      <c r="D1605" s="5"/>
      <c r="E1605" s="5"/>
      <c r="F1605" s="5"/>
    </row>
    <row r="1606" spans="1:6" ht="15" x14ac:dyDescent="0.25">
      <c r="A1606" s="5"/>
      <c r="B1606" s="5"/>
      <c r="C1606" s="5"/>
      <c r="D1606" s="5"/>
      <c r="E1606" s="5"/>
      <c r="F1606" s="5"/>
    </row>
    <row r="1607" spans="1:6" ht="15" x14ac:dyDescent="0.25">
      <c r="A1607" s="5"/>
      <c r="B1607" s="5"/>
      <c r="C1607" s="5"/>
      <c r="D1607" s="5"/>
      <c r="E1607" s="5"/>
      <c r="F1607" s="5"/>
    </row>
    <row r="1608" spans="1:6" ht="15" x14ac:dyDescent="0.25">
      <c r="A1608" s="5"/>
      <c r="B1608" s="5"/>
      <c r="C1608" s="5"/>
      <c r="D1608" s="5"/>
      <c r="E1608" s="5"/>
      <c r="F1608" s="5"/>
    </row>
    <row r="1609" spans="1:6" ht="15" x14ac:dyDescent="0.25">
      <c r="A1609" s="5"/>
      <c r="B1609" s="5"/>
      <c r="C1609" s="5"/>
      <c r="D1609" s="5"/>
      <c r="E1609" s="5"/>
      <c r="F1609" s="5"/>
    </row>
    <row r="1610" spans="1:6" ht="15" x14ac:dyDescent="0.25">
      <c r="A1610" s="5"/>
      <c r="B1610" s="5"/>
      <c r="C1610" s="5"/>
      <c r="D1610" s="5"/>
      <c r="E1610" s="5"/>
      <c r="F1610" s="5"/>
    </row>
    <row r="1611" spans="1:6" ht="15" x14ac:dyDescent="0.25">
      <c r="A1611" s="5"/>
      <c r="B1611" s="5"/>
      <c r="C1611" s="5"/>
      <c r="D1611" s="5"/>
      <c r="E1611" s="5"/>
      <c r="F1611" s="5"/>
    </row>
    <row r="1612" spans="1:6" ht="15" x14ac:dyDescent="0.25">
      <c r="A1612" s="5"/>
      <c r="B1612" s="5"/>
      <c r="C1612" s="5"/>
      <c r="D1612" s="5"/>
      <c r="E1612" s="5"/>
      <c r="F1612" s="5"/>
    </row>
    <row r="1613" spans="1:6" ht="15" x14ac:dyDescent="0.25">
      <c r="A1613" s="5"/>
      <c r="B1613" s="5"/>
      <c r="C1613" s="5"/>
      <c r="D1613" s="5"/>
      <c r="E1613" s="5"/>
      <c r="F1613" s="5"/>
    </row>
    <row r="1614" spans="1:6" ht="15" x14ac:dyDescent="0.25">
      <c r="A1614" s="5"/>
      <c r="B1614" s="5"/>
      <c r="C1614" s="5"/>
      <c r="D1614" s="5"/>
      <c r="E1614" s="5"/>
      <c r="F1614" s="5"/>
    </row>
    <row r="1615" spans="1:6" ht="15" x14ac:dyDescent="0.25">
      <c r="A1615" s="5"/>
      <c r="B1615" s="5"/>
      <c r="C1615" s="5"/>
      <c r="D1615" s="5"/>
      <c r="E1615" s="5"/>
      <c r="F1615" s="5"/>
    </row>
    <row r="1616" spans="1:6" ht="15" x14ac:dyDescent="0.25">
      <c r="A1616" s="5"/>
      <c r="B1616" s="5"/>
      <c r="C1616" s="5"/>
      <c r="D1616" s="5"/>
      <c r="E1616" s="5"/>
      <c r="F1616" s="5"/>
    </row>
    <row r="1617" spans="1:6" ht="15" x14ac:dyDescent="0.25">
      <c r="A1617" s="5"/>
      <c r="B1617" s="5"/>
      <c r="C1617" s="5"/>
      <c r="D1617" s="5"/>
      <c r="E1617" s="5"/>
      <c r="F1617" s="5"/>
    </row>
    <row r="1618" spans="1:6" ht="15" x14ac:dyDescent="0.25">
      <c r="A1618" s="5"/>
      <c r="B1618" s="5"/>
      <c r="C1618" s="5"/>
      <c r="D1618" s="5"/>
      <c r="E1618" s="5"/>
      <c r="F1618" s="5"/>
    </row>
    <row r="1619" spans="1:6" ht="15" x14ac:dyDescent="0.25">
      <c r="A1619" s="5"/>
      <c r="B1619" s="5"/>
      <c r="C1619" s="5"/>
      <c r="D1619" s="5"/>
      <c r="E1619" s="5"/>
      <c r="F1619" s="5"/>
    </row>
    <row r="1620" spans="1:6" ht="15" x14ac:dyDescent="0.25">
      <c r="A1620" s="5"/>
      <c r="B1620" s="5"/>
      <c r="C1620" s="5"/>
      <c r="D1620" s="5"/>
      <c r="E1620" s="5"/>
      <c r="F1620" s="5"/>
    </row>
    <row r="1621" spans="1:6" ht="15" x14ac:dyDescent="0.25">
      <c r="A1621" s="5"/>
      <c r="B1621" s="5"/>
      <c r="C1621" s="5"/>
      <c r="D1621" s="5"/>
      <c r="E1621" s="5"/>
      <c r="F1621" s="5"/>
    </row>
    <row r="1622" spans="1:6" ht="15" x14ac:dyDescent="0.25">
      <c r="A1622" s="5"/>
      <c r="B1622" s="5"/>
      <c r="C1622" s="5"/>
      <c r="D1622" s="5"/>
      <c r="E1622" s="5"/>
      <c r="F1622" s="5"/>
    </row>
    <row r="1623" spans="1:6" ht="15" x14ac:dyDescent="0.25">
      <c r="A1623" s="5"/>
      <c r="B1623" s="5"/>
      <c r="C1623" s="5"/>
      <c r="D1623" s="5"/>
      <c r="E1623" s="5"/>
      <c r="F1623" s="5"/>
    </row>
    <row r="1624" spans="1:6" ht="15" x14ac:dyDescent="0.25">
      <c r="A1624" s="5"/>
      <c r="B1624" s="5"/>
      <c r="C1624" s="5"/>
      <c r="D1624" s="5"/>
      <c r="E1624" s="5"/>
      <c r="F1624" s="5"/>
    </row>
    <row r="1625" spans="1:6" ht="15" x14ac:dyDescent="0.25">
      <c r="A1625" s="5"/>
      <c r="B1625" s="5"/>
      <c r="C1625" s="5"/>
      <c r="D1625" s="5"/>
      <c r="E1625" s="5"/>
      <c r="F1625" s="5"/>
    </row>
    <row r="1626" spans="1:6" ht="15" x14ac:dyDescent="0.25">
      <c r="A1626" s="5"/>
      <c r="B1626" s="5"/>
      <c r="C1626" s="5"/>
      <c r="D1626" s="5"/>
      <c r="E1626" s="5"/>
      <c r="F1626" s="5"/>
    </row>
    <row r="1627" spans="1:6" ht="15" x14ac:dyDescent="0.25">
      <c r="A1627" s="5"/>
      <c r="B1627" s="5"/>
      <c r="C1627" s="5"/>
      <c r="D1627" s="5"/>
      <c r="E1627" s="5"/>
      <c r="F1627" s="5"/>
    </row>
    <row r="1628" spans="1:6" ht="15" x14ac:dyDescent="0.25">
      <c r="A1628" s="5"/>
      <c r="B1628" s="5"/>
      <c r="C1628" s="5"/>
      <c r="D1628" s="5"/>
      <c r="E1628" s="5"/>
      <c r="F1628" s="5"/>
    </row>
    <row r="1629" spans="1:6" ht="15" x14ac:dyDescent="0.25">
      <c r="A1629" s="5"/>
      <c r="B1629" s="5"/>
      <c r="C1629" s="5"/>
      <c r="D1629" s="5"/>
      <c r="E1629" s="5"/>
      <c r="F1629" s="5"/>
    </row>
    <row r="1630" spans="1:6" ht="15" x14ac:dyDescent="0.25">
      <c r="A1630" s="5"/>
      <c r="B1630" s="5"/>
      <c r="C1630" s="5"/>
      <c r="D1630" s="5"/>
      <c r="E1630" s="5"/>
      <c r="F1630" s="5"/>
    </row>
    <row r="1631" spans="1:6" ht="15" x14ac:dyDescent="0.25">
      <c r="A1631" s="5"/>
      <c r="B1631" s="5"/>
      <c r="C1631" s="5"/>
      <c r="D1631" s="5"/>
      <c r="E1631" s="5"/>
      <c r="F1631" s="5"/>
    </row>
    <row r="1632" spans="1:6" ht="15" x14ac:dyDescent="0.25">
      <c r="A1632" s="5"/>
      <c r="B1632" s="5"/>
      <c r="C1632" s="5"/>
      <c r="D1632" s="5"/>
      <c r="E1632" s="5"/>
      <c r="F1632" s="5"/>
    </row>
    <row r="1633" spans="1:6" ht="15" x14ac:dyDescent="0.25">
      <c r="A1633" s="5"/>
      <c r="B1633" s="5"/>
      <c r="C1633" s="5"/>
      <c r="D1633" s="5"/>
      <c r="E1633" s="5"/>
      <c r="F1633" s="5"/>
    </row>
    <row r="1634" spans="1:6" ht="15" x14ac:dyDescent="0.25">
      <c r="A1634" s="5"/>
      <c r="B1634" s="5"/>
      <c r="C1634" s="5"/>
      <c r="D1634" s="5"/>
      <c r="E1634" s="5"/>
      <c r="F1634" s="5"/>
    </row>
    <row r="1635" spans="1:6" ht="15" x14ac:dyDescent="0.25">
      <c r="A1635" s="5"/>
      <c r="B1635" s="5"/>
      <c r="C1635" s="5"/>
      <c r="D1635" s="5"/>
      <c r="E1635" s="5"/>
      <c r="F1635" s="5"/>
    </row>
    <row r="1636" spans="1:6" ht="15" x14ac:dyDescent="0.25">
      <c r="A1636" s="5"/>
      <c r="B1636" s="5"/>
      <c r="C1636" s="5"/>
      <c r="D1636" s="5"/>
      <c r="E1636" s="5"/>
      <c r="F1636" s="5"/>
    </row>
    <row r="1637" spans="1:6" ht="15" x14ac:dyDescent="0.25">
      <c r="A1637" s="5"/>
      <c r="B1637" s="5"/>
      <c r="C1637" s="5"/>
      <c r="D1637" s="5"/>
      <c r="E1637" s="5"/>
      <c r="F1637" s="5"/>
    </row>
    <row r="1638" spans="1:6" ht="15" x14ac:dyDescent="0.25">
      <c r="A1638" s="5"/>
      <c r="B1638" s="5"/>
      <c r="C1638" s="5"/>
      <c r="D1638" s="5"/>
      <c r="E1638" s="5"/>
      <c r="F1638" s="5"/>
    </row>
    <row r="1639" spans="1:6" ht="15" x14ac:dyDescent="0.25">
      <c r="A1639" s="5"/>
      <c r="B1639" s="5"/>
      <c r="C1639" s="5"/>
      <c r="D1639" s="5"/>
      <c r="E1639" s="5"/>
      <c r="F1639" s="5"/>
    </row>
    <row r="1640" spans="1:6" ht="15" x14ac:dyDescent="0.25">
      <c r="A1640" s="5"/>
      <c r="B1640" s="5"/>
      <c r="C1640" s="5"/>
      <c r="D1640" s="5"/>
      <c r="E1640" s="5"/>
      <c r="F1640" s="5"/>
    </row>
    <row r="1641" spans="1:6" ht="15" x14ac:dyDescent="0.25">
      <c r="A1641" s="5"/>
      <c r="B1641" s="5"/>
      <c r="C1641" s="5"/>
      <c r="D1641" s="5"/>
      <c r="E1641" s="5"/>
      <c r="F1641" s="5"/>
    </row>
    <row r="1642" spans="1:6" ht="15" x14ac:dyDescent="0.25">
      <c r="A1642" s="5"/>
      <c r="B1642" s="5"/>
      <c r="C1642" s="5"/>
      <c r="D1642" s="5"/>
      <c r="E1642" s="5"/>
      <c r="F1642" s="5"/>
    </row>
    <row r="1643" spans="1:6" ht="15" x14ac:dyDescent="0.25">
      <c r="A1643" s="5"/>
      <c r="B1643" s="5"/>
      <c r="C1643" s="5"/>
      <c r="D1643" s="5"/>
      <c r="E1643" s="5"/>
      <c r="F1643" s="5"/>
    </row>
    <row r="1644" spans="1:6" ht="15" x14ac:dyDescent="0.25">
      <c r="A1644" s="5"/>
      <c r="B1644" s="5"/>
      <c r="C1644" s="5"/>
      <c r="D1644" s="5"/>
      <c r="E1644" s="5"/>
      <c r="F1644" s="5"/>
    </row>
    <row r="1645" spans="1:6" ht="15" x14ac:dyDescent="0.25">
      <c r="A1645" s="5"/>
      <c r="B1645" s="5"/>
      <c r="C1645" s="5"/>
      <c r="D1645" s="5"/>
      <c r="E1645" s="5"/>
      <c r="F1645" s="5"/>
    </row>
    <row r="1646" spans="1:6" ht="15" x14ac:dyDescent="0.25">
      <c r="A1646" s="5"/>
      <c r="B1646" s="5"/>
      <c r="C1646" s="5"/>
      <c r="D1646" s="5"/>
      <c r="E1646" s="5"/>
      <c r="F1646" s="5"/>
    </row>
    <row r="1647" spans="1:6" ht="15" x14ac:dyDescent="0.25">
      <c r="A1647" s="5"/>
      <c r="B1647" s="5"/>
      <c r="C1647" s="5"/>
      <c r="D1647" s="5"/>
      <c r="E1647" s="5"/>
      <c r="F1647" s="5"/>
    </row>
    <row r="1648" spans="1:6" ht="15" x14ac:dyDescent="0.25">
      <c r="A1648" s="5"/>
      <c r="B1648" s="5"/>
      <c r="C1648" s="5"/>
      <c r="D1648" s="5"/>
      <c r="E1648" s="5"/>
      <c r="F1648" s="5"/>
    </row>
    <row r="1649" spans="1:6" ht="15" x14ac:dyDescent="0.25">
      <c r="A1649" s="5"/>
      <c r="B1649" s="5"/>
      <c r="C1649" s="5"/>
      <c r="D1649" s="5"/>
      <c r="E1649" s="5"/>
      <c r="F1649" s="5"/>
    </row>
    <row r="1650" spans="1:6" ht="15" x14ac:dyDescent="0.25">
      <c r="A1650" s="5"/>
      <c r="B1650" s="5"/>
      <c r="C1650" s="5"/>
      <c r="D1650" s="5"/>
      <c r="E1650" s="5"/>
      <c r="F1650" s="5"/>
    </row>
    <row r="1651" spans="1:6" ht="15" x14ac:dyDescent="0.25">
      <c r="A1651" s="5"/>
      <c r="B1651" s="5"/>
      <c r="C1651" s="5"/>
      <c r="D1651" s="5"/>
      <c r="E1651" s="5"/>
      <c r="F1651" s="5"/>
    </row>
    <row r="1652" spans="1:6" ht="15" x14ac:dyDescent="0.25">
      <c r="A1652" s="5"/>
      <c r="B1652" s="5"/>
      <c r="C1652" s="5"/>
      <c r="D1652" s="5"/>
      <c r="E1652" s="5"/>
      <c r="F1652" s="5"/>
    </row>
    <row r="1653" spans="1:6" ht="15" x14ac:dyDescent="0.25">
      <c r="A1653" s="5"/>
      <c r="B1653" s="5"/>
      <c r="C1653" s="5"/>
      <c r="D1653" s="5"/>
      <c r="E1653" s="5"/>
      <c r="F1653" s="5"/>
    </row>
    <row r="1654" spans="1:6" ht="15" x14ac:dyDescent="0.25">
      <c r="A1654" s="5"/>
      <c r="B1654" s="5"/>
      <c r="C1654" s="5"/>
      <c r="D1654" s="5"/>
      <c r="E1654" s="5"/>
      <c r="F1654" s="5"/>
    </row>
    <row r="1655" spans="1:6" ht="15" x14ac:dyDescent="0.25">
      <c r="A1655" s="5"/>
      <c r="B1655" s="5"/>
      <c r="C1655" s="5"/>
      <c r="D1655" s="5"/>
      <c r="E1655" s="5"/>
      <c r="F1655" s="5"/>
    </row>
    <row r="1656" spans="1:6" ht="15" x14ac:dyDescent="0.25">
      <c r="A1656" s="5"/>
      <c r="B1656" s="5"/>
      <c r="C1656" s="5"/>
      <c r="D1656" s="5"/>
      <c r="E1656" s="5"/>
      <c r="F1656" s="5"/>
    </row>
    <row r="1657" spans="1:6" ht="15" x14ac:dyDescent="0.25">
      <c r="A1657" s="5"/>
      <c r="B1657" s="5"/>
      <c r="C1657" s="5"/>
      <c r="D1657" s="5"/>
      <c r="E1657" s="5"/>
      <c r="F1657" s="5"/>
    </row>
    <row r="1658" spans="1:6" ht="15" x14ac:dyDescent="0.25">
      <c r="A1658" s="5"/>
      <c r="B1658" s="5"/>
      <c r="C1658" s="5"/>
      <c r="D1658" s="5"/>
      <c r="E1658" s="5"/>
      <c r="F1658" s="5"/>
    </row>
    <row r="1659" spans="1:6" ht="15" x14ac:dyDescent="0.25">
      <c r="A1659" s="5"/>
      <c r="B1659" s="5"/>
      <c r="C1659" s="5"/>
      <c r="D1659" s="5"/>
      <c r="E1659" s="5"/>
      <c r="F1659" s="5"/>
    </row>
    <row r="1660" spans="1:6" ht="15" x14ac:dyDescent="0.25">
      <c r="A1660" s="5"/>
      <c r="B1660" s="5"/>
      <c r="C1660" s="5"/>
      <c r="D1660" s="5"/>
      <c r="E1660" s="5"/>
      <c r="F1660" s="5"/>
    </row>
    <row r="1661" spans="1:6" ht="15" x14ac:dyDescent="0.25">
      <c r="A1661" s="5"/>
      <c r="B1661" s="5"/>
      <c r="C1661" s="5"/>
      <c r="D1661" s="5"/>
      <c r="E1661" s="5"/>
      <c r="F1661" s="5"/>
    </row>
    <row r="1662" spans="1:6" ht="15" x14ac:dyDescent="0.25">
      <c r="A1662" s="5"/>
      <c r="B1662" s="5"/>
      <c r="C1662" s="5"/>
      <c r="D1662" s="5"/>
      <c r="E1662" s="5"/>
      <c r="F1662" s="5"/>
    </row>
    <row r="1663" spans="1:6" ht="15" x14ac:dyDescent="0.25">
      <c r="A1663" s="5"/>
      <c r="B1663" s="5"/>
      <c r="C1663" s="5"/>
      <c r="D1663" s="5"/>
      <c r="E1663" s="5"/>
      <c r="F1663" s="5"/>
    </row>
    <row r="1664" spans="1:6" ht="15" x14ac:dyDescent="0.25">
      <c r="A1664" s="5"/>
      <c r="B1664" s="5"/>
      <c r="C1664" s="5"/>
      <c r="D1664" s="5"/>
      <c r="E1664" s="5"/>
      <c r="F1664" s="5"/>
    </row>
    <row r="1665" spans="1:6" ht="15" x14ac:dyDescent="0.25">
      <c r="A1665" s="5"/>
      <c r="B1665" s="5"/>
      <c r="C1665" s="5"/>
      <c r="D1665" s="5"/>
      <c r="E1665" s="5"/>
      <c r="F1665" s="5"/>
    </row>
    <row r="1666" spans="1:6" ht="15" x14ac:dyDescent="0.25">
      <c r="A1666" s="5"/>
      <c r="B1666" s="5"/>
      <c r="C1666" s="5"/>
      <c r="D1666" s="5"/>
      <c r="E1666" s="5"/>
      <c r="F1666" s="5"/>
    </row>
    <row r="1667" spans="1:6" ht="15" x14ac:dyDescent="0.25">
      <c r="A1667" s="5"/>
      <c r="B1667" s="5"/>
      <c r="C1667" s="5"/>
      <c r="D1667" s="5"/>
      <c r="E1667" s="5"/>
      <c r="F1667" s="5"/>
    </row>
    <row r="1668" spans="1:6" ht="15" x14ac:dyDescent="0.25">
      <c r="A1668" s="5"/>
      <c r="B1668" s="5"/>
      <c r="C1668" s="5"/>
      <c r="D1668" s="5"/>
      <c r="E1668" s="5"/>
      <c r="F1668" s="5"/>
    </row>
    <row r="1669" spans="1:6" ht="15" x14ac:dyDescent="0.25">
      <c r="A1669" s="5"/>
      <c r="B1669" s="5"/>
      <c r="C1669" s="5"/>
      <c r="D1669" s="5"/>
      <c r="E1669" s="5"/>
      <c r="F1669" s="5"/>
    </row>
    <row r="1670" spans="1:6" ht="15" x14ac:dyDescent="0.25">
      <c r="A1670" s="5"/>
      <c r="B1670" s="5"/>
      <c r="C1670" s="5"/>
      <c r="D1670" s="5"/>
      <c r="E1670" s="5"/>
      <c r="F1670" s="5"/>
    </row>
    <row r="1671" spans="1:6" ht="15" x14ac:dyDescent="0.25">
      <c r="A1671" s="5"/>
      <c r="B1671" s="5"/>
      <c r="C1671" s="5"/>
      <c r="D1671" s="5"/>
      <c r="E1671" s="5"/>
      <c r="F1671" s="5"/>
    </row>
    <row r="1672" spans="1:6" ht="15" x14ac:dyDescent="0.25">
      <c r="A1672" s="5"/>
      <c r="B1672" s="5"/>
      <c r="C1672" s="5"/>
      <c r="D1672" s="5"/>
      <c r="E1672" s="5"/>
      <c r="F1672" s="5"/>
    </row>
    <row r="1673" spans="1:6" ht="15" x14ac:dyDescent="0.25">
      <c r="A1673" s="5"/>
      <c r="B1673" s="5"/>
      <c r="C1673" s="5"/>
      <c r="D1673" s="5"/>
      <c r="E1673" s="5"/>
      <c r="F1673" s="5"/>
    </row>
    <row r="1674" spans="1:6" ht="15" x14ac:dyDescent="0.25">
      <c r="A1674" s="5"/>
      <c r="B1674" s="5"/>
      <c r="C1674" s="5"/>
      <c r="D1674" s="5"/>
      <c r="E1674" s="5"/>
      <c r="F1674" s="5"/>
    </row>
    <row r="1675" spans="1:6" ht="15" x14ac:dyDescent="0.25">
      <c r="A1675" s="5"/>
      <c r="B1675" s="5"/>
      <c r="C1675" s="5"/>
      <c r="D1675" s="5"/>
      <c r="E1675" s="5"/>
      <c r="F1675" s="5"/>
    </row>
    <row r="1676" spans="1:6" ht="15" x14ac:dyDescent="0.25">
      <c r="A1676" s="5"/>
      <c r="B1676" s="5"/>
      <c r="C1676" s="5"/>
      <c r="D1676" s="5"/>
      <c r="E1676" s="5"/>
      <c r="F1676" s="5"/>
    </row>
    <row r="1677" spans="1:6" ht="15" x14ac:dyDescent="0.25">
      <c r="A1677" s="5"/>
      <c r="B1677" s="5"/>
      <c r="C1677" s="5"/>
      <c r="D1677" s="5"/>
      <c r="E1677" s="5"/>
      <c r="F1677" s="5"/>
    </row>
    <row r="1678" spans="1:6" ht="15" x14ac:dyDescent="0.25">
      <c r="A1678" s="5"/>
      <c r="B1678" s="5"/>
      <c r="C1678" s="5"/>
      <c r="D1678" s="5"/>
      <c r="E1678" s="5"/>
      <c r="F1678" s="5"/>
    </row>
    <row r="1679" spans="1:6" ht="15" x14ac:dyDescent="0.25">
      <c r="A1679" s="5"/>
      <c r="B1679" s="5"/>
      <c r="C1679" s="5"/>
      <c r="D1679" s="5"/>
      <c r="E1679" s="5"/>
      <c r="F1679" s="5"/>
    </row>
    <row r="1680" spans="1:6" ht="15" x14ac:dyDescent="0.25">
      <c r="A1680" s="5"/>
      <c r="B1680" s="5"/>
      <c r="C1680" s="5"/>
      <c r="D1680" s="5"/>
      <c r="E1680" s="5"/>
      <c r="F1680" s="5"/>
    </row>
    <row r="1681" spans="1:6" ht="15" x14ac:dyDescent="0.25">
      <c r="A1681" s="5"/>
      <c r="B1681" s="5"/>
      <c r="C1681" s="5"/>
      <c r="D1681" s="5"/>
      <c r="E1681" s="5"/>
      <c r="F1681" s="5"/>
    </row>
    <row r="1682" spans="1:6" ht="15" x14ac:dyDescent="0.25">
      <c r="A1682" s="5"/>
      <c r="B1682" s="5"/>
      <c r="C1682" s="5"/>
      <c r="D1682" s="5"/>
      <c r="E1682" s="5"/>
      <c r="F1682" s="5"/>
    </row>
    <row r="1683" spans="1:6" ht="15" x14ac:dyDescent="0.25">
      <c r="A1683" s="5"/>
      <c r="B1683" s="5"/>
      <c r="C1683" s="5"/>
      <c r="D1683" s="5"/>
      <c r="E1683" s="5"/>
      <c r="F1683" s="5"/>
    </row>
    <row r="1684" spans="1:6" ht="15" x14ac:dyDescent="0.25">
      <c r="A1684" s="5"/>
      <c r="B1684" s="5"/>
      <c r="C1684" s="5"/>
      <c r="D1684" s="5"/>
      <c r="E1684" s="5"/>
      <c r="F1684" s="5"/>
    </row>
    <row r="1685" spans="1:6" ht="15" x14ac:dyDescent="0.25">
      <c r="A1685" s="5"/>
      <c r="B1685" s="5"/>
      <c r="C1685" s="5"/>
      <c r="D1685" s="5"/>
      <c r="E1685" s="5"/>
      <c r="F1685" s="5"/>
    </row>
    <row r="1686" spans="1:6" ht="15" x14ac:dyDescent="0.25">
      <c r="A1686" s="5"/>
      <c r="B1686" s="5"/>
      <c r="C1686" s="5"/>
      <c r="D1686" s="5"/>
      <c r="E1686" s="5"/>
      <c r="F1686" s="5"/>
    </row>
    <row r="1687" spans="1:6" ht="15" x14ac:dyDescent="0.25">
      <c r="A1687" s="5"/>
      <c r="B1687" s="5"/>
      <c r="C1687" s="5"/>
      <c r="D1687" s="5"/>
      <c r="E1687" s="5"/>
      <c r="F1687" s="5"/>
    </row>
    <row r="1688" spans="1:6" ht="15" x14ac:dyDescent="0.25">
      <c r="A1688" s="5"/>
      <c r="B1688" s="5"/>
      <c r="C1688" s="5"/>
      <c r="D1688" s="5"/>
      <c r="E1688" s="5"/>
      <c r="F1688" s="5"/>
    </row>
    <row r="1689" spans="1:6" ht="15" x14ac:dyDescent="0.25">
      <c r="A1689" s="5"/>
      <c r="B1689" s="5"/>
      <c r="C1689" s="5"/>
      <c r="D1689" s="5"/>
      <c r="E1689" s="5"/>
      <c r="F1689" s="5"/>
    </row>
    <row r="1690" spans="1:6" ht="15" x14ac:dyDescent="0.25">
      <c r="A1690" s="5"/>
      <c r="B1690" s="5"/>
      <c r="C1690" s="5"/>
      <c r="D1690" s="5"/>
      <c r="E1690" s="5"/>
      <c r="F1690" s="5"/>
    </row>
    <row r="1691" spans="1:6" ht="15" x14ac:dyDescent="0.25">
      <c r="A1691" s="5"/>
      <c r="B1691" s="5"/>
      <c r="C1691" s="5"/>
      <c r="D1691" s="5"/>
      <c r="E1691" s="5"/>
      <c r="F1691" s="5"/>
    </row>
    <row r="1692" spans="1:6" ht="15" x14ac:dyDescent="0.25">
      <c r="A1692" s="5"/>
      <c r="B1692" s="5"/>
      <c r="C1692" s="5"/>
      <c r="D1692" s="5"/>
      <c r="E1692" s="5"/>
      <c r="F1692" s="5"/>
    </row>
    <row r="1693" spans="1:6" ht="15" x14ac:dyDescent="0.25">
      <c r="A1693" s="5"/>
      <c r="B1693" s="5"/>
      <c r="C1693" s="5"/>
      <c r="D1693" s="5"/>
      <c r="E1693" s="5"/>
      <c r="F1693" s="5"/>
    </row>
    <row r="1694" spans="1:6" ht="15" x14ac:dyDescent="0.25">
      <c r="A1694" s="5"/>
      <c r="B1694" s="5"/>
      <c r="C1694" s="5"/>
      <c r="D1694" s="5"/>
      <c r="E1694" s="5"/>
      <c r="F1694" s="5"/>
    </row>
    <row r="1695" spans="1:6" ht="15" x14ac:dyDescent="0.25">
      <c r="A1695" s="5"/>
      <c r="B1695" s="5"/>
      <c r="C1695" s="5"/>
      <c r="D1695" s="5"/>
      <c r="E1695" s="5"/>
      <c r="F1695" s="5"/>
    </row>
    <row r="1696" spans="1:6" ht="15" x14ac:dyDescent="0.25">
      <c r="A1696" s="5"/>
      <c r="B1696" s="5"/>
      <c r="C1696" s="5"/>
      <c r="D1696" s="5"/>
      <c r="E1696" s="5"/>
      <c r="F1696" s="5"/>
    </row>
    <row r="1697" spans="1:6" ht="15" x14ac:dyDescent="0.25">
      <c r="A1697" s="5"/>
      <c r="B1697" s="5"/>
      <c r="C1697" s="5"/>
      <c r="D1697" s="5"/>
      <c r="E1697" s="5"/>
      <c r="F1697" s="5"/>
    </row>
    <row r="1698" spans="1:6" ht="15" x14ac:dyDescent="0.25">
      <c r="A1698" s="5"/>
      <c r="B1698" s="5"/>
      <c r="C1698" s="5"/>
      <c r="D1698" s="5"/>
      <c r="E1698" s="5"/>
      <c r="F1698" s="5"/>
    </row>
    <row r="1699" spans="1:6" ht="15" x14ac:dyDescent="0.25">
      <c r="A1699" s="5"/>
      <c r="B1699" s="5"/>
      <c r="C1699" s="5"/>
      <c r="D1699" s="5"/>
      <c r="E1699" s="5"/>
      <c r="F1699" s="5"/>
    </row>
    <row r="1700" spans="1:6" ht="15" x14ac:dyDescent="0.25">
      <c r="A1700" s="5"/>
      <c r="B1700" s="5"/>
      <c r="C1700" s="5"/>
      <c r="D1700" s="5"/>
      <c r="E1700" s="5"/>
      <c r="F1700" s="5"/>
    </row>
    <row r="1701" spans="1:6" ht="15" x14ac:dyDescent="0.25">
      <c r="A1701" s="5"/>
      <c r="B1701" s="5"/>
      <c r="C1701" s="5"/>
      <c r="D1701" s="5"/>
      <c r="E1701" s="5"/>
      <c r="F1701" s="5"/>
    </row>
    <row r="1702" spans="1:6" ht="15" x14ac:dyDescent="0.25">
      <c r="A1702" s="5"/>
      <c r="B1702" s="5"/>
      <c r="C1702" s="5"/>
      <c r="D1702" s="5"/>
      <c r="E1702" s="5"/>
      <c r="F1702" s="5"/>
    </row>
    <row r="1703" spans="1:6" ht="15" x14ac:dyDescent="0.25">
      <c r="A1703" s="5"/>
      <c r="B1703" s="5"/>
      <c r="C1703" s="5"/>
      <c r="D1703" s="5"/>
      <c r="E1703" s="5"/>
      <c r="F1703" s="5"/>
    </row>
    <row r="1704" spans="1:6" ht="15" x14ac:dyDescent="0.25">
      <c r="A1704" s="5"/>
      <c r="B1704" s="5"/>
      <c r="C1704" s="5"/>
      <c r="D1704" s="5"/>
      <c r="E1704" s="5"/>
      <c r="F1704" s="5"/>
    </row>
    <row r="1705" spans="1:6" ht="15" x14ac:dyDescent="0.25">
      <c r="A1705" s="5"/>
      <c r="B1705" s="5"/>
      <c r="C1705" s="5"/>
      <c r="D1705" s="5"/>
      <c r="E1705" s="5"/>
      <c r="F1705" s="5"/>
    </row>
    <row r="1706" spans="1:6" ht="15" x14ac:dyDescent="0.25">
      <c r="A1706" s="5"/>
      <c r="B1706" s="5"/>
      <c r="C1706" s="5"/>
      <c r="D1706" s="5"/>
      <c r="E1706" s="5"/>
      <c r="F1706" s="5"/>
    </row>
    <row r="1707" spans="1:6" ht="15" x14ac:dyDescent="0.25">
      <c r="A1707" s="5"/>
      <c r="B1707" s="5"/>
      <c r="C1707" s="5"/>
      <c r="D1707" s="5"/>
      <c r="E1707" s="5"/>
      <c r="F1707" s="5"/>
    </row>
    <row r="1708" spans="1:6" ht="15" x14ac:dyDescent="0.25">
      <c r="A1708" s="5"/>
      <c r="B1708" s="5"/>
      <c r="C1708" s="5"/>
      <c r="D1708" s="5"/>
      <c r="E1708" s="5"/>
      <c r="F1708" s="5"/>
    </row>
    <row r="1709" spans="1:6" ht="15" x14ac:dyDescent="0.25">
      <c r="A1709" s="5"/>
      <c r="B1709" s="5"/>
      <c r="C1709" s="5"/>
      <c r="D1709" s="5"/>
      <c r="E1709" s="5"/>
      <c r="F1709" s="5"/>
    </row>
    <row r="1710" spans="1:6" ht="15" x14ac:dyDescent="0.25">
      <c r="A1710" s="5"/>
      <c r="B1710" s="5"/>
      <c r="C1710" s="5"/>
      <c r="D1710" s="5"/>
      <c r="E1710" s="5"/>
      <c r="F1710" s="5"/>
    </row>
    <row r="1711" spans="1:6" ht="15" x14ac:dyDescent="0.25">
      <c r="A1711" s="5"/>
      <c r="B1711" s="5"/>
      <c r="C1711" s="5"/>
      <c r="D1711" s="5"/>
      <c r="E1711" s="5"/>
      <c r="F1711" s="5"/>
    </row>
    <row r="1712" spans="1:6" ht="15" x14ac:dyDescent="0.25">
      <c r="A1712" s="5"/>
      <c r="B1712" s="5"/>
      <c r="C1712" s="5"/>
      <c r="D1712" s="5"/>
      <c r="E1712" s="5"/>
      <c r="F1712" s="5"/>
    </row>
    <row r="1713" spans="1:6" ht="15" x14ac:dyDescent="0.25">
      <c r="A1713" s="5"/>
      <c r="B1713" s="5"/>
      <c r="C1713" s="5"/>
      <c r="D1713" s="5"/>
      <c r="E1713" s="5"/>
      <c r="F1713" s="5"/>
    </row>
    <row r="1714" spans="1:6" ht="15" x14ac:dyDescent="0.25">
      <c r="A1714" s="5"/>
      <c r="B1714" s="5"/>
      <c r="C1714" s="5"/>
      <c r="D1714" s="5"/>
      <c r="E1714" s="5"/>
      <c r="F1714" s="5"/>
    </row>
    <row r="1715" spans="1:6" ht="15" x14ac:dyDescent="0.25">
      <c r="A1715" s="5"/>
      <c r="B1715" s="5"/>
      <c r="C1715" s="5"/>
      <c r="D1715" s="5"/>
      <c r="E1715" s="5"/>
      <c r="F1715" s="5"/>
    </row>
    <row r="1716" spans="1:6" ht="15" x14ac:dyDescent="0.25">
      <c r="A1716" s="5"/>
      <c r="B1716" s="5"/>
      <c r="C1716" s="5"/>
      <c r="D1716" s="5"/>
      <c r="E1716" s="5"/>
      <c r="F1716" s="5"/>
    </row>
    <row r="1717" spans="1:6" ht="15" x14ac:dyDescent="0.25">
      <c r="A1717" s="5"/>
      <c r="B1717" s="5"/>
      <c r="C1717" s="5"/>
      <c r="D1717" s="5"/>
      <c r="E1717" s="5"/>
      <c r="F1717" s="5"/>
    </row>
    <row r="1718" spans="1:6" ht="15" x14ac:dyDescent="0.25">
      <c r="A1718" s="5"/>
      <c r="B1718" s="5"/>
      <c r="C1718" s="5"/>
      <c r="D1718" s="5"/>
      <c r="E1718" s="5"/>
      <c r="F1718" s="5"/>
    </row>
    <row r="1719" spans="1:6" ht="15" x14ac:dyDescent="0.25">
      <c r="A1719" s="5"/>
      <c r="B1719" s="5"/>
      <c r="C1719" s="5"/>
      <c r="D1719" s="5"/>
      <c r="E1719" s="5"/>
      <c r="F1719" s="5"/>
    </row>
    <row r="1720" spans="1:6" ht="15" x14ac:dyDescent="0.25">
      <c r="A1720" s="5"/>
      <c r="B1720" s="5"/>
      <c r="C1720" s="5"/>
      <c r="D1720" s="5"/>
      <c r="E1720" s="5"/>
      <c r="F1720" s="5"/>
    </row>
    <row r="1721" spans="1:6" ht="15" x14ac:dyDescent="0.25">
      <c r="A1721" s="5"/>
      <c r="B1721" s="5"/>
      <c r="C1721" s="5"/>
      <c r="D1721" s="5"/>
      <c r="E1721" s="5"/>
      <c r="F1721" s="5"/>
    </row>
    <row r="1722" spans="1:6" ht="15" x14ac:dyDescent="0.25">
      <c r="A1722" s="5"/>
      <c r="B1722" s="5"/>
      <c r="C1722" s="5"/>
      <c r="D1722" s="5"/>
      <c r="E1722" s="5"/>
      <c r="F1722" s="5"/>
    </row>
    <row r="1723" spans="1:6" ht="15" x14ac:dyDescent="0.25">
      <c r="A1723" s="5"/>
      <c r="B1723" s="5"/>
      <c r="C1723" s="5"/>
      <c r="D1723" s="5"/>
      <c r="E1723" s="5"/>
      <c r="F1723" s="5"/>
    </row>
    <row r="1724" spans="1:6" ht="15" x14ac:dyDescent="0.25">
      <c r="A1724" s="5"/>
      <c r="B1724" s="5"/>
      <c r="C1724" s="5"/>
      <c r="D1724" s="5"/>
      <c r="E1724" s="5"/>
      <c r="F1724" s="5"/>
    </row>
    <row r="1725" spans="1:6" ht="15" x14ac:dyDescent="0.25">
      <c r="A1725" s="5"/>
      <c r="B1725" s="5"/>
      <c r="C1725" s="5"/>
      <c r="D1725" s="5"/>
      <c r="E1725" s="5"/>
      <c r="F1725" s="5"/>
    </row>
    <row r="1726" spans="1:6" ht="15" x14ac:dyDescent="0.25">
      <c r="A1726" s="5"/>
      <c r="B1726" s="5"/>
      <c r="C1726" s="5"/>
      <c r="D1726" s="5"/>
      <c r="E1726" s="5"/>
      <c r="F1726" s="5"/>
    </row>
    <row r="1727" spans="1:6" ht="15" x14ac:dyDescent="0.25">
      <c r="A1727" s="5"/>
      <c r="B1727" s="5"/>
      <c r="C1727" s="5"/>
      <c r="D1727" s="5"/>
      <c r="E1727" s="5"/>
      <c r="F1727" s="5"/>
    </row>
    <row r="1728" spans="1:6" ht="15" x14ac:dyDescent="0.25">
      <c r="A1728" s="5"/>
      <c r="B1728" s="5"/>
      <c r="C1728" s="5"/>
      <c r="D1728" s="5"/>
      <c r="E1728" s="5"/>
      <c r="F1728" s="5"/>
    </row>
    <row r="1729" spans="1:6" ht="15" x14ac:dyDescent="0.25">
      <c r="A1729" s="5"/>
      <c r="B1729" s="5"/>
      <c r="C1729" s="5"/>
      <c r="D1729" s="5"/>
      <c r="E1729" s="5"/>
      <c r="F1729" s="5"/>
    </row>
    <row r="1730" spans="1:6" ht="15" x14ac:dyDescent="0.25">
      <c r="A1730" s="5"/>
      <c r="B1730" s="5"/>
      <c r="C1730" s="5"/>
      <c r="D1730" s="5"/>
      <c r="E1730" s="5"/>
      <c r="F1730" s="5"/>
    </row>
    <row r="1731" spans="1:6" ht="15" x14ac:dyDescent="0.25">
      <c r="A1731" s="5"/>
      <c r="B1731" s="5"/>
      <c r="C1731" s="5"/>
      <c r="D1731" s="5"/>
      <c r="E1731" s="5"/>
      <c r="F1731" s="5"/>
    </row>
    <row r="1732" spans="1:6" ht="15" x14ac:dyDescent="0.25">
      <c r="A1732" s="5"/>
      <c r="B1732" s="5"/>
      <c r="C1732" s="5"/>
      <c r="D1732" s="5"/>
      <c r="E1732" s="5"/>
      <c r="F1732" s="5"/>
    </row>
    <row r="1733" spans="1:6" ht="15" x14ac:dyDescent="0.25">
      <c r="A1733" s="5"/>
      <c r="B1733" s="5"/>
      <c r="C1733" s="5"/>
      <c r="D1733" s="5"/>
      <c r="E1733" s="5"/>
      <c r="F1733" s="5"/>
    </row>
    <row r="1734" spans="1:6" ht="15" x14ac:dyDescent="0.25">
      <c r="A1734" s="5"/>
      <c r="B1734" s="5"/>
      <c r="C1734" s="5"/>
      <c r="D1734" s="5"/>
      <c r="E1734" s="5"/>
      <c r="F1734" s="5"/>
    </row>
    <row r="1735" spans="1:6" ht="15" x14ac:dyDescent="0.25">
      <c r="A1735" s="5"/>
      <c r="B1735" s="5"/>
      <c r="C1735" s="5"/>
      <c r="D1735" s="5"/>
      <c r="E1735" s="5"/>
      <c r="F1735" s="5"/>
    </row>
    <row r="1736" spans="1:6" ht="15" x14ac:dyDescent="0.25">
      <c r="A1736" s="5"/>
      <c r="B1736" s="5"/>
      <c r="C1736" s="5"/>
      <c r="D1736" s="5"/>
      <c r="E1736" s="5"/>
      <c r="F1736" s="5"/>
    </row>
    <row r="1737" spans="1:6" ht="15" x14ac:dyDescent="0.25">
      <c r="A1737" s="5"/>
      <c r="B1737" s="5"/>
      <c r="C1737" s="5"/>
      <c r="D1737" s="5"/>
      <c r="E1737" s="5"/>
      <c r="F1737" s="5"/>
    </row>
    <row r="1738" spans="1:6" ht="15" x14ac:dyDescent="0.25">
      <c r="A1738" s="5"/>
      <c r="B1738" s="5"/>
      <c r="C1738" s="5"/>
      <c r="D1738" s="5"/>
      <c r="E1738" s="5"/>
      <c r="F1738" s="5"/>
    </row>
    <row r="1739" spans="1:6" ht="15" x14ac:dyDescent="0.25">
      <c r="A1739" s="5"/>
      <c r="B1739" s="5"/>
      <c r="C1739" s="5"/>
      <c r="D1739" s="5"/>
      <c r="E1739" s="5"/>
      <c r="F1739" s="5"/>
    </row>
    <row r="1740" spans="1:6" ht="15" x14ac:dyDescent="0.25">
      <c r="A1740" s="5"/>
      <c r="B1740" s="5"/>
      <c r="C1740" s="5"/>
      <c r="D1740" s="5"/>
      <c r="E1740" s="5"/>
      <c r="F1740" s="5"/>
    </row>
    <row r="1741" spans="1:6" ht="15" x14ac:dyDescent="0.25">
      <c r="A1741" s="5"/>
      <c r="B1741" s="5"/>
      <c r="C1741" s="5"/>
      <c r="D1741" s="5"/>
      <c r="E1741" s="5"/>
      <c r="F1741" s="5"/>
    </row>
    <row r="1742" spans="1:6" ht="15" x14ac:dyDescent="0.25">
      <c r="A1742" s="5"/>
      <c r="B1742" s="5"/>
      <c r="C1742" s="5"/>
      <c r="D1742" s="5"/>
      <c r="E1742" s="5"/>
      <c r="F1742" s="5"/>
    </row>
    <row r="1743" spans="1:6" ht="15" x14ac:dyDescent="0.25">
      <c r="A1743" s="5"/>
      <c r="B1743" s="5"/>
      <c r="C1743" s="5"/>
      <c r="D1743" s="5"/>
      <c r="E1743" s="5"/>
      <c r="F1743" s="5"/>
    </row>
    <row r="1744" spans="1:6" ht="15" x14ac:dyDescent="0.25">
      <c r="A1744" s="5"/>
      <c r="B1744" s="5"/>
      <c r="C1744" s="5"/>
      <c r="D1744" s="5"/>
      <c r="E1744" s="5"/>
      <c r="F1744" s="5"/>
    </row>
    <row r="1745" spans="1:6" ht="15" x14ac:dyDescent="0.25">
      <c r="A1745" s="5"/>
      <c r="B1745" s="5"/>
      <c r="C1745" s="5"/>
      <c r="D1745" s="5"/>
      <c r="E1745" s="5"/>
      <c r="F1745" s="5"/>
    </row>
    <row r="1746" spans="1:6" ht="15" x14ac:dyDescent="0.25">
      <c r="A1746" s="5"/>
      <c r="B1746" s="5"/>
      <c r="C1746" s="5"/>
      <c r="D1746" s="5"/>
      <c r="E1746" s="5"/>
      <c r="F1746" s="5"/>
    </row>
    <row r="1747" spans="1:6" ht="15" x14ac:dyDescent="0.25">
      <c r="A1747" s="5"/>
      <c r="B1747" s="5"/>
      <c r="C1747" s="5"/>
      <c r="D1747" s="5"/>
      <c r="E1747" s="5"/>
      <c r="F1747" s="5"/>
    </row>
    <row r="1748" spans="1:6" ht="15" x14ac:dyDescent="0.25">
      <c r="A1748" s="5"/>
      <c r="B1748" s="5"/>
      <c r="C1748" s="5"/>
      <c r="D1748" s="5"/>
      <c r="E1748" s="5"/>
      <c r="F1748" s="5"/>
    </row>
    <row r="1749" spans="1:6" ht="15" x14ac:dyDescent="0.25">
      <c r="A1749" s="5"/>
      <c r="B1749" s="5"/>
      <c r="C1749" s="5"/>
      <c r="D1749" s="5"/>
      <c r="E1749" s="5"/>
      <c r="F1749" s="5"/>
    </row>
    <row r="1750" spans="1:6" ht="15" x14ac:dyDescent="0.25">
      <c r="A1750" s="5"/>
      <c r="B1750" s="5"/>
      <c r="C1750" s="5"/>
      <c r="D1750" s="5"/>
      <c r="E1750" s="5"/>
      <c r="F1750" s="5"/>
    </row>
    <row r="1751" spans="1:6" ht="15" x14ac:dyDescent="0.25">
      <c r="A1751" s="5"/>
      <c r="B1751" s="5"/>
      <c r="C1751" s="5"/>
      <c r="D1751" s="5"/>
      <c r="E1751" s="5"/>
      <c r="F175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0" tint="-0.49995422223578601"/>
  </sheetPr>
  <dimension ref="A1:C89"/>
  <sheetViews>
    <sheetView workbookViewId="0">
      <selection activeCell="F80" sqref="F80"/>
    </sheetView>
  </sheetViews>
  <sheetFormatPr defaultColWidth="9.140625" defaultRowHeight="15" x14ac:dyDescent="0.25"/>
  <cols>
    <col min="1" max="1" width="28.42578125" style="10" customWidth="1"/>
    <col min="2" max="2" width="33.42578125" style="10" customWidth="1"/>
    <col min="3" max="3" width="28.5703125" style="10" bestFit="1" customWidth="1"/>
    <col min="4" max="16384" width="9.140625" style="10"/>
  </cols>
  <sheetData>
    <row r="1" spans="1:3" x14ac:dyDescent="0.25">
      <c r="A1" s="10" t="s">
        <v>144</v>
      </c>
      <c r="B1" s="10" t="s">
        <v>145</v>
      </c>
      <c r="C1" s="10" t="s">
        <v>146</v>
      </c>
    </row>
    <row r="2" spans="1:3" x14ac:dyDescent="0.25">
      <c r="A2" s="10" t="s">
        <v>27</v>
      </c>
      <c r="B2" s="10" t="s">
        <v>27</v>
      </c>
      <c r="C2" s="10" t="s">
        <v>62</v>
      </c>
    </row>
    <row r="3" spans="1:3" x14ac:dyDescent="0.25">
      <c r="A3" s="10" t="s">
        <v>17</v>
      </c>
      <c r="B3" s="10" t="s">
        <v>17</v>
      </c>
      <c r="C3" s="10" t="s">
        <v>61</v>
      </c>
    </row>
    <row r="4" spans="1:3" x14ac:dyDescent="0.25">
      <c r="A4" s="10" t="s">
        <v>16</v>
      </c>
      <c r="B4" s="10" t="s">
        <v>16</v>
      </c>
      <c r="C4" s="10" t="s">
        <v>332</v>
      </c>
    </row>
    <row r="5" spans="1:3" x14ac:dyDescent="0.25">
      <c r="A5" s="10" t="s">
        <v>21</v>
      </c>
      <c r="B5" s="10" t="s">
        <v>21</v>
      </c>
      <c r="C5" s="10" t="s">
        <v>306</v>
      </c>
    </row>
    <row r="6" spans="1:3" x14ac:dyDescent="0.25">
      <c r="A6" s="10" t="s">
        <v>231</v>
      </c>
      <c r="B6" s="10" t="s">
        <v>231</v>
      </c>
      <c r="C6" s="10" t="s">
        <v>307</v>
      </c>
    </row>
    <row r="7" spans="1:3" x14ac:dyDescent="0.25">
      <c r="A7" s="10" t="s">
        <v>46</v>
      </c>
      <c r="B7" s="10" t="s">
        <v>46</v>
      </c>
      <c r="C7" s="10" t="s">
        <v>60</v>
      </c>
    </row>
    <row r="8" spans="1:3" x14ac:dyDescent="0.25">
      <c r="A8" s="10" t="s">
        <v>7</v>
      </c>
      <c r="B8" s="10" t="s">
        <v>49</v>
      </c>
      <c r="C8" s="11" t="s">
        <v>30</v>
      </c>
    </row>
    <row r="9" spans="1:3" x14ac:dyDescent="0.25">
      <c r="A9" s="10" t="s">
        <v>9</v>
      </c>
      <c r="B9" s="10" t="s">
        <v>50</v>
      </c>
      <c r="C9" s="12" t="s">
        <v>29</v>
      </c>
    </row>
    <row r="10" spans="1:3" x14ac:dyDescent="0.25">
      <c r="A10" s="10" t="s">
        <v>35</v>
      </c>
      <c r="B10" s="10" t="s">
        <v>48</v>
      </c>
      <c r="C10" s="11" t="s">
        <v>31</v>
      </c>
    </row>
    <row r="11" spans="1:3" x14ac:dyDescent="0.25">
      <c r="A11" s="10" t="s">
        <v>333</v>
      </c>
      <c r="B11" s="10" t="s">
        <v>334</v>
      </c>
      <c r="C11" s="11" t="s">
        <v>335</v>
      </c>
    </row>
    <row r="12" spans="1:3" x14ac:dyDescent="0.25">
      <c r="A12" s="10" t="s">
        <v>271</v>
      </c>
      <c r="B12" s="10" t="s">
        <v>272</v>
      </c>
      <c r="C12" s="11" t="s">
        <v>107</v>
      </c>
    </row>
    <row r="13" spans="1:3" x14ac:dyDescent="0.25">
      <c r="A13" s="10" t="s">
        <v>11</v>
      </c>
      <c r="B13" s="10" t="s">
        <v>51</v>
      </c>
      <c r="C13" s="12" t="s">
        <v>32</v>
      </c>
    </row>
    <row r="14" spans="1:3" x14ac:dyDescent="0.25">
      <c r="A14" s="10" t="s">
        <v>8</v>
      </c>
      <c r="B14" s="10" t="s">
        <v>52</v>
      </c>
      <c r="C14" s="11" t="s">
        <v>33</v>
      </c>
    </row>
    <row r="15" spans="1:3" x14ac:dyDescent="0.25">
      <c r="A15" s="10" t="s">
        <v>36</v>
      </c>
      <c r="B15" s="10" t="s">
        <v>53</v>
      </c>
      <c r="C15" s="12" t="s">
        <v>34</v>
      </c>
    </row>
    <row r="16" spans="1:3" x14ac:dyDescent="0.25">
      <c r="A16" s="10" t="s">
        <v>12</v>
      </c>
      <c r="B16" s="10" t="s">
        <v>54</v>
      </c>
      <c r="C16" s="10" t="s">
        <v>63</v>
      </c>
    </row>
    <row r="17" spans="1:3" x14ac:dyDescent="0.25">
      <c r="A17" s="10" t="s">
        <v>15</v>
      </c>
      <c r="B17" s="10" t="s">
        <v>55</v>
      </c>
      <c r="C17" s="10" t="s">
        <v>64</v>
      </c>
    </row>
    <row r="18" spans="1:3" x14ac:dyDescent="0.25">
      <c r="A18" s="10" t="s">
        <v>13</v>
      </c>
      <c r="B18" s="10" t="s">
        <v>56</v>
      </c>
      <c r="C18" s="10" t="s">
        <v>65</v>
      </c>
    </row>
    <row r="19" spans="1:3" x14ac:dyDescent="0.25">
      <c r="A19" s="10" t="s">
        <v>18</v>
      </c>
      <c r="B19" s="10" t="s">
        <v>57</v>
      </c>
      <c r="C19" s="10" t="s">
        <v>66</v>
      </c>
    </row>
    <row r="20" spans="1:3" x14ac:dyDescent="0.25">
      <c r="A20" s="10" t="s">
        <v>68</v>
      </c>
      <c r="B20" s="10" t="s">
        <v>183</v>
      </c>
      <c r="C20" s="10" t="s">
        <v>67</v>
      </c>
    </row>
    <row r="21" spans="1:3" x14ac:dyDescent="0.25">
      <c r="A21" s="10" t="s">
        <v>10</v>
      </c>
      <c r="B21" s="10" t="s">
        <v>58</v>
      </c>
      <c r="C21" s="10" t="s">
        <v>105</v>
      </c>
    </row>
    <row r="22" spans="1:3" x14ac:dyDescent="0.25">
      <c r="A22" s="10" t="s">
        <v>26</v>
      </c>
      <c r="B22" s="10" t="s">
        <v>59</v>
      </c>
      <c r="C22" s="10" t="s">
        <v>106</v>
      </c>
    </row>
    <row r="23" spans="1:3" x14ac:dyDescent="0.25">
      <c r="A23" s="10" t="s">
        <v>301</v>
      </c>
      <c r="B23" s="10" t="s">
        <v>302</v>
      </c>
      <c r="C23" s="10" t="s">
        <v>351</v>
      </c>
    </row>
    <row r="24" spans="1:3" x14ac:dyDescent="0.25">
      <c r="A24" s="10" t="s">
        <v>108</v>
      </c>
      <c r="B24" s="10" t="s">
        <v>147</v>
      </c>
      <c r="C24" s="10" t="s">
        <v>69</v>
      </c>
    </row>
    <row r="25" spans="1:3" x14ac:dyDescent="0.25">
      <c r="A25" s="10" t="s">
        <v>109</v>
      </c>
      <c r="B25" s="10" t="s">
        <v>148</v>
      </c>
      <c r="C25" s="10" t="s">
        <v>70</v>
      </c>
    </row>
    <row r="26" spans="1:3" x14ac:dyDescent="0.25">
      <c r="A26" s="10" t="s">
        <v>110</v>
      </c>
      <c r="B26" s="10" t="s">
        <v>149</v>
      </c>
      <c r="C26" s="10" t="s">
        <v>71</v>
      </c>
    </row>
    <row r="27" spans="1:3" x14ac:dyDescent="0.25">
      <c r="A27" s="10" t="s">
        <v>111</v>
      </c>
      <c r="B27" s="10" t="s">
        <v>150</v>
      </c>
      <c r="C27" s="10" t="s">
        <v>72</v>
      </c>
    </row>
    <row r="28" spans="1:3" x14ac:dyDescent="0.25">
      <c r="A28" s="10" t="s">
        <v>112</v>
      </c>
      <c r="B28" s="10" t="s">
        <v>151</v>
      </c>
      <c r="C28" s="10" t="s">
        <v>73</v>
      </c>
    </row>
    <row r="29" spans="1:3" x14ac:dyDescent="0.25">
      <c r="A29" s="10" t="s">
        <v>113</v>
      </c>
      <c r="B29" s="10" t="s">
        <v>152</v>
      </c>
      <c r="C29" s="10" t="s">
        <v>74</v>
      </c>
    </row>
    <row r="30" spans="1:3" x14ac:dyDescent="0.25">
      <c r="A30" s="10" t="s">
        <v>114</v>
      </c>
      <c r="B30" s="10" t="s">
        <v>153</v>
      </c>
      <c r="C30" s="10" t="s">
        <v>75</v>
      </c>
    </row>
    <row r="31" spans="1:3" x14ac:dyDescent="0.25">
      <c r="A31" s="10" t="s">
        <v>115</v>
      </c>
      <c r="B31" s="10" t="s">
        <v>154</v>
      </c>
      <c r="C31" s="10" t="s">
        <v>76</v>
      </c>
    </row>
    <row r="32" spans="1:3" x14ac:dyDescent="0.25">
      <c r="A32" s="10" t="s">
        <v>116</v>
      </c>
      <c r="B32" s="10" t="s">
        <v>155</v>
      </c>
      <c r="C32" s="10" t="s">
        <v>77</v>
      </c>
    </row>
    <row r="33" spans="1:3" x14ac:dyDescent="0.25">
      <c r="A33" s="10" t="s">
        <v>117</v>
      </c>
      <c r="B33" s="10" t="s">
        <v>156</v>
      </c>
      <c r="C33" s="10" t="s">
        <v>78</v>
      </c>
    </row>
    <row r="34" spans="1:3" x14ac:dyDescent="0.25">
      <c r="A34" s="10" t="s">
        <v>118</v>
      </c>
      <c r="B34" s="10" t="s">
        <v>157</v>
      </c>
      <c r="C34" s="10" t="s">
        <v>79</v>
      </c>
    </row>
    <row r="35" spans="1:3" x14ac:dyDescent="0.25">
      <c r="A35" s="10" t="s">
        <v>119</v>
      </c>
      <c r="B35" s="10" t="s">
        <v>158</v>
      </c>
      <c r="C35" s="10" t="s">
        <v>80</v>
      </c>
    </row>
    <row r="36" spans="1:3" x14ac:dyDescent="0.25">
      <c r="A36" s="10" t="s">
        <v>120</v>
      </c>
      <c r="B36" s="10" t="s">
        <v>159</v>
      </c>
      <c r="C36" s="10" t="s">
        <v>81</v>
      </c>
    </row>
    <row r="37" spans="1:3" x14ac:dyDescent="0.25">
      <c r="A37" s="10" t="s">
        <v>121</v>
      </c>
      <c r="B37" s="10" t="s">
        <v>160</v>
      </c>
      <c r="C37" s="10" t="s">
        <v>82</v>
      </c>
    </row>
    <row r="38" spans="1:3" x14ac:dyDescent="0.25">
      <c r="A38" s="10" t="s">
        <v>122</v>
      </c>
      <c r="B38" s="10" t="s">
        <v>161</v>
      </c>
      <c r="C38" s="10" t="s">
        <v>83</v>
      </c>
    </row>
    <row r="39" spans="1:3" x14ac:dyDescent="0.25">
      <c r="A39" s="10" t="s">
        <v>123</v>
      </c>
      <c r="B39" s="10" t="s">
        <v>162</v>
      </c>
      <c r="C39" s="10" t="s">
        <v>84</v>
      </c>
    </row>
    <row r="40" spans="1:3" x14ac:dyDescent="0.25">
      <c r="A40" s="10" t="s">
        <v>124</v>
      </c>
      <c r="B40" s="10" t="s">
        <v>163</v>
      </c>
      <c r="C40" s="10" t="s">
        <v>85</v>
      </c>
    </row>
    <row r="41" spans="1:3" x14ac:dyDescent="0.25">
      <c r="A41" s="10" t="s">
        <v>125</v>
      </c>
      <c r="B41" s="10" t="s">
        <v>164</v>
      </c>
      <c r="C41" s="10" t="s">
        <v>86</v>
      </c>
    </row>
    <row r="42" spans="1:3" x14ac:dyDescent="0.25">
      <c r="A42" s="10" t="s">
        <v>126</v>
      </c>
      <c r="B42" s="10" t="s">
        <v>165</v>
      </c>
      <c r="C42" s="10" t="s">
        <v>87</v>
      </c>
    </row>
    <row r="43" spans="1:3" x14ac:dyDescent="0.25">
      <c r="A43" s="10" t="s">
        <v>127</v>
      </c>
      <c r="B43" s="10" t="s">
        <v>166</v>
      </c>
      <c r="C43" s="10" t="s">
        <v>88</v>
      </c>
    </row>
    <row r="44" spans="1:3" x14ac:dyDescent="0.25">
      <c r="A44" s="10" t="s">
        <v>128</v>
      </c>
      <c r="B44" s="10" t="s">
        <v>167</v>
      </c>
      <c r="C44" s="10" t="s">
        <v>89</v>
      </c>
    </row>
    <row r="45" spans="1:3" x14ac:dyDescent="0.25">
      <c r="A45" s="10" t="s">
        <v>129</v>
      </c>
      <c r="B45" s="10" t="s">
        <v>168</v>
      </c>
      <c r="C45" s="10" t="s">
        <v>90</v>
      </c>
    </row>
    <row r="46" spans="1:3" x14ac:dyDescent="0.25">
      <c r="A46" s="10" t="s">
        <v>130</v>
      </c>
      <c r="B46" s="10" t="s">
        <v>169</v>
      </c>
      <c r="C46" s="10" t="s">
        <v>91</v>
      </c>
    </row>
    <row r="47" spans="1:3" x14ac:dyDescent="0.25">
      <c r="A47" s="10" t="s">
        <v>131</v>
      </c>
      <c r="B47" s="10" t="s">
        <v>170</v>
      </c>
      <c r="C47" s="10" t="s">
        <v>92</v>
      </c>
    </row>
    <row r="48" spans="1:3" x14ac:dyDescent="0.25">
      <c r="A48" s="10" t="s">
        <v>132</v>
      </c>
      <c r="B48" s="10" t="s">
        <v>171</v>
      </c>
      <c r="C48" s="10" t="s">
        <v>93</v>
      </c>
    </row>
    <row r="49" spans="1:3" x14ac:dyDescent="0.25">
      <c r="A49" s="10" t="s">
        <v>133</v>
      </c>
      <c r="B49" s="10" t="s">
        <v>172</v>
      </c>
      <c r="C49" s="10" t="s">
        <v>94</v>
      </c>
    </row>
    <row r="50" spans="1:3" x14ac:dyDescent="0.25">
      <c r="A50" s="10" t="s">
        <v>134</v>
      </c>
      <c r="B50" s="10" t="s">
        <v>173</v>
      </c>
      <c r="C50" s="10" t="s">
        <v>95</v>
      </c>
    </row>
    <row r="51" spans="1:3" x14ac:dyDescent="0.25">
      <c r="A51" s="10" t="s">
        <v>135</v>
      </c>
      <c r="B51" s="10" t="s">
        <v>174</v>
      </c>
      <c r="C51" s="10" t="s">
        <v>96</v>
      </c>
    </row>
    <row r="52" spans="1:3" x14ac:dyDescent="0.25">
      <c r="A52" s="10" t="s">
        <v>136</v>
      </c>
      <c r="B52" s="10" t="s">
        <v>175</v>
      </c>
      <c r="C52" s="10" t="s">
        <v>97</v>
      </c>
    </row>
    <row r="53" spans="1:3" x14ac:dyDescent="0.25">
      <c r="A53" s="10" t="s">
        <v>137</v>
      </c>
      <c r="B53" s="10" t="s">
        <v>176</v>
      </c>
      <c r="C53" s="10" t="s">
        <v>98</v>
      </c>
    </row>
    <row r="54" spans="1:3" x14ac:dyDescent="0.25">
      <c r="A54" s="10" t="s">
        <v>138</v>
      </c>
      <c r="B54" s="10" t="s">
        <v>177</v>
      </c>
      <c r="C54" s="10" t="s">
        <v>99</v>
      </c>
    </row>
    <row r="55" spans="1:3" x14ac:dyDescent="0.25">
      <c r="A55" s="10" t="s">
        <v>139</v>
      </c>
      <c r="B55" s="10" t="s">
        <v>178</v>
      </c>
      <c r="C55" s="10" t="s">
        <v>100</v>
      </c>
    </row>
    <row r="56" spans="1:3" x14ac:dyDescent="0.25">
      <c r="A56" s="10" t="s">
        <v>140</v>
      </c>
      <c r="B56" s="10" t="s">
        <v>179</v>
      </c>
      <c r="C56" s="10" t="s">
        <v>101</v>
      </c>
    </row>
    <row r="57" spans="1:3" x14ac:dyDescent="0.25">
      <c r="A57" s="10" t="s">
        <v>141</v>
      </c>
      <c r="B57" s="10" t="s">
        <v>180</v>
      </c>
      <c r="C57" s="10" t="s">
        <v>102</v>
      </c>
    </row>
    <row r="58" spans="1:3" x14ac:dyDescent="0.25">
      <c r="A58" s="10" t="s">
        <v>142</v>
      </c>
      <c r="B58" s="10" t="s">
        <v>181</v>
      </c>
      <c r="C58" s="10" t="s">
        <v>103</v>
      </c>
    </row>
    <row r="59" spans="1:3" x14ac:dyDescent="0.25">
      <c r="A59" s="10" t="s">
        <v>143</v>
      </c>
      <c r="B59" s="10" t="s">
        <v>182</v>
      </c>
      <c r="C59" s="10" t="s">
        <v>104</v>
      </c>
    </row>
    <row r="60" spans="1:3" x14ac:dyDescent="0.25">
      <c r="A60" s="10" t="s">
        <v>203</v>
      </c>
      <c r="B60" s="10" t="s">
        <v>205</v>
      </c>
      <c r="C60" s="10" t="s">
        <v>204</v>
      </c>
    </row>
    <row r="61" spans="1:3" x14ac:dyDescent="0.25">
      <c r="A61" s="10" t="s">
        <v>210</v>
      </c>
      <c r="B61" s="10" t="s">
        <v>211</v>
      </c>
      <c r="C61" s="31" t="s">
        <v>212</v>
      </c>
    </row>
    <row r="62" spans="1:3" x14ac:dyDescent="0.25">
      <c r="A62" s="10" t="s">
        <v>221</v>
      </c>
      <c r="B62" s="32" t="s">
        <v>213</v>
      </c>
      <c r="C62" s="10" t="s">
        <v>220</v>
      </c>
    </row>
    <row r="63" spans="1:3" x14ac:dyDescent="0.25">
      <c r="A63" s="10" t="s">
        <v>222</v>
      </c>
      <c r="B63" s="32" t="s">
        <v>214</v>
      </c>
      <c r="C63" s="31" t="s">
        <v>219</v>
      </c>
    </row>
    <row r="64" spans="1:3" x14ac:dyDescent="0.25">
      <c r="A64" s="10" t="s">
        <v>223</v>
      </c>
      <c r="B64" s="32" t="s">
        <v>215</v>
      </c>
      <c r="C64" s="10" t="s">
        <v>217</v>
      </c>
    </row>
    <row r="65" spans="1:3" x14ac:dyDescent="0.25">
      <c r="A65" s="10" t="s">
        <v>224</v>
      </c>
      <c r="B65" s="32" t="s">
        <v>216</v>
      </c>
      <c r="C65" s="31" t="s">
        <v>218</v>
      </c>
    </row>
    <row r="66" spans="1:3" x14ac:dyDescent="0.25">
      <c r="A66" s="10" t="s">
        <v>3</v>
      </c>
      <c r="B66" s="10" t="s">
        <v>233</v>
      </c>
      <c r="C66" s="30" t="s">
        <v>235</v>
      </c>
    </row>
    <row r="67" spans="1:3" x14ac:dyDescent="0.25">
      <c r="A67" s="10" t="s">
        <v>45</v>
      </c>
      <c r="B67" s="32" t="s">
        <v>234</v>
      </c>
      <c r="C67" s="10" t="s">
        <v>236</v>
      </c>
    </row>
    <row r="68" spans="1:3" x14ac:dyDescent="0.25">
      <c r="A68" s="10" t="s">
        <v>4</v>
      </c>
      <c r="B68" s="32" t="s">
        <v>232</v>
      </c>
      <c r="C68" s="30" t="s">
        <v>237</v>
      </c>
    </row>
    <row r="69" spans="1:3" x14ac:dyDescent="0.25">
      <c r="A69" s="10" t="s">
        <v>43</v>
      </c>
      <c r="B69" s="32" t="s">
        <v>238</v>
      </c>
      <c r="C69" s="10" t="s">
        <v>240</v>
      </c>
    </row>
    <row r="70" spans="1:3" x14ac:dyDescent="0.25">
      <c r="A70" s="10" t="s">
        <v>409</v>
      </c>
      <c r="B70" s="32" t="s">
        <v>411</v>
      </c>
      <c r="C70" s="30" t="s">
        <v>241</v>
      </c>
    </row>
    <row r="71" spans="1:3" x14ac:dyDescent="0.25">
      <c r="A71" s="10" t="s">
        <v>273</v>
      </c>
      <c r="B71" s="10" t="s">
        <v>274</v>
      </c>
      <c r="C71" s="31" t="s">
        <v>244</v>
      </c>
    </row>
    <row r="72" spans="1:3" x14ac:dyDescent="0.25">
      <c r="A72" s="10" t="s">
        <v>408</v>
      </c>
      <c r="B72" s="32" t="s">
        <v>412</v>
      </c>
      <c r="C72" s="10" t="s">
        <v>243</v>
      </c>
    </row>
    <row r="73" spans="1:3" x14ac:dyDescent="0.25">
      <c r="A73" s="10" t="s">
        <v>44</v>
      </c>
      <c r="B73" s="32" t="s">
        <v>239</v>
      </c>
      <c r="C73" s="10" t="s">
        <v>242</v>
      </c>
    </row>
    <row r="74" spans="1:3" x14ac:dyDescent="0.25">
      <c r="A74" s="10" t="s">
        <v>37</v>
      </c>
      <c r="B74" s="32" t="s">
        <v>213</v>
      </c>
      <c r="C74" s="10" t="s">
        <v>250</v>
      </c>
    </row>
    <row r="75" spans="1:3" x14ac:dyDescent="0.25">
      <c r="A75" s="10" t="s">
        <v>38</v>
      </c>
      <c r="B75" s="32" t="s">
        <v>214</v>
      </c>
      <c r="C75" s="30" t="s">
        <v>251</v>
      </c>
    </row>
    <row r="76" spans="1:3" x14ac:dyDescent="0.25">
      <c r="A76" s="10" t="s">
        <v>39</v>
      </c>
      <c r="B76" s="10" t="s">
        <v>215</v>
      </c>
      <c r="C76" s="31" t="s">
        <v>217</v>
      </c>
    </row>
    <row r="77" spans="1:3" x14ac:dyDescent="0.25">
      <c r="A77" s="10" t="s">
        <v>40</v>
      </c>
      <c r="B77" s="32" t="s">
        <v>245</v>
      </c>
      <c r="C77" s="30" t="s">
        <v>249</v>
      </c>
    </row>
    <row r="78" spans="1:3" x14ac:dyDescent="0.25">
      <c r="A78" s="10" t="s">
        <v>382</v>
      </c>
      <c r="B78" s="10" t="s">
        <v>383</v>
      </c>
      <c r="C78" s="31" t="s">
        <v>248</v>
      </c>
    </row>
    <row r="79" spans="1:3" x14ac:dyDescent="0.25">
      <c r="A79" s="10" t="s">
        <v>41</v>
      </c>
      <c r="B79" s="32" t="s">
        <v>246</v>
      </c>
      <c r="C79" s="10" t="s">
        <v>252</v>
      </c>
    </row>
    <row r="80" spans="1:3" x14ac:dyDescent="0.25">
      <c r="A80" s="10" t="s">
        <v>42</v>
      </c>
      <c r="B80" s="32" t="s">
        <v>247</v>
      </c>
      <c r="C80" s="10" t="s">
        <v>253</v>
      </c>
    </row>
    <row r="81" spans="1:3" x14ac:dyDescent="0.25">
      <c r="A81" s="10" t="s">
        <v>254</v>
      </c>
      <c r="B81" s="32" t="s">
        <v>264</v>
      </c>
      <c r="C81" s="10" t="s">
        <v>268</v>
      </c>
    </row>
    <row r="82" spans="1:3" x14ac:dyDescent="0.25">
      <c r="A82" s="10" t="s">
        <v>256</v>
      </c>
      <c r="B82" s="32" t="s">
        <v>265</v>
      </c>
      <c r="C82" s="10" t="s">
        <v>266</v>
      </c>
    </row>
    <row r="83" spans="1:3" x14ac:dyDescent="0.25">
      <c r="A83" s="10" t="s">
        <v>255</v>
      </c>
      <c r="B83" s="32" t="s">
        <v>263</v>
      </c>
      <c r="C83" s="10" t="s">
        <v>267</v>
      </c>
    </row>
    <row r="84" spans="1:3" x14ac:dyDescent="0.25">
      <c r="A84" s="10" t="s">
        <v>368</v>
      </c>
      <c r="B84" s="32" t="s">
        <v>367</v>
      </c>
      <c r="C84" s="10" t="s">
        <v>418</v>
      </c>
    </row>
    <row r="85" spans="1:3" x14ac:dyDescent="0.25">
      <c r="A85" s="10" t="s">
        <v>370</v>
      </c>
      <c r="B85" s="32" t="s">
        <v>369</v>
      </c>
      <c r="C85" s="10" t="s">
        <v>371</v>
      </c>
    </row>
    <row r="86" spans="1:3" x14ac:dyDescent="0.25">
      <c r="A86" s="10" t="s">
        <v>271</v>
      </c>
      <c r="B86" s="32" t="s">
        <v>272</v>
      </c>
      <c r="C86" s="10" t="s">
        <v>107</v>
      </c>
    </row>
    <row r="87" spans="1:3" x14ac:dyDescent="0.25">
      <c r="A87" s="10" t="s">
        <v>283</v>
      </c>
      <c r="B87" s="32" t="s">
        <v>284</v>
      </c>
      <c r="C87" s="10" t="s">
        <v>285</v>
      </c>
    </row>
    <row r="88" spans="1:3" x14ac:dyDescent="0.25">
      <c r="A88" s="10" t="s">
        <v>317</v>
      </c>
      <c r="B88" s="10" t="s">
        <v>331</v>
      </c>
      <c r="C88" s="10" t="s">
        <v>318</v>
      </c>
    </row>
    <row r="89" spans="1:3" x14ac:dyDescent="0.25">
      <c r="A89" s="10" t="s">
        <v>340</v>
      </c>
      <c r="B89" s="10" t="s">
        <v>341</v>
      </c>
      <c r="C89" s="10" t="s">
        <v>342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"/>
  <sheetViews>
    <sheetView workbookViewId="0">
      <selection activeCell="W30" sqref="W30"/>
    </sheetView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B1:I2"/>
  <sheetViews>
    <sheetView workbookViewId="0">
      <selection activeCell="L27" sqref="L27"/>
    </sheetView>
  </sheetViews>
  <sheetFormatPr defaultRowHeight="15" x14ac:dyDescent="0.25"/>
  <sheetData>
    <row r="1" spans="2:9" x14ac:dyDescent="0.25">
      <c r="B1" s="23" t="s">
        <v>414</v>
      </c>
      <c r="I1" t="s">
        <v>415</v>
      </c>
    </row>
    <row r="2" spans="2:9" x14ac:dyDescent="0.25">
      <c r="B2" s="23" t="s">
        <v>413</v>
      </c>
      <c r="I2" t="s">
        <v>416</v>
      </c>
    </row>
  </sheetData>
  <hyperlinks>
    <hyperlink ref="B2" r:id="rId1" display="https://www.ford.com/trucks/super-duty/models/f450-xlt/"/>
    <hyperlink ref="B1" r:id="rId2" display="https://www.ford.com/commercial-trucks/transit-cargo-van/models/transit-van/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</sheetPr>
  <dimension ref="A1:C13"/>
  <sheetViews>
    <sheetView workbookViewId="0">
      <selection activeCell="E17" sqref="E17"/>
    </sheetView>
  </sheetViews>
  <sheetFormatPr defaultRowHeight="15" x14ac:dyDescent="0.25"/>
  <cols>
    <col min="1" max="1" width="34" bestFit="1" customWidth="1"/>
    <col min="2" max="2" width="57.5703125" bestFit="1" customWidth="1"/>
  </cols>
  <sheetData>
    <row r="1" spans="1:3" x14ac:dyDescent="0.25">
      <c r="A1" t="s">
        <v>257</v>
      </c>
      <c r="B1" t="s">
        <v>193</v>
      </c>
    </row>
    <row r="2" spans="1:3" x14ac:dyDescent="0.25">
      <c r="A2" t="s">
        <v>194</v>
      </c>
      <c r="B2" s="23" t="s">
        <v>298</v>
      </c>
      <c r="C2" t="s">
        <v>297</v>
      </c>
    </row>
    <row r="3" spans="1:3" x14ac:dyDescent="0.25">
      <c r="A3" t="s">
        <v>196</v>
      </c>
      <c r="B3" t="s">
        <v>195</v>
      </c>
    </row>
    <row r="4" spans="1:3" x14ac:dyDescent="0.25">
      <c r="A4" t="s">
        <v>198</v>
      </c>
      <c r="B4" t="s">
        <v>197</v>
      </c>
    </row>
    <row r="5" spans="1:3" x14ac:dyDescent="0.25">
      <c r="B5" t="s">
        <v>199</v>
      </c>
    </row>
    <row r="6" spans="1:3" x14ac:dyDescent="0.25">
      <c r="A6" t="s">
        <v>200</v>
      </c>
    </row>
    <row r="7" spans="1:3" x14ac:dyDescent="0.25">
      <c r="A7" t="s">
        <v>258</v>
      </c>
    </row>
    <row r="8" spans="1:3" x14ac:dyDescent="0.25">
      <c r="A8" t="s">
        <v>259</v>
      </c>
    </row>
    <row r="10" spans="1:3" x14ac:dyDescent="0.25">
      <c r="A10" t="s">
        <v>269</v>
      </c>
      <c r="B10" t="s">
        <v>270</v>
      </c>
    </row>
    <row r="12" spans="1:3" x14ac:dyDescent="0.25">
      <c r="A12" t="s">
        <v>308</v>
      </c>
      <c r="B12" t="s">
        <v>309</v>
      </c>
    </row>
    <row r="13" spans="1:3" x14ac:dyDescent="0.25">
      <c r="A13" t="s">
        <v>310</v>
      </c>
      <c r="B13" s="5" t="s">
        <v>311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9"/>
  <sheetViews>
    <sheetView topLeftCell="A4" workbookViewId="0">
      <selection activeCell="O24" sqref="O24"/>
    </sheetView>
  </sheetViews>
  <sheetFormatPr defaultRowHeight="15" x14ac:dyDescent="0.25"/>
  <sheetData>
    <row r="1" spans="1:1" x14ac:dyDescent="0.25">
      <c r="A1" t="s">
        <v>375</v>
      </c>
    </row>
    <row r="2" spans="1:1" x14ac:dyDescent="0.25">
      <c r="A2" t="s">
        <v>376</v>
      </c>
    </row>
    <row r="3" spans="1:1" x14ac:dyDescent="0.25">
      <c r="A3" s="124" t="s">
        <v>372</v>
      </c>
    </row>
    <row r="4" spans="1:1" x14ac:dyDescent="0.25">
      <c r="A4" s="124"/>
    </row>
    <row r="6" spans="1:1" s="5" customFormat="1" x14ac:dyDescent="0.25"/>
    <row r="7" spans="1:1" s="5" customFormat="1" x14ac:dyDescent="0.25"/>
    <row r="8" spans="1:1" s="5" customFormat="1" x14ac:dyDescent="0.25"/>
    <row r="9" spans="1:1" s="5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Read Me</vt:lpstr>
      <vt:lpstr>Market Segmentation</vt:lpstr>
      <vt:lpstr>Performance Sizing</vt:lpstr>
      <vt:lpstr>BaselineSpecs</vt:lpstr>
      <vt:lpstr>VehImprovPC</vt:lpstr>
      <vt:lpstr>Engine Eff</vt:lpstr>
      <vt:lpstr>Driveline</vt:lpstr>
      <vt:lpstr>Wheel</vt:lpstr>
      <vt:lpstr>Electric Machine</vt:lpstr>
      <vt:lpstr>FuelCell</vt:lpstr>
      <vt:lpstr>Battery</vt:lpstr>
      <vt:lpstr>RefVehicles</vt:lpstr>
      <vt:lpstr>Autonomie_Translation</vt:lpstr>
      <vt:lpstr>Vehicle</vt:lpstr>
      <vt:lpstr>Vehicle references</vt:lpstr>
      <vt:lpstr>References</vt:lpstr>
      <vt:lpstr>Notes</vt:lpstr>
      <vt:lpstr>Low2025engineeff</vt:lpstr>
    </vt:vector>
  </TitlesOfParts>
  <Company>Argonne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Moawad, Ayman</dc:creator>
  <cp:lastModifiedBy>Vijayagopal, Ram</cp:lastModifiedBy>
  <cp:lastPrinted>2019-04-22T19:04:51Z</cp:lastPrinted>
  <dcterms:created xsi:type="dcterms:W3CDTF">2013-01-11T19:11:03Z</dcterms:created>
  <dcterms:modified xsi:type="dcterms:W3CDTF">2022-07-15T20:17:35Z</dcterms:modified>
</cp:coreProperties>
</file>