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lihwei_yeow_mail_utoronto_ca/Documents/1UofT/PhD Research/Paper 3 - Charging profiles/input_data/"/>
    </mc:Choice>
  </mc:AlternateContent>
  <xr:revisionPtr revIDLastSave="662" documentId="11_F25DC773A252ABDACC104834511F5EF05ADE58E0" xr6:coauthVersionLast="47" xr6:coauthVersionMax="47" xr10:uidLastSave="{1DD26391-DD4F-47F6-898C-B7C5139839E3}"/>
  <bookViews>
    <workbookView xWindow="-120" yWindow="-120" windowWidth="29040" windowHeight="15720" activeTab="2" xr2:uid="{00000000-000D-0000-FFFF-FFFF00000000}"/>
  </bookViews>
  <sheets>
    <sheet name="inputs" sheetId="1" r:id="rId1"/>
    <sheet name="truck_specs" sheetId="3" r:id="rId2"/>
    <sheet name="database_index" sheetId="5" r:id="rId3"/>
    <sheet name="sample_profiles" sheetId="4" r:id="rId4"/>
    <sheet name="MTO iCorridor AADTT" sheetId="2" r:id="rId5"/>
  </sheets>
  <definedNames>
    <definedName name="_xlnm._FilterDatabase" localSheetId="4" hidden="1">'MTO iCorridor AADTT'!$A$1:$K$1845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2" i="5" l="1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" i="4"/>
  <c r="H9" i="3"/>
  <c r="I9" i="3" s="1"/>
  <c r="E2" i="3"/>
  <c r="E5" i="3"/>
  <c r="E6" i="3"/>
  <c r="E7" i="3"/>
  <c r="E8" i="3"/>
  <c r="E4" i="3"/>
  <c r="E3" i="3"/>
  <c r="E9" i="3"/>
  <c r="U9" i="2"/>
  <c r="T10" i="2"/>
  <c r="U10" i="2"/>
  <c r="T11" i="2"/>
  <c r="U11" i="2"/>
  <c r="T12" i="2"/>
  <c r="U12" i="2"/>
  <c r="T13" i="2"/>
  <c r="U13" i="2"/>
  <c r="R4" i="2"/>
  <c r="T4" i="2"/>
  <c r="J2" i="2"/>
  <c r="L2" i="2"/>
  <c r="N2" i="2"/>
  <c r="J3" i="2"/>
  <c r="L3" i="2"/>
  <c r="N3" i="2"/>
  <c r="J4" i="2"/>
  <c r="L4" i="2"/>
  <c r="N4" i="2"/>
  <c r="J5" i="2"/>
  <c r="L5" i="2"/>
  <c r="N5" i="2"/>
  <c r="J6" i="2"/>
  <c r="L6" i="2"/>
  <c r="N6" i="2"/>
  <c r="J7" i="2"/>
  <c r="L7" i="2"/>
  <c r="N7" i="2"/>
  <c r="J8" i="2"/>
  <c r="L8" i="2"/>
  <c r="N8" i="2"/>
  <c r="J9" i="2"/>
  <c r="L9" i="2"/>
  <c r="N9" i="2"/>
  <c r="J10" i="2"/>
  <c r="L10" i="2"/>
  <c r="N10" i="2"/>
  <c r="J11" i="2"/>
  <c r="L11" i="2"/>
  <c r="N11" i="2"/>
  <c r="J12" i="2"/>
  <c r="L12" i="2"/>
  <c r="N12" i="2"/>
  <c r="J13" i="2"/>
  <c r="L13" i="2"/>
  <c r="N13" i="2"/>
  <c r="J14" i="2"/>
  <c r="L14" i="2"/>
  <c r="N14" i="2"/>
  <c r="J15" i="2"/>
  <c r="L15" i="2"/>
  <c r="N15" i="2"/>
  <c r="J16" i="2"/>
  <c r="L16" i="2"/>
  <c r="N16" i="2"/>
  <c r="J17" i="2"/>
  <c r="L17" i="2"/>
  <c r="N17" i="2"/>
  <c r="J18" i="2"/>
  <c r="L18" i="2"/>
  <c r="N18" i="2"/>
  <c r="J19" i="2"/>
  <c r="L19" i="2"/>
  <c r="N19" i="2"/>
  <c r="J20" i="2"/>
  <c r="L20" i="2"/>
  <c r="N20" i="2"/>
  <c r="J21" i="2"/>
  <c r="L21" i="2"/>
  <c r="N21" i="2"/>
  <c r="J22" i="2"/>
  <c r="L22" i="2"/>
  <c r="N22" i="2"/>
  <c r="J23" i="2"/>
  <c r="L23" i="2"/>
  <c r="N23" i="2"/>
  <c r="J24" i="2"/>
  <c r="L24" i="2"/>
  <c r="N24" i="2"/>
  <c r="J25" i="2"/>
  <c r="L25" i="2"/>
  <c r="N25" i="2"/>
  <c r="J26" i="2"/>
  <c r="L26" i="2"/>
  <c r="N26" i="2"/>
  <c r="J27" i="2"/>
  <c r="L27" i="2"/>
  <c r="N27" i="2"/>
  <c r="J28" i="2"/>
  <c r="L28" i="2"/>
  <c r="N28" i="2"/>
  <c r="J29" i="2"/>
  <c r="L29" i="2"/>
  <c r="N29" i="2"/>
  <c r="J30" i="2"/>
  <c r="L30" i="2"/>
  <c r="N30" i="2"/>
  <c r="J31" i="2"/>
  <c r="L31" i="2"/>
  <c r="N31" i="2"/>
  <c r="J32" i="2"/>
  <c r="L32" i="2"/>
  <c r="N32" i="2"/>
  <c r="J33" i="2"/>
  <c r="L33" i="2"/>
  <c r="N33" i="2"/>
  <c r="J34" i="2"/>
  <c r="L34" i="2"/>
  <c r="N34" i="2"/>
  <c r="J35" i="2"/>
  <c r="L35" i="2"/>
  <c r="N35" i="2"/>
  <c r="J36" i="2"/>
  <c r="L36" i="2"/>
  <c r="N36" i="2"/>
  <c r="J37" i="2"/>
  <c r="L37" i="2"/>
  <c r="N37" i="2"/>
  <c r="J38" i="2"/>
  <c r="L38" i="2"/>
  <c r="N38" i="2"/>
  <c r="J39" i="2"/>
  <c r="L39" i="2"/>
  <c r="N39" i="2"/>
  <c r="J40" i="2"/>
  <c r="L40" i="2"/>
  <c r="N40" i="2"/>
  <c r="J41" i="2"/>
  <c r="L41" i="2"/>
  <c r="N41" i="2"/>
  <c r="J42" i="2"/>
  <c r="L42" i="2"/>
  <c r="N42" i="2"/>
  <c r="J43" i="2"/>
  <c r="L43" i="2"/>
  <c r="N43" i="2"/>
  <c r="J44" i="2"/>
  <c r="L44" i="2"/>
  <c r="N44" i="2"/>
  <c r="J45" i="2"/>
  <c r="L45" i="2"/>
  <c r="N45" i="2"/>
  <c r="J46" i="2"/>
  <c r="L46" i="2"/>
  <c r="N46" i="2"/>
  <c r="J47" i="2"/>
  <c r="L47" i="2"/>
  <c r="N47" i="2"/>
  <c r="J48" i="2"/>
  <c r="L48" i="2"/>
  <c r="N48" i="2"/>
  <c r="J49" i="2"/>
  <c r="L49" i="2"/>
  <c r="N49" i="2"/>
  <c r="J50" i="2"/>
  <c r="L50" i="2"/>
  <c r="N50" i="2"/>
  <c r="J51" i="2"/>
  <c r="L51" i="2"/>
  <c r="N51" i="2"/>
  <c r="O51" i="2" s="1"/>
  <c r="J52" i="2"/>
  <c r="L52" i="2"/>
  <c r="N52" i="2"/>
  <c r="J53" i="2"/>
  <c r="L53" i="2"/>
  <c r="N53" i="2"/>
  <c r="J54" i="2"/>
  <c r="L54" i="2"/>
  <c r="N54" i="2"/>
  <c r="J55" i="2"/>
  <c r="L55" i="2"/>
  <c r="N55" i="2"/>
  <c r="J56" i="2"/>
  <c r="L56" i="2"/>
  <c r="N56" i="2"/>
  <c r="J57" i="2"/>
  <c r="L57" i="2"/>
  <c r="N57" i="2"/>
  <c r="J58" i="2"/>
  <c r="L58" i="2"/>
  <c r="N58" i="2"/>
  <c r="J59" i="2"/>
  <c r="L59" i="2"/>
  <c r="N59" i="2"/>
  <c r="J60" i="2"/>
  <c r="L60" i="2"/>
  <c r="N60" i="2"/>
  <c r="J61" i="2"/>
  <c r="L61" i="2"/>
  <c r="N61" i="2"/>
  <c r="J62" i="2"/>
  <c r="L62" i="2"/>
  <c r="N62" i="2"/>
  <c r="J63" i="2"/>
  <c r="L63" i="2"/>
  <c r="N63" i="2"/>
  <c r="J64" i="2"/>
  <c r="L64" i="2"/>
  <c r="N64" i="2"/>
  <c r="J65" i="2"/>
  <c r="L65" i="2"/>
  <c r="N65" i="2"/>
  <c r="J66" i="2"/>
  <c r="L66" i="2"/>
  <c r="N66" i="2"/>
  <c r="J67" i="2"/>
  <c r="L67" i="2"/>
  <c r="N67" i="2"/>
  <c r="J68" i="2"/>
  <c r="L68" i="2"/>
  <c r="N68" i="2"/>
  <c r="J69" i="2"/>
  <c r="L69" i="2"/>
  <c r="N69" i="2"/>
  <c r="J70" i="2"/>
  <c r="L70" i="2"/>
  <c r="N70" i="2"/>
  <c r="J71" i="2"/>
  <c r="L71" i="2"/>
  <c r="N71" i="2"/>
  <c r="O71" i="2" s="1"/>
  <c r="J72" i="2"/>
  <c r="L72" i="2"/>
  <c r="N72" i="2"/>
  <c r="J73" i="2"/>
  <c r="L73" i="2"/>
  <c r="N73" i="2"/>
  <c r="J74" i="2"/>
  <c r="L74" i="2"/>
  <c r="N74" i="2"/>
  <c r="J75" i="2"/>
  <c r="L75" i="2"/>
  <c r="N75" i="2"/>
  <c r="J76" i="2"/>
  <c r="L76" i="2"/>
  <c r="N76" i="2"/>
  <c r="J77" i="2"/>
  <c r="L77" i="2"/>
  <c r="N77" i="2"/>
  <c r="J78" i="2"/>
  <c r="L78" i="2"/>
  <c r="N78" i="2"/>
  <c r="J79" i="2"/>
  <c r="L79" i="2"/>
  <c r="N79" i="2"/>
  <c r="J80" i="2"/>
  <c r="L80" i="2"/>
  <c r="N80" i="2"/>
  <c r="O80" i="2" s="1"/>
  <c r="J81" i="2"/>
  <c r="L81" i="2"/>
  <c r="N81" i="2"/>
  <c r="J82" i="2"/>
  <c r="L82" i="2"/>
  <c r="N82" i="2"/>
  <c r="J83" i="2"/>
  <c r="L83" i="2"/>
  <c r="N83" i="2"/>
  <c r="J84" i="2"/>
  <c r="L84" i="2"/>
  <c r="N84" i="2"/>
  <c r="J85" i="2"/>
  <c r="L85" i="2"/>
  <c r="N85" i="2"/>
  <c r="O85" i="2" s="1"/>
  <c r="J86" i="2"/>
  <c r="L86" i="2"/>
  <c r="N86" i="2"/>
  <c r="J87" i="2"/>
  <c r="L87" i="2"/>
  <c r="N87" i="2"/>
  <c r="J88" i="2"/>
  <c r="L88" i="2"/>
  <c r="N88" i="2"/>
  <c r="J89" i="2"/>
  <c r="L89" i="2"/>
  <c r="N89" i="2"/>
  <c r="J90" i="2"/>
  <c r="L90" i="2"/>
  <c r="N90" i="2"/>
  <c r="J91" i="2"/>
  <c r="L91" i="2"/>
  <c r="N91" i="2"/>
  <c r="J92" i="2"/>
  <c r="L92" i="2"/>
  <c r="N92" i="2"/>
  <c r="J93" i="2"/>
  <c r="L93" i="2"/>
  <c r="N93" i="2"/>
  <c r="J94" i="2"/>
  <c r="L94" i="2"/>
  <c r="N94" i="2"/>
  <c r="J95" i="2"/>
  <c r="L95" i="2"/>
  <c r="N95" i="2"/>
  <c r="J96" i="2"/>
  <c r="L96" i="2"/>
  <c r="N96" i="2"/>
  <c r="J97" i="2"/>
  <c r="L97" i="2"/>
  <c r="N97" i="2"/>
  <c r="J98" i="2"/>
  <c r="L98" i="2"/>
  <c r="N98" i="2"/>
  <c r="J99" i="2"/>
  <c r="L99" i="2"/>
  <c r="N99" i="2"/>
  <c r="J100" i="2"/>
  <c r="L100" i="2"/>
  <c r="N100" i="2"/>
  <c r="J101" i="2"/>
  <c r="L101" i="2"/>
  <c r="N101" i="2"/>
  <c r="J102" i="2"/>
  <c r="L102" i="2"/>
  <c r="N102" i="2"/>
  <c r="J103" i="2"/>
  <c r="L103" i="2"/>
  <c r="N103" i="2"/>
  <c r="J104" i="2"/>
  <c r="L104" i="2"/>
  <c r="N104" i="2"/>
  <c r="J105" i="2"/>
  <c r="L105" i="2"/>
  <c r="N105" i="2"/>
  <c r="J106" i="2"/>
  <c r="L106" i="2"/>
  <c r="N106" i="2"/>
  <c r="J107" i="2"/>
  <c r="L107" i="2"/>
  <c r="N107" i="2"/>
  <c r="J108" i="2"/>
  <c r="L108" i="2"/>
  <c r="N108" i="2"/>
  <c r="J109" i="2"/>
  <c r="L109" i="2"/>
  <c r="N109" i="2"/>
  <c r="J110" i="2"/>
  <c r="L110" i="2"/>
  <c r="N110" i="2"/>
  <c r="J111" i="2"/>
  <c r="L111" i="2"/>
  <c r="N111" i="2"/>
  <c r="J112" i="2"/>
  <c r="L112" i="2"/>
  <c r="N112" i="2"/>
  <c r="J113" i="2"/>
  <c r="L113" i="2"/>
  <c r="N113" i="2"/>
  <c r="J114" i="2"/>
  <c r="L114" i="2"/>
  <c r="N114" i="2"/>
  <c r="J115" i="2"/>
  <c r="L115" i="2"/>
  <c r="N115" i="2"/>
  <c r="J116" i="2"/>
  <c r="L116" i="2"/>
  <c r="N116" i="2"/>
  <c r="J117" i="2"/>
  <c r="L117" i="2"/>
  <c r="N117" i="2"/>
  <c r="J118" i="2"/>
  <c r="L118" i="2"/>
  <c r="N118" i="2"/>
  <c r="J119" i="2"/>
  <c r="L119" i="2"/>
  <c r="N119" i="2"/>
  <c r="J120" i="2"/>
  <c r="L120" i="2"/>
  <c r="N120" i="2"/>
  <c r="J121" i="2"/>
  <c r="L121" i="2"/>
  <c r="N121" i="2"/>
  <c r="J122" i="2"/>
  <c r="L122" i="2"/>
  <c r="N122" i="2"/>
  <c r="J123" i="2"/>
  <c r="L123" i="2"/>
  <c r="N123" i="2"/>
  <c r="J124" i="2"/>
  <c r="L124" i="2"/>
  <c r="N124" i="2"/>
  <c r="J125" i="2"/>
  <c r="L125" i="2"/>
  <c r="N125" i="2"/>
  <c r="J126" i="2"/>
  <c r="L126" i="2"/>
  <c r="N126" i="2"/>
  <c r="J127" i="2"/>
  <c r="L127" i="2"/>
  <c r="N127" i="2"/>
  <c r="J128" i="2"/>
  <c r="L128" i="2"/>
  <c r="N128" i="2"/>
  <c r="J129" i="2"/>
  <c r="L129" i="2"/>
  <c r="N129" i="2"/>
  <c r="J130" i="2"/>
  <c r="L130" i="2"/>
  <c r="N130" i="2"/>
  <c r="J131" i="2"/>
  <c r="L131" i="2"/>
  <c r="N131" i="2"/>
  <c r="J132" i="2"/>
  <c r="L132" i="2"/>
  <c r="N132" i="2"/>
  <c r="J133" i="2"/>
  <c r="L133" i="2"/>
  <c r="N133" i="2"/>
  <c r="J134" i="2"/>
  <c r="L134" i="2"/>
  <c r="N134" i="2"/>
  <c r="J135" i="2"/>
  <c r="L135" i="2"/>
  <c r="N135" i="2"/>
  <c r="J136" i="2"/>
  <c r="L136" i="2"/>
  <c r="N136" i="2"/>
  <c r="J137" i="2"/>
  <c r="L137" i="2"/>
  <c r="N137" i="2"/>
  <c r="J138" i="2"/>
  <c r="L138" i="2"/>
  <c r="N138" i="2"/>
  <c r="J139" i="2"/>
  <c r="L139" i="2"/>
  <c r="N139" i="2"/>
  <c r="J140" i="2"/>
  <c r="L140" i="2"/>
  <c r="N140" i="2"/>
  <c r="J141" i="2"/>
  <c r="L141" i="2"/>
  <c r="N141" i="2"/>
  <c r="J142" i="2"/>
  <c r="L142" i="2"/>
  <c r="N142" i="2"/>
  <c r="J143" i="2"/>
  <c r="L143" i="2"/>
  <c r="N143" i="2"/>
  <c r="J144" i="2"/>
  <c r="L144" i="2"/>
  <c r="N144" i="2"/>
  <c r="J145" i="2"/>
  <c r="L145" i="2"/>
  <c r="N145" i="2"/>
  <c r="J146" i="2"/>
  <c r="L146" i="2"/>
  <c r="N146" i="2"/>
  <c r="J147" i="2"/>
  <c r="L147" i="2"/>
  <c r="N147" i="2"/>
  <c r="J148" i="2"/>
  <c r="L148" i="2"/>
  <c r="N148" i="2"/>
  <c r="J149" i="2"/>
  <c r="L149" i="2"/>
  <c r="N149" i="2"/>
  <c r="J150" i="2"/>
  <c r="L150" i="2"/>
  <c r="N150" i="2"/>
  <c r="J151" i="2"/>
  <c r="L151" i="2"/>
  <c r="N151" i="2"/>
  <c r="J152" i="2"/>
  <c r="L152" i="2"/>
  <c r="N152" i="2"/>
  <c r="J153" i="2"/>
  <c r="L153" i="2"/>
  <c r="N153" i="2"/>
  <c r="J154" i="2"/>
  <c r="L154" i="2"/>
  <c r="N154" i="2"/>
  <c r="J155" i="2"/>
  <c r="L155" i="2"/>
  <c r="N155" i="2"/>
  <c r="J156" i="2"/>
  <c r="L156" i="2"/>
  <c r="N156" i="2"/>
  <c r="J157" i="2"/>
  <c r="L157" i="2"/>
  <c r="N157" i="2"/>
  <c r="J158" i="2"/>
  <c r="L158" i="2"/>
  <c r="N158" i="2"/>
  <c r="J159" i="2"/>
  <c r="L159" i="2"/>
  <c r="N159" i="2"/>
  <c r="J160" i="2"/>
  <c r="L160" i="2"/>
  <c r="N160" i="2"/>
  <c r="J161" i="2"/>
  <c r="L161" i="2"/>
  <c r="N161" i="2"/>
  <c r="J162" i="2"/>
  <c r="L162" i="2"/>
  <c r="N162" i="2"/>
  <c r="J163" i="2"/>
  <c r="L163" i="2"/>
  <c r="N163" i="2"/>
  <c r="J164" i="2"/>
  <c r="L164" i="2"/>
  <c r="N164" i="2"/>
  <c r="J165" i="2"/>
  <c r="L165" i="2"/>
  <c r="N165" i="2"/>
  <c r="J166" i="2"/>
  <c r="L166" i="2"/>
  <c r="N166" i="2"/>
  <c r="J167" i="2"/>
  <c r="L167" i="2"/>
  <c r="N167" i="2"/>
  <c r="J168" i="2"/>
  <c r="L168" i="2"/>
  <c r="N168" i="2"/>
  <c r="J169" i="2"/>
  <c r="L169" i="2"/>
  <c r="N169" i="2"/>
  <c r="J170" i="2"/>
  <c r="L170" i="2"/>
  <c r="N170" i="2"/>
  <c r="J171" i="2"/>
  <c r="L171" i="2"/>
  <c r="N171" i="2"/>
  <c r="J172" i="2"/>
  <c r="L172" i="2"/>
  <c r="N172" i="2"/>
  <c r="J173" i="2"/>
  <c r="L173" i="2"/>
  <c r="N173" i="2"/>
  <c r="J174" i="2"/>
  <c r="L174" i="2"/>
  <c r="N174" i="2"/>
  <c r="J175" i="2"/>
  <c r="L175" i="2"/>
  <c r="N175" i="2"/>
  <c r="J176" i="2"/>
  <c r="L176" i="2"/>
  <c r="N176" i="2"/>
  <c r="J177" i="2"/>
  <c r="L177" i="2"/>
  <c r="N177" i="2"/>
  <c r="J178" i="2"/>
  <c r="L178" i="2"/>
  <c r="N178" i="2"/>
  <c r="J179" i="2"/>
  <c r="L179" i="2"/>
  <c r="N179" i="2"/>
  <c r="J180" i="2"/>
  <c r="L180" i="2"/>
  <c r="N180" i="2"/>
  <c r="J181" i="2"/>
  <c r="L181" i="2"/>
  <c r="N181" i="2"/>
  <c r="J182" i="2"/>
  <c r="L182" i="2"/>
  <c r="N182" i="2"/>
  <c r="J183" i="2"/>
  <c r="L183" i="2"/>
  <c r="N183" i="2"/>
  <c r="J184" i="2"/>
  <c r="L184" i="2"/>
  <c r="N184" i="2"/>
  <c r="J185" i="2"/>
  <c r="L185" i="2"/>
  <c r="N185" i="2"/>
  <c r="J186" i="2"/>
  <c r="L186" i="2"/>
  <c r="N186" i="2"/>
  <c r="J187" i="2"/>
  <c r="L187" i="2"/>
  <c r="N187" i="2"/>
  <c r="J188" i="2"/>
  <c r="L188" i="2"/>
  <c r="N188" i="2"/>
  <c r="J189" i="2"/>
  <c r="L189" i="2"/>
  <c r="N189" i="2"/>
  <c r="J190" i="2"/>
  <c r="L190" i="2"/>
  <c r="N190" i="2"/>
  <c r="J191" i="2"/>
  <c r="L191" i="2"/>
  <c r="N191" i="2"/>
  <c r="J192" i="2"/>
  <c r="L192" i="2"/>
  <c r="N192" i="2"/>
  <c r="J193" i="2"/>
  <c r="L193" i="2"/>
  <c r="N193" i="2"/>
  <c r="J194" i="2"/>
  <c r="L194" i="2"/>
  <c r="N194" i="2"/>
  <c r="J195" i="2"/>
  <c r="L195" i="2"/>
  <c r="N195" i="2"/>
  <c r="J196" i="2"/>
  <c r="L196" i="2"/>
  <c r="N196" i="2"/>
  <c r="J197" i="2"/>
  <c r="L197" i="2"/>
  <c r="N197" i="2"/>
  <c r="J198" i="2"/>
  <c r="L198" i="2"/>
  <c r="N198" i="2"/>
  <c r="J199" i="2"/>
  <c r="L199" i="2"/>
  <c r="N199" i="2"/>
  <c r="J200" i="2"/>
  <c r="L200" i="2"/>
  <c r="N200" i="2"/>
  <c r="J201" i="2"/>
  <c r="L201" i="2"/>
  <c r="N201" i="2"/>
  <c r="J202" i="2"/>
  <c r="L202" i="2"/>
  <c r="N202" i="2"/>
  <c r="J203" i="2"/>
  <c r="L203" i="2"/>
  <c r="N203" i="2"/>
  <c r="J204" i="2"/>
  <c r="L204" i="2"/>
  <c r="N204" i="2"/>
  <c r="J205" i="2"/>
  <c r="L205" i="2"/>
  <c r="N205" i="2"/>
  <c r="J206" i="2"/>
  <c r="L206" i="2"/>
  <c r="N206" i="2"/>
  <c r="J207" i="2"/>
  <c r="L207" i="2"/>
  <c r="N207" i="2"/>
  <c r="J208" i="2"/>
  <c r="L208" i="2"/>
  <c r="N208" i="2"/>
  <c r="J209" i="2"/>
  <c r="L209" i="2"/>
  <c r="N209" i="2"/>
  <c r="J210" i="2"/>
  <c r="L210" i="2"/>
  <c r="N210" i="2"/>
  <c r="J211" i="2"/>
  <c r="L211" i="2"/>
  <c r="N211" i="2"/>
  <c r="J212" i="2"/>
  <c r="L212" i="2"/>
  <c r="N212" i="2"/>
  <c r="J213" i="2"/>
  <c r="L213" i="2"/>
  <c r="N213" i="2"/>
  <c r="J214" i="2"/>
  <c r="L214" i="2"/>
  <c r="N214" i="2"/>
  <c r="J215" i="2"/>
  <c r="L215" i="2"/>
  <c r="N215" i="2"/>
  <c r="J216" i="2"/>
  <c r="L216" i="2"/>
  <c r="N216" i="2"/>
  <c r="J217" i="2"/>
  <c r="L217" i="2"/>
  <c r="N217" i="2"/>
  <c r="J218" i="2"/>
  <c r="L218" i="2"/>
  <c r="N218" i="2"/>
  <c r="J219" i="2"/>
  <c r="L219" i="2"/>
  <c r="N219" i="2"/>
  <c r="J220" i="2"/>
  <c r="L220" i="2"/>
  <c r="N220" i="2"/>
  <c r="J221" i="2"/>
  <c r="L221" i="2"/>
  <c r="N221" i="2"/>
  <c r="J222" i="2"/>
  <c r="L222" i="2"/>
  <c r="N222" i="2"/>
  <c r="J223" i="2"/>
  <c r="L223" i="2"/>
  <c r="N223" i="2"/>
  <c r="J224" i="2"/>
  <c r="L224" i="2"/>
  <c r="N224" i="2"/>
  <c r="J225" i="2"/>
  <c r="L225" i="2"/>
  <c r="N225" i="2"/>
  <c r="J226" i="2"/>
  <c r="L226" i="2"/>
  <c r="N226" i="2"/>
  <c r="J227" i="2"/>
  <c r="L227" i="2"/>
  <c r="N227" i="2"/>
  <c r="J228" i="2"/>
  <c r="L228" i="2"/>
  <c r="N228" i="2"/>
  <c r="J229" i="2"/>
  <c r="L229" i="2"/>
  <c r="N229" i="2"/>
  <c r="J230" i="2"/>
  <c r="L230" i="2"/>
  <c r="N230" i="2"/>
  <c r="J231" i="2"/>
  <c r="L231" i="2"/>
  <c r="N231" i="2"/>
  <c r="J232" i="2"/>
  <c r="L232" i="2"/>
  <c r="N232" i="2"/>
  <c r="J233" i="2"/>
  <c r="L233" i="2"/>
  <c r="N233" i="2"/>
  <c r="J234" i="2"/>
  <c r="L234" i="2"/>
  <c r="N234" i="2"/>
  <c r="J235" i="2"/>
  <c r="L235" i="2"/>
  <c r="N235" i="2"/>
  <c r="J236" i="2"/>
  <c r="L236" i="2"/>
  <c r="N236" i="2"/>
  <c r="J237" i="2"/>
  <c r="L237" i="2"/>
  <c r="N237" i="2"/>
  <c r="J238" i="2"/>
  <c r="L238" i="2"/>
  <c r="N238" i="2"/>
  <c r="J239" i="2"/>
  <c r="L239" i="2"/>
  <c r="N239" i="2"/>
  <c r="J240" i="2"/>
  <c r="L240" i="2"/>
  <c r="N240" i="2"/>
  <c r="J241" i="2"/>
  <c r="L241" i="2"/>
  <c r="N241" i="2"/>
  <c r="J242" i="2"/>
  <c r="L242" i="2"/>
  <c r="N242" i="2"/>
  <c r="J243" i="2"/>
  <c r="L243" i="2"/>
  <c r="N243" i="2"/>
  <c r="J244" i="2"/>
  <c r="L244" i="2"/>
  <c r="N244" i="2"/>
  <c r="J245" i="2"/>
  <c r="L245" i="2"/>
  <c r="N245" i="2"/>
  <c r="J246" i="2"/>
  <c r="L246" i="2"/>
  <c r="N246" i="2"/>
  <c r="J247" i="2"/>
  <c r="L247" i="2"/>
  <c r="N247" i="2"/>
  <c r="J248" i="2"/>
  <c r="L248" i="2"/>
  <c r="N248" i="2"/>
  <c r="J249" i="2"/>
  <c r="L249" i="2"/>
  <c r="N249" i="2"/>
  <c r="J250" i="2"/>
  <c r="L250" i="2"/>
  <c r="N250" i="2"/>
  <c r="J251" i="2"/>
  <c r="L251" i="2"/>
  <c r="N251" i="2"/>
  <c r="J252" i="2"/>
  <c r="L252" i="2"/>
  <c r="N252" i="2"/>
  <c r="J253" i="2"/>
  <c r="L253" i="2"/>
  <c r="N253" i="2"/>
  <c r="J254" i="2"/>
  <c r="L254" i="2"/>
  <c r="N254" i="2"/>
  <c r="J255" i="2"/>
  <c r="L255" i="2"/>
  <c r="N255" i="2"/>
  <c r="J256" i="2"/>
  <c r="L256" i="2"/>
  <c r="N256" i="2"/>
  <c r="J257" i="2"/>
  <c r="L257" i="2"/>
  <c r="N257" i="2"/>
  <c r="J258" i="2"/>
  <c r="L258" i="2"/>
  <c r="N258" i="2"/>
  <c r="J259" i="2"/>
  <c r="L259" i="2"/>
  <c r="N259" i="2"/>
  <c r="J260" i="2"/>
  <c r="L260" i="2"/>
  <c r="N260" i="2"/>
  <c r="J261" i="2"/>
  <c r="L261" i="2"/>
  <c r="N261" i="2"/>
  <c r="J262" i="2"/>
  <c r="L262" i="2"/>
  <c r="N262" i="2"/>
  <c r="J263" i="2"/>
  <c r="L263" i="2"/>
  <c r="N263" i="2"/>
  <c r="J264" i="2"/>
  <c r="L264" i="2"/>
  <c r="N264" i="2"/>
  <c r="J265" i="2"/>
  <c r="L265" i="2"/>
  <c r="N265" i="2"/>
  <c r="J266" i="2"/>
  <c r="L266" i="2"/>
  <c r="N266" i="2"/>
  <c r="J267" i="2"/>
  <c r="L267" i="2"/>
  <c r="N267" i="2"/>
  <c r="J268" i="2"/>
  <c r="L268" i="2"/>
  <c r="N268" i="2"/>
  <c r="J269" i="2"/>
  <c r="L269" i="2"/>
  <c r="N269" i="2"/>
  <c r="J270" i="2"/>
  <c r="L270" i="2"/>
  <c r="N270" i="2"/>
  <c r="J271" i="2"/>
  <c r="L271" i="2"/>
  <c r="N271" i="2"/>
  <c r="J272" i="2"/>
  <c r="L272" i="2"/>
  <c r="N272" i="2"/>
  <c r="J273" i="2"/>
  <c r="L273" i="2"/>
  <c r="N273" i="2"/>
  <c r="J274" i="2"/>
  <c r="L274" i="2"/>
  <c r="N274" i="2"/>
  <c r="J275" i="2"/>
  <c r="L275" i="2"/>
  <c r="N275" i="2"/>
  <c r="J276" i="2"/>
  <c r="L276" i="2"/>
  <c r="N276" i="2"/>
  <c r="J277" i="2"/>
  <c r="L277" i="2"/>
  <c r="N277" i="2"/>
  <c r="J278" i="2"/>
  <c r="L278" i="2"/>
  <c r="N278" i="2"/>
  <c r="J279" i="2"/>
  <c r="L279" i="2"/>
  <c r="N279" i="2"/>
  <c r="J280" i="2"/>
  <c r="L280" i="2"/>
  <c r="N280" i="2"/>
  <c r="J281" i="2"/>
  <c r="L281" i="2"/>
  <c r="N281" i="2"/>
  <c r="J282" i="2"/>
  <c r="L282" i="2"/>
  <c r="N282" i="2"/>
  <c r="J283" i="2"/>
  <c r="L283" i="2"/>
  <c r="N283" i="2"/>
  <c r="J284" i="2"/>
  <c r="L284" i="2"/>
  <c r="N284" i="2"/>
  <c r="J285" i="2"/>
  <c r="L285" i="2"/>
  <c r="N285" i="2"/>
  <c r="J286" i="2"/>
  <c r="L286" i="2"/>
  <c r="N286" i="2"/>
  <c r="J287" i="2"/>
  <c r="L287" i="2"/>
  <c r="N287" i="2"/>
  <c r="J288" i="2"/>
  <c r="L288" i="2"/>
  <c r="N288" i="2"/>
  <c r="J289" i="2"/>
  <c r="L289" i="2"/>
  <c r="N289" i="2"/>
  <c r="J290" i="2"/>
  <c r="L290" i="2"/>
  <c r="N290" i="2"/>
  <c r="J291" i="2"/>
  <c r="L291" i="2"/>
  <c r="N291" i="2"/>
  <c r="J292" i="2"/>
  <c r="L292" i="2"/>
  <c r="N292" i="2"/>
  <c r="J293" i="2"/>
  <c r="L293" i="2"/>
  <c r="N293" i="2"/>
  <c r="J294" i="2"/>
  <c r="L294" i="2"/>
  <c r="N294" i="2"/>
  <c r="J295" i="2"/>
  <c r="L295" i="2"/>
  <c r="N295" i="2"/>
  <c r="J296" i="2"/>
  <c r="L296" i="2"/>
  <c r="N296" i="2"/>
  <c r="J297" i="2"/>
  <c r="L297" i="2"/>
  <c r="N297" i="2"/>
  <c r="J298" i="2"/>
  <c r="L298" i="2"/>
  <c r="N298" i="2"/>
  <c r="J299" i="2"/>
  <c r="L299" i="2"/>
  <c r="N299" i="2"/>
  <c r="J300" i="2"/>
  <c r="L300" i="2"/>
  <c r="N300" i="2"/>
  <c r="J301" i="2"/>
  <c r="L301" i="2"/>
  <c r="N301" i="2"/>
  <c r="J302" i="2"/>
  <c r="L302" i="2"/>
  <c r="N302" i="2"/>
  <c r="O302" i="2" s="1"/>
  <c r="J303" i="2"/>
  <c r="L303" i="2"/>
  <c r="N303" i="2"/>
  <c r="J304" i="2"/>
  <c r="L304" i="2"/>
  <c r="N304" i="2"/>
  <c r="J305" i="2"/>
  <c r="L305" i="2"/>
  <c r="N305" i="2"/>
  <c r="J306" i="2"/>
  <c r="L306" i="2"/>
  <c r="N306" i="2"/>
  <c r="J307" i="2"/>
  <c r="L307" i="2"/>
  <c r="N307" i="2"/>
  <c r="J308" i="2"/>
  <c r="L308" i="2"/>
  <c r="N308" i="2"/>
  <c r="J309" i="2"/>
  <c r="L309" i="2"/>
  <c r="N309" i="2"/>
  <c r="J310" i="2"/>
  <c r="L310" i="2"/>
  <c r="N310" i="2"/>
  <c r="J311" i="2"/>
  <c r="L311" i="2"/>
  <c r="N311" i="2"/>
  <c r="J312" i="2"/>
  <c r="L312" i="2"/>
  <c r="N312" i="2"/>
  <c r="J313" i="2"/>
  <c r="L313" i="2"/>
  <c r="N313" i="2"/>
  <c r="J314" i="2"/>
  <c r="L314" i="2"/>
  <c r="N314" i="2"/>
  <c r="J315" i="2"/>
  <c r="L315" i="2"/>
  <c r="N315" i="2"/>
  <c r="J316" i="2"/>
  <c r="L316" i="2"/>
  <c r="N316" i="2"/>
  <c r="J317" i="2"/>
  <c r="L317" i="2"/>
  <c r="N317" i="2"/>
  <c r="J318" i="2"/>
  <c r="L318" i="2"/>
  <c r="N318" i="2"/>
  <c r="J319" i="2"/>
  <c r="L319" i="2"/>
  <c r="N319" i="2"/>
  <c r="J320" i="2"/>
  <c r="L320" i="2"/>
  <c r="N320" i="2"/>
  <c r="J321" i="2"/>
  <c r="L321" i="2"/>
  <c r="N321" i="2"/>
  <c r="J322" i="2"/>
  <c r="L322" i="2"/>
  <c r="N322" i="2"/>
  <c r="J323" i="2"/>
  <c r="L323" i="2"/>
  <c r="N323" i="2"/>
  <c r="J324" i="2"/>
  <c r="L324" i="2"/>
  <c r="N324" i="2"/>
  <c r="J325" i="2"/>
  <c r="L325" i="2"/>
  <c r="N325" i="2"/>
  <c r="J326" i="2"/>
  <c r="L326" i="2"/>
  <c r="N326" i="2"/>
  <c r="J327" i="2"/>
  <c r="L327" i="2"/>
  <c r="N327" i="2"/>
  <c r="J328" i="2"/>
  <c r="L328" i="2"/>
  <c r="N328" i="2"/>
  <c r="J329" i="2"/>
  <c r="L329" i="2"/>
  <c r="N329" i="2"/>
  <c r="J330" i="2"/>
  <c r="L330" i="2"/>
  <c r="N330" i="2"/>
  <c r="J331" i="2"/>
  <c r="L331" i="2"/>
  <c r="N331" i="2"/>
  <c r="J332" i="2"/>
  <c r="L332" i="2"/>
  <c r="N332" i="2"/>
  <c r="J333" i="2"/>
  <c r="L333" i="2"/>
  <c r="N333" i="2"/>
  <c r="J334" i="2"/>
  <c r="L334" i="2"/>
  <c r="N334" i="2"/>
  <c r="J335" i="2"/>
  <c r="L335" i="2"/>
  <c r="N335" i="2"/>
  <c r="J336" i="2"/>
  <c r="L336" i="2"/>
  <c r="N336" i="2"/>
  <c r="J337" i="2"/>
  <c r="L337" i="2"/>
  <c r="N337" i="2"/>
  <c r="J338" i="2"/>
  <c r="L338" i="2"/>
  <c r="N338" i="2"/>
  <c r="J339" i="2"/>
  <c r="L339" i="2"/>
  <c r="N339" i="2"/>
  <c r="J340" i="2"/>
  <c r="L340" i="2"/>
  <c r="N340" i="2"/>
  <c r="J341" i="2"/>
  <c r="L341" i="2"/>
  <c r="N341" i="2"/>
  <c r="J342" i="2"/>
  <c r="L342" i="2"/>
  <c r="N342" i="2"/>
  <c r="J343" i="2"/>
  <c r="L343" i="2"/>
  <c r="N343" i="2"/>
  <c r="J344" i="2"/>
  <c r="L344" i="2"/>
  <c r="N344" i="2"/>
  <c r="J345" i="2"/>
  <c r="L345" i="2"/>
  <c r="N345" i="2"/>
  <c r="J346" i="2"/>
  <c r="L346" i="2"/>
  <c r="N346" i="2"/>
  <c r="J347" i="2"/>
  <c r="L347" i="2"/>
  <c r="N347" i="2"/>
  <c r="J348" i="2"/>
  <c r="L348" i="2"/>
  <c r="N348" i="2"/>
  <c r="J349" i="2"/>
  <c r="L349" i="2"/>
  <c r="N349" i="2"/>
  <c r="J350" i="2"/>
  <c r="L350" i="2"/>
  <c r="N350" i="2"/>
  <c r="J351" i="2"/>
  <c r="L351" i="2"/>
  <c r="N351" i="2"/>
  <c r="J352" i="2"/>
  <c r="L352" i="2"/>
  <c r="N352" i="2"/>
  <c r="J353" i="2"/>
  <c r="L353" i="2"/>
  <c r="N353" i="2"/>
  <c r="J354" i="2"/>
  <c r="L354" i="2"/>
  <c r="N354" i="2"/>
  <c r="J355" i="2"/>
  <c r="L355" i="2"/>
  <c r="N355" i="2"/>
  <c r="J356" i="2"/>
  <c r="L356" i="2"/>
  <c r="N356" i="2"/>
  <c r="J357" i="2"/>
  <c r="L357" i="2"/>
  <c r="N357" i="2"/>
  <c r="J358" i="2"/>
  <c r="L358" i="2"/>
  <c r="N358" i="2"/>
  <c r="J359" i="2"/>
  <c r="L359" i="2"/>
  <c r="N359" i="2"/>
  <c r="J360" i="2"/>
  <c r="L360" i="2"/>
  <c r="N360" i="2"/>
  <c r="J361" i="2"/>
  <c r="L361" i="2"/>
  <c r="N361" i="2"/>
  <c r="J362" i="2"/>
  <c r="L362" i="2"/>
  <c r="N362" i="2"/>
  <c r="J363" i="2"/>
  <c r="L363" i="2"/>
  <c r="N363" i="2"/>
  <c r="J364" i="2"/>
  <c r="L364" i="2"/>
  <c r="N364" i="2"/>
  <c r="J365" i="2"/>
  <c r="L365" i="2"/>
  <c r="N365" i="2"/>
  <c r="J366" i="2"/>
  <c r="L366" i="2"/>
  <c r="N366" i="2"/>
  <c r="J367" i="2"/>
  <c r="L367" i="2"/>
  <c r="N367" i="2"/>
  <c r="J368" i="2"/>
  <c r="L368" i="2"/>
  <c r="N368" i="2"/>
  <c r="J369" i="2"/>
  <c r="L369" i="2"/>
  <c r="N369" i="2"/>
  <c r="J370" i="2"/>
  <c r="L370" i="2"/>
  <c r="N370" i="2"/>
  <c r="J371" i="2"/>
  <c r="L371" i="2"/>
  <c r="N371" i="2"/>
  <c r="J372" i="2"/>
  <c r="L372" i="2"/>
  <c r="N372" i="2"/>
  <c r="J373" i="2"/>
  <c r="L373" i="2"/>
  <c r="N373" i="2"/>
  <c r="J374" i="2"/>
  <c r="L374" i="2"/>
  <c r="N374" i="2"/>
  <c r="J375" i="2"/>
  <c r="L375" i="2"/>
  <c r="N375" i="2"/>
  <c r="J376" i="2"/>
  <c r="L376" i="2"/>
  <c r="N376" i="2"/>
  <c r="J377" i="2"/>
  <c r="L377" i="2"/>
  <c r="N377" i="2"/>
  <c r="J378" i="2"/>
  <c r="L378" i="2"/>
  <c r="N378" i="2"/>
  <c r="J379" i="2"/>
  <c r="L379" i="2"/>
  <c r="N379" i="2"/>
  <c r="J380" i="2"/>
  <c r="L380" i="2"/>
  <c r="N380" i="2"/>
  <c r="J381" i="2"/>
  <c r="L381" i="2"/>
  <c r="N381" i="2"/>
  <c r="J382" i="2"/>
  <c r="L382" i="2"/>
  <c r="N382" i="2"/>
  <c r="J383" i="2"/>
  <c r="L383" i="2"/>
  <c r="N383" i="2"/>
  <c r="J384" i="2"/>
  <c r="L384" i="2"/>
  <c r="N384" i="2"/>
  <c r="J385" i="2"/>
  <c r="L385" i="2"/>
  <c r="N385" i="2"/>
  <c r="J386" i="2"/>
  <c r="L386" i="2"/>
  <c r="N386" i="2"/>
  <c r="J387" i="2"/>
  <c r="L387" i="2"/>
  <c r="N387" i="2"/>
  <c r="J388" i="2"/>
  <c r="L388" i="2"/>
  <c r="N388" i="2"/>
  <c r="J389" i="2"/>
  <c r="L389" i="2"/>
  <c r="N389" i="2"/>
  <c r="J390" i="2"/>
  <c r="L390" i="2"/>
  <c r="N390" i="2"/>
  <c r="J391" i="2"/>
  <c r="L391" i="2"/>
  <c r="N391" i="2"/>
  <c r="J392" i="2"/>
  <c r="L392" i="2"/>
  <c r="N392" i="2"/>
  <c r="J393" i="2"/>
  <c r="L393" i="2"/>
  <c r="N393" i="2"/>
  <c r="J394" i="2"/>
  <c r="L394" i="2"/>
  <c r="N394" i="2"/>
  <c r="J395" i="2"/>
  <c r="L395" i="2"/>
  <c r="N395" i="2"/>
  <c r="J396" i="2"/>
  <c r="L396" i="2"/>
  <c r="N396" i="2"/>
  <c r="J397" i="2"/>
  <c r="L397" i="2"/>
  <c r="N397" i="2"/>
  <c r="J398" i="2"/>
  <c r="L398" i="2"/>
  <c r="N398" i="2"/>
  <c r="J399" i="2"/>
  <c r="L399" i="2"/>
  <c r="N399" i="2"/>
  <c r="J400" i="2"/>
  <c r="L400" i="2"/>
  <c r="N400" i="2"/>
  <c r="J401" i="2"/>
  <c r="L401" i="2"/>
  <c r="N401" i="2"/>
  <c r="J402" i="2"/>
  <c r="L402" i="2"/>
  <c r="N402" i="2"/>
  <c r="J403" i="2"/>
  <c r="L403" i="2"/>
  <c r="N403" i="2"/>
  <c r="J404" i="2"/>
  <c r="L404" i="2"/>
  <c r="N404" i="2"/>
  <c r="J405" i="2"/>
  <c r="L405" i="2"/>
  <c r="N405" i="2"/>
  <c r="J406" i="2"/>
  <c r="L406" i="2"/>
  <c r="N406" i="2"/>
  <c r="J407" i="2"/>
  <c r="L407" i="2"/>
  <c r="N407" i="2"/>
  <c r="J408" i="2"/>
  <c r="L408" i="2"/>
  <c r="N408" i="2"/>
  <c r="J409" i="2"/>
  <c r="L409" i="2"/>
  <c r="N409" i="2"/>
  <c r="J410" i="2"/>
  <c r="L410" i="2"/>
  <c r="N410" i="2"/>
  <c r="J411" i="2"/>
  <c r="L411" i="2"/>
  <c r="N411" i="2"/>
  <c r="J412" i="2"/>
  <c r="L412" i="2"/>
  <c r="N412" i="2"/>
  <c r="J413" i="2"/>
  <c r="L413" i="2"/>
  <c r="N413" i="2"/>
  <c r="J414" i="2"/>
  <c r="L414" i="2"/>
  <c r="N414" i="2"/>
  <c r="J415" i="2"/>
  <c r="L415" i="2"/>
  <c r="N415" i="2"/>
  <c r="J416" i="2"/>
  <c r="L416" i="2"/>
  <c r="N416" i="2"/>
  <c r="J417" i="2"/>
  <c r="L417" i="2"/>
  <c r="N417" i="2"/>
  <c r="J418" i="2"/>
  <c r="L418" i="2"/>
  <c r="N418" i="2"/>
  <c r="J419" i="2"/>
  <c r="L419" i="2"/>
  <c r="N419" i="2"/>
  <c r="J420" i="2"/>
  <c r="L420" i="2"/>
  <c r="N420" i="2"/>
  <c r="J421" i="2"/>
  <c r="L421" i="2"/>
  <c r="N421" i="2"/>
  <c r="J422" i="2"/>
  <c r="L422" i="2"/>
  <c r="N422" i="2"/>
  <c r="J423" i="2"/>
  <c r="L423" i="2"/>
  <c r="N423" i="2"/>
  <c r="J424" i="2"/>
  <c r="L424" i="2"/>
  <c r="N424" i="2"/>
  <c r="J425" i="2"/>
  <c r="L425" i="2"/>
  <c r="N425" i="2"/>
  <c r="J426" i="2"/>
  <c r="L426" i="2"/>
  <c r="N426" i="2"/>
  <c r="J427" i="2"/>
  <c r="L427" i="2"/>
  <c r="N427" i="2"/>
  <c r="J428" i="2"/>
  <c r="L428" i="2"/>
  <c r="N428" i="2"/>
  <c r="J429" i="2"/>
  <c r="L429" i="2"/>
  <c r="N429" i="2"/>
  <c r="J430" i="2"/>
  <c r="L430" i="2"/>
  <c r="N430" i="2"/>
  <c r="J431" i="2"/>
  <c r="L431" i="2"/>
  <c r="N431" i="2"/>
  <c r="J432" i="2"/>
  <c r="L432" i="2"/>
  <c r="N432" i="2"/>
  <c r="J433" i="2"/>
  <c r="L433" i="2"/>
  <c r="N433" i="2"/>
  <c r="J434" i="2"/>
  <c r="L434" i="2"/>
  <c r="N434" i="2"/>
  <c r="J435" i="2"/>
  <c r="L435" i="2"/>
  <c r="N435" i="2"/>
  <c r="J436" i="2"/>
  <c r="L436" i="2"/>
  <c r="N436" i="2"/>
  <c r="J437" i="2"/>
  <c r="L437" i="2"/>
  <c r="N437" i="2"/>
  <c r="J438" i="2"/>
  <c r="L438" i="2"/>
  <c r="N438" i="2"/>
  <c r="J439" i="2"/>
  <c r="L439" i="2"/>
  <c r="N439" i="2"/>
  <c r="J440" i="2"/>
  <c r="L440" i="2"/>
  <c r="N440" i="2"/>
  <c r="J441" i="2"/>
  <c r="L441" i="2"/>
  <c r="N441" i="2"/>
  <c r="J442" i="2"/>
  <c r="L442" i="2"/>
  <c r="N442" i="2"/>
  <c r="J443" i="2"/>
  <c r="L443" i="2"/>
  <c r="N443" i="2"/>
  <c r="J444" i="2"/>
  <c r="L444" i="2"/>
  <c r="N444" i="2"/>
  <c r="J445" i="2"/>
  <c r="L445" i="2"/>
  <c r="N445" i="2"/>
  <c r="J446" i="2"/>
  <c r="L446" i="2"/>
  <c r="N446" i="2"/>
  <c r="J447" i="2"/>
  <c r="L447" i="2"/>
  <c r="N447" i="2"/>
  <c r="J448" i="2"/>
  <c r="L448" i="2"/>
  <c r="N448" i="2"/>
  <c r="J449" i="2"/>
  <c r="L449" i="2"/>
  <c r="N449" i="2"/>
  <c r="J450" i="2"/>
  <c r="L450" i="2"/>
  <c r="N450" i="2"/>
  <c r="J451" i="2"/>
  <c r="L451" i="2"/>
  <c r="N451" i="2"/>
  <c r="J452" i="2"/>
  <c r="L452" i="2"/>
  <c r="N452" i="2"/>
  <c r="J453" i="2"/>
  <c r="L453" i="2"/>
  <c r="N453" i="2"/>
  <c r="J454" i="2"/>
  <c r="L454" i="2"/>
  <c r="N454" i="2"/>
  <c r="J455" i="2"/>
  <c r="L455" i="2"/>
  <c r="N455" i="2"/>
  <c r="J456" i="2"/>
  <c r="L456" i="2"/>
  <c r="N456" i="2"/>
  <c r="J457" i="2"/>
  <c r="L457" i="2"/>
  <c r="N457" i="2"/>
  <c r="J458" i="2"/>
  <c r="L458" i="2"/>
  <c r="N458" i="2"/>
  <c r="J459" i="2"/>
  <c r="L459" i="2"/>
  <c r="N459" i="2"/>
  <c r="J460" i="2"/>
  <c r="L460" i="2"/>
  <c r="N460" i="2"/>
  <c r="J461" i="2"/>
  <c r="L461" i="2"/>
  <c r="N461" i="2"/>
  <c r="J462" i="2"/>
  <c r="L462" i="2"/>
  <c r="N462" i="2"/>
  <c r="J463" i="2"/>
  <c r="L463" i="2"/>
  <c r="N463" i="2"/>
  <c r="J464" i="2"/>
  <c r="L464" i="2"/>
  <c r="N464" i="2"/>
  <c r="J465" i="2"/>
  <c r="L465" i="2"/>
  <c r="N465" i="2"/>
  <c r="J466" i="2"/>
  <c r="L466" i="2"/>
  <c r="N466" i="2"/>
  <c r="J467" i="2"/>
  <c r="L467" i="2"/>
  <c r="N467" i="2"/>
  <c r="J468" i="2"/>
  <c r="L468" i="2"/>
  <c r="N468" i="2"/>
  <c r="J469" i="2"/>
  <c r="L469" i="2"/>
  <c r="N469" i="2"/>
  <c r="J470" i="2"/>
  <c r="L470" i="2"/>
  <c r="N470" i="2"/>
  <c r="J471" i="2"/>
  <c r="L471" i="2"/>
  <c r="N471" i="2"/>
  <c r="J472" i="2"/>
  <c r="L472" i="2"/>
  <c r="N472" i="2"/>
  <c r="J473" i="2"/>
  <c r="L473" i="2"/>
  <c r="N473" i="2"/>
  <c r="J474" i="2"/>
  <c r="L474" i="2"/>
  <c r="N474" i="2"/>
  <c r="J475" i="2"/>
  <c r="L475" i="2"/>
  <c r="N475" i="2"/>
  <c r="J476" i="2"/>
  <c r="L476" i="2"/>
  <c r="N476" i="2"/>
  <c r="J477" i="2"/>
  <c r="L477" i="2"/>
  <c r="N477" i="2"/>
  <c r="J478" i="2"/>
  <c r="L478" i="2"/>
  <c r="N478" i="2"/>
  <c r="J479" i="2"/>
  <c r="L479" i="2"/>
  <c r="N479" i="2"/>
  <c r="J480" i="2"/>
  <c r="L480" i="2"/>
  <c r="N480" i="2"/>
  <c r="J481" i="2"/>
  <c r="L481" i="2"/>
  <c r="N481" i="2"/>
  <c r="J482" i="2"/>
  <c r="L482" i="2"/>
  <c r="N482" i="2"/>
  <c r="J483" i="2"/>
  <c r="L483" i="2"/>
  <c r="N483" i="2"/>
  <c r="J484" i="2"/>
  <c r="L484" i="2"/>
  <c r="N484" i="2"/>
  <c r="J485" i="2"/>
  <c r="L485" i="2"/>
  <c r="N485" i="2"/>
  <c r="J486" i="2"/>
  <c r="L486" i="2"/>
  <c r="N486" i="2"/>
  <c r="J487" i="2"/>
  <c r="L487" i="2"/>
  <c r="N487" i="2"/>
  <c r="J488" i="2"/>
  <c r="L488" i="2"/>
  <c r="N488" i="2"/>
  <c r="J489" i="2"/>
  <c r="L489" i="2"/>
  <c r="N489" i="2"/>
  <c r="J490" i="2"/>
  <c r="L490" i="2"/>
  <c r="N490" i="2"/>
  <c r="J491" i="2"/>
  <c r="L491" i="2"/>
  <c r="N491" i="2"/>
  <c r="J492" i="2"/>
  <c r="L492" i="2"/>
  <c r="N492" i="2"/>
  <c r="J493" i="2"/>
  <c r="L493" i="2"/>
  <c r="N493" i="2"/>
  <c r="J494" i="2"/>
  <c r="L494" i="2"/>
  <c r="N494" i="2"/>
  <c r="J495" i="2"/>
  <c r="L495" i="2"/>
  <c r="N495" i="2"/>
  <c r="J496" i="2"/>
  <c r="L496" i="2"/>
  <c r="N496" i="2"/>
  <c r="J497" i="2"/>
  <c r="L497" i="2"/>
  <c r="N497" i="2"/>
  <c r="J498" i="2"/>
  <c r="L498" i="2"/>
  <c r="N498" i="2"/>
  <c r="J499" i="2"/>
  <c r="L499" i="2"/>
  <c r="N499" i="2"/>
  <c r="J500" i="2"/>
  <c r="L500" i="2"/>
  <c r="N500" i="2"/>
  <c r="J501" i="2"/>
  <c r="L501" i="2"/>
  <c r="N501" i="2"/>
  <c r="J502" i="2"/>
  <c r="L502" i="2"/>
  <c r="N502" i="2"/>
  <c r="J503" i="2"/>
  <c r="L503" i="2"/>
  <c r="N503" i="2"/>
  <c r="J504" i="2"/>
  <c r="L504" i="2"/>
  <c r="N504" i="2"/>
  <c r="J505" i="2"/>
  <c r="L505" i="2"/>
  <c r="N505" i="2"/>
  <c r="J506" i="2"/>
  <c r="L506" i="2"/>
  <c r="N506" i="2"/>
  <c r="J507" i="2"/>
  <c r="L507" i="2"/>
  <c r="N507" i="2"/>
  <c r="J508" i="2"/>
  <c r="L508" i="2"/>
  <c r="N508" i="2"/>
  <c r="J509" i="2"/>
  <c r="L509" i="2"/>
  <c r="N509" i="2"/>
  <c r="J510" i="2"/>
  <c r="L510" i="2"/>
  <c r="N510" i="2"/>
  <c r="J511" i="2"/>
  <c r="L511" i="2"/>
  <c r="N511" i="2"/>
  <c r="J512" i="2"/>
  <c r="L512" i="2"/>
  <c r="N512" i="2"/>
  <c r="J513" i="2"/>
  <c r="L513" i="2"/>
  <c r="N513" i="2"/>
  <c r="J514" i="2"/>
  <c r="L514" i="2"/>
  <c r="N514" i="2"/>
  <c r="J515" i="2"/>
  <c r="L515" i="2"/>
  <c r="N515" i="2"/>
  <c r="J516" i="2"/>
  <c r="L516" i="2"/>
  <c r="N516" i="2"/>
  <c r="J517" i="2"/>
  <c r="L517" i="2"/>
  <c r="N517" i="2"/>
  <c r="J518" i="2"/>
  <c r="L518" i="2"/>
  <c r="N518" i="2"/>
  <c r="J519" i="2"/>
  <c r="L519" i="2"/>
  <c r="N519" i="2"/>
  <c r="J520" i="2"/>
  <c r="L520" i="2"/>
  <c r="N520" i="2"/>
  <c r="J521" i="2"/>
  <c r="L521" i="2"/>
  <c r="N521" i="2"/>
  <c r="J522" i="2"/>
  <c r="L522" i="2"/>
  <c r="N522" i="2"/>
  <c r="J523" i="2"/>
  <c r="L523" i="2"/>
  <c r="N523" i="2"/>
  <c r="J524" i="2"/>
  <c r="L524" i="2"/>
  <c r="N524" i="2"/>
  <c r="J525" i="2"/>
  <c r="L525" i="2"/>
  <c r="N525" i="2"/>
  <c r="J526" i="2"/>
  <c r="L526" i="2"/>
  <c r="N526" i="2"/>
  <c r="J527" i="2"/>
  <c r="L527" i="2"/>
  <c r="N527" i="2"/>
  <c r="J528" i="2"/>
  <c r="L528" i="2"/>
  <c r="N528" i="2"/>
  <c r="J529" i="2"/>
  <c r="L529" i="2"/>
  <c r="N529" i="2"/>
  <c r="J530" i="2"/>
  <c r="L530" i="2"/>
  <c r="N530" i="2"/>
  <c r="J531" i="2"/>
  <c r="L531" i="2"/>
  <c r="N531" i="2"/>
  <c r="J532" i="2"/>
  <c r="L532" i="2"/>
  <c r="N532" i="2"/>
  <c r="J533" i="2"/>
  <c r="L533" i="2"/>
  <c r="N533" i="2"/>
  <c r="J534" i="2"/>
  <c r="L534" i="2"/>
  <c r="N534" i="2"/>
  <c r="J535" i="2"/>
  <c r="L535" i="2"/>
  <c r="N535" i="2"/>
  <c r="J536" i="2"/>
  <c r="L536" i="2"/>
  <c r="N536" i="2"/>
  <c r="J537" i="2"/>
  <c r="L537" i="2"/>
  <c r="N537" i="2"/>
  <c r="J538" i="2"/>
  <c r="L538" i="2"/>
  <c r="N538" i="2"/>
  <c r="J539" i="2"/>
  <c r="L539" i="2"/>
  <c r="N539" i="2"/>
  <c r="J540" i="2"/>
  <c r="L540" i="2"/>
  <c r="N540" i="2"/>
  <c r="J541" i="2"/>
  <c r="L541" i="2"/>
  <c r="N541" i="2"/>
  <c r="J542" i="2"/>
  <c r="L542" i="2"/>
  <c r="N542" i="2"/>
  <c r="J543" i="2"/>
  <c r="L543" i="2"/>
  <c r="N543" i="2"/>
  <c r="J544" i="2"/>
  <c r="L544" i="2"/>
  <c r="N544" i="2"/>
  <c r="J545" i="2"/>
  <c r="L545" i="2"/>
  <c r="N545" i="2"/>
  <c r="J546" i="2"/>
  <c r="L546" i="2"/>
  <c r="N546" i="2"/>
  <c r="J547" i="2"/>
  <c r="L547" i="2"/>
  <c r="N547" i="2"/>
  <c r="J548" i="2"/>
  <c r="L548" i="2"/>
  <c r="N548" i="2"/>
  <c r="J549" i="2"/>
  <c r="L549" i="2"/>
  <c r="N549" i="2"/>
  <c r="J550" i="2"/>
  <c r="L550" i="2"/>
  <c r="N550" i="2"/>
  <c r="J551" i="2"/>
  <c r="L551" i="2"/>
  <c r="N551" i="2"/>
  <c r="J552" i="2"/>
  <c r="L552" i="2"/>
  <c r="N552" i="2"/>
  <c r="J553" i="2"/>
  <c r="L553" i="2"/>
  <c r="N553" i="2"/>
  <c r="J554" i="2"/>
  <c r="L554" i="2"/>
  <c r="N554" i="2"/>
  <c r="J555" i="2"/>
  <c r="L555" i="2"/>
  <c r="N555" i="2"/>
  <c r="J556" i="2"/>
  <c r="L556" i="2"/>
  <c r="N556" i="2"/>
  <c r="J557" i="2"/>
  <c r="L557" i="2"/>
  <c r="N557" i="2"/>
  <c r="J558" i="2"/>
  <c r="L558" i="2"/>
  <c r="N558" i="2"/>
  <c r="J559" i="2"/>
  <c r="L559" i="2"/>
  <c r="N559" i="2"/>
  <c r="J560" i="2"/>
  <c r="L560" i="2"/>
  <c r="N560" i="2"/>
  <c r="J561" i="2"/>
  <c r="L561" i="2"/>
  <c r="N561" i="2"/>
  <c r="J562" i="2"/>
  <c r="L562" i="2"/>
  <c r="N562" i="2"/>
  <c r="J563" i="2"/>
  <c r="L563" i="2"/>
  <c r="N563" i="2"/>
  <c r="J564" i="2"/>
  <c r="L564" i="2"/>
  <c r="N564" i="2"/>
  <c r="J565" i="2"/>
  <c r="L565" i="2"/>
  <c r="N565" i="2"/>
  <c r="J566" i="2"/>
  <c r="L566" i="2"/>
  <c r="N566" i="2"/>
  <c r="J567" i="2"/>
  <c r="L567" i="2"/>
  <c r="N567" i="2"/>
  <c r="J568" i="2"/>
  <c r="L568" i="2"/>
  <c r="N568" i="2"/>
  <c r="J569" i="2"/>
  <c r="L569" i="2"/>
  <c r="N569" i="2"/>
  <c r="J570" i="2"/>
  <c r="L570" i="2"/>
  <c r="N570" i="2"/>
  <c r="J571" i="2"/>
  <c r="L571" i="2"/>
  <c r="N571" i="2"/>
  <c r="J572" i="2"/>
  <c r="L572" i="2"/>
  <c r="N572" i="2"/>
  <c r="J573" i="2"/>
  <c r="L573" i="2"/>
  <c r="N573" i="2"/>
  <c r="J574" i="2"/>
  <c r="L574" i="2"/>
  <c r="N574" i="2"/>
  <c r="J575" i="2"/>
  <c r="L575" i="2"/>
  <c r="N575" i="2"/>
  <c r="J576" i="2"/>
  <c r="L576" i="2"/>
  <c r="N576" i="2"/>
  <c r="J577" i="2"/>
  <c r="L577" i="2"/>
  <c r="N577" i="2"/>
  <c r="J578" i="2"/>
  <c r="L578" i="2"/>
  <c r="N578" i="2"/>
  <c r="J579" i="2"/>
  <c r="L579" i="2"/>
  <c r="N579" i="2"/>
  <c r="J580" i="2"/>
  <c r="L580" i="2"/>
  <c r="N580" i="2"/>
  <c r="J581" i="2"/>
  <c r="L581" i="2"/>
  <c r="N581" i="2"/>
  <c r="J582" i="2"/>
  <c r="L582" i="2"/>
  <c r="N582" i="2"/>
  <c r="J583" i="2"/>
  <c r="L583" i="2"/>
  <c r="N583" i="2"/>
  <c r="J584" i="2"/>
  <c r="L584" i="2"/>
  <c r="N584" i="2"/>
  <c r="J585" i="2"/>
  <c r="L585" i="2"/>
  <c r="N585" i="2"/>
  <c r="J586" i="2"/>
  <c r="L586" i="2"/>
  <c r="N586" i="2"/>
  <c r="J587" i="2"/>
  <c r="L587" i="2"/>
  <c r="N587" i="2"/>
  <c r="J588" i="2"/>
  <c r="L588" i="2"/>
  <c r="N588" i="2"/>
  <c r="J589" i="2"/>
  <c r="L589" i="2"/>
  <c r="N589" i="2"/>
  <c r="J590" i="2"/>
  <c r="L590" i="2"/>
  <c r="N590" i="2"/>
  <c r="J591" i="2"/>
  <c r="L591" i="2"/>
  <c r="N591" i="2"/>
  <c r="J592" i="2"/>
  <c r="L592" i="2"/>
  <c r="N592" i="2"/>
  <c r="J593" i="2"/>
  <c r="L593" i="2"/>
  <c r="N593" i="2"/>
  <c r="J594" i="2"/>
  <c r="L594" i="2"/>
  <c r="N594" i="2"/>
  <c r="J595" i="2"/>
  <c r="L595" i="2"/>
  <c r="N595" i="2"/>
  <c r="J596" i="2"/>
  <c r="L596" i="2"/>
  <c r="N596" i="2"/>
  <c r="J597" i="2"/>
  <c r="L597" i="2"/>
  <c r="N597" i="2"/>
  <c r="J598" i="2"/>
  <c r="L598" i="2"/>
  <c r="N598" i="2"/>
  <c r="J599" i="2"/>
  <c r="L599" i="2"/>
  <c r="N599" i="2"/>
  <c r="J600" i="2"/>
  <c r="L600" i="2"/>
  <c r="N600" i="2"/>
  <c r="J601" i="2"/>
  <c r="L601" i="2"/>
  <c r="N601" i="2"/>
  <c r="J602" i="2"/>
  <c r="L602" i="2"/>
  <c r="N602" i="2"/>
  <c r="J603" i="2"/>
  <c r="L603" i="2"/>
  <c r="N603" i="2"/>
  <c r="J604" i="2"/>
  <c r="L604" i="2"/>
  <c r="N604" i="2"/>
  <c r="J605" i="2"/>
  <c r="L605" i="2"/>
  <c r="N605" i="2"/>
  <c r="J606" i="2"/>
  <c r="L606" i="2"/>
  <c r="N606" i="2"/>
  <c r="J607" i="2"/>
  <c r="L607" i="2"/>
  <c r="N607" i="2"/>
  <c r="J608" i="2"/>
  <c r="L608" i="2"/>
  <c r="N608" i="2"/>
  <c r="J609" i="2"/>
  <c r="L609" i="2"/>
  <c r="N609" i="2"/>
  <c r="J610" i="2"/>
  <c r="L610" i="2"/>
  <c r="N610" i="2"/>
  <c r="J611" i="2"/>
  <c r="L611" i="2"/>
  <c r="N611" i="2"/>
  <c r="J612" i="2"/>
  <c r="L612" i="2"/>
  <c r="N612" i="2"/>
  <c r="J613" i="2"/>
  <c r="L613" i="2"/>
  <c r="N613" i="2"/>
  <c r="J614" i="2"/>
  <c r="L614" i="2"/>
  <c r="N614" i="2"/>
  <c r="J615" i="2"/>
  <c r="L615" i="2"/>
  <c r="N615" i="2"/>
  <c r="J616" i="2"/>
  <c r="L616" i="2"/>
  <c r="N616" i="2"/>
  <c r="J617" i="2"/>
  <c r="L617" i="2"/>
  <c r="N617" i="2"/>
  <c r="J618" i="2"/>
  <c r="L618" i="2"/>
  <c r="N618" i="2"/>
  <c r="J619" i="2"/>
  <c r="L619" i="2"/>
  <c r="N619" i="2"/>
  <c r="J620" i="2"/>
  <c r="L620" i="2"/>
  <c r="N620" i="2"/>
  <c r="J621" i="2"/>
  <c r="L621" i="2"/>
  <c r="N621" i="2"/>
  <c r="J622" i="2"/>
  <c r="L622" i="2"/>
  <c r="N622" i="2"/>
  <c r="J623" i="2"/>
  <c r="L623" i="2"/>
  <c r="N623" i="2"/>
  <c r="J624" i="2"/>
  <c r="L624" i="2"/>
  <c r="N624" i="2"/>
  <c r="J625" i="2"/>
  <c r="L625" i="2"/>
  <c r="N625" i="2"/>
  <c r="J626" i="2"/>
  <c r="L626" i="2"/>
  <c r="N626" i="2"/>
  <c r="J627" i="2"/>
  <c r="L627" i="2"/>
  <c r="N627" i="2"/>
  <c r="J628" i="2"/>
  <c r="L628" i="2"/>
  <c r="N628" i="2"/>
  <c r="J629" i="2"/>
  <c r="L629" i="2"/>
  <c r="N629" i="2"/>
  <c r="J630" i="2"/>
  <c r="L630" i="2"/>
  <c r="N630" i="2"/>
  <c r="J631" i="2"/>
  <c r="L631" i="2"/>
  <c r="N631" i="2"/>
  <c r="J632" i="2"/>
  <c r="L632" i="2"/>
  <c r="N632" i="2"/>
  <c r="J633" i="2"/>
  <c r="L633" i="2"/>
  <c r="N633" i="2"/>
  <c r="J634" i="2"/>
  <c r="L634" i="2"/>
  <c r="N634" i="2"/>
  <c r="J635" i="2"/>
  <c r="L635" i="2"/>
  <c r="N635" i="2"/>
  <c r="J636" i="2"/>
  <c r="L636" i="2"/>
  <c r="N636" i="2"/>
  <c r="J637" i="2"/>
  <c r="L637" i="2"/>
  <c r="N637" i="2"/>
  <c r="J638" i="2"/>
  <c r="L638" i="2"/>
  <c r="N638" i="2"/>
  <c r="J639" i="2"/>
  <c r="L639" i="2"/>
  <c r="N639" i="2"/>
  <c r="J640" i="2"/>
  <c r="L640" i="2"/>
  <c r="N640" i="2"/>
  <c r="J641" i="2"/>
  <c r="L641" i="2"/>
  <c r="N641" i="2"/>
  <c r="J642" i="2"/>
  <c r="L642" i="2"/>
  <c r="N642" i="2"/>
  <c r="J643" i="2"/>
  <c r="L643" i="2"/>
  <c r="N643" i="2"/>
  <c r="J644" i="2"/>
  <c r="L644" i="2"/>
  <c r="N644" i="2"/>
  <c r="J645" i="2"/>
  <c r="L645" i="2"/>
  <c r="N645" i="2"/>
  <c r="J646" i="2"/>
  <c r="L646" i="2"/>
  <c r="N646" i="2"/>
  <c r="J647" i="2"/>
  <c r="L647" i="2"/>
  <c r="N647" i="2"/>
  <c r="J648" i="2"/>
  <c r="L648" i="2"/>
  <c r="N648" i="2"/>
  <c r="J649" i="2"/>
  <c r="L649" i="2"/>
  <c r="N649" i="2"/>
  <c r="J650" i="2"/>
  <c r="L650" i="2"/>
  <c r="N650" i="2"/>
  <c r="J651" i="2"/>
  <c r="L651" i="2"/>
  <c r="N651" i="2"/>
  <c r="J652" i="2"/>
  <c r="L652" i="2"/>
  <c r="N652" i="2"/>
  <c r="J653" i="2"/>
  <c r="L653" i="2"/>
  <c r="N653" i="2"/>
  <c r="J654" i="2"/>
  <c r="L654" i="2"/>
  <c r="N654" i="2"/>
  <c r="J655" i="2"/>
  <c r="L655" i="2"/>
  <c r="N655" i="2"/>
  <c r="J656" i="2"/>
  <c r="L656" i="2"/>
  <c r="N656" i="2"/>
  <c r="J657" i="2"/>
  <c r="L657" i="2"/>
  <c r="N657" i="2"/>
  <c r="J658" i="2"/>
  <c r="L658" i="2"/>
  <c r="N658" i="2"/>
  <c r="J659" i="2"/>
  <c r="L659" i="2"/>
  <c r="N659" i="2"/>
  <c r="J660" i="2"/>
  <c r="L660" i="2"/>
  <c r="N660" i="2"/>
  <c r="J661" i="2"/>
  <c r="L661" i="2"/>
  <c r="N661" i="2"/>
  <c r="J662" i="2"/>
  <c r="L662" i="2"/>
  <c r="N662" i="2"/>
  <c r="J663" i="2"/>
  <c r="L663" i="2"/>
  <c r="N663" i="2"/>
  <c r="J664" i="2"/>
  <c r="L664" i="2"/>
  <c r="N664" i="2"/>
  <c r="J665" i="2"/>
  <c r="L665" i="2"/>
  <c r="N665" i="2"/>
  <c r="J666" i="2"/>
  <c r="L666" i="2"/>
  <c r="N666" i="2"/>
  <c r="J667" i="2"/>
  <c r="L667" i="2"/>
  <c r="N667" i="2"/>
  <c r="J668" i="2"/>
  <c r="L668" i="2"/>
  <c r="N668" i="2"/>
  <c r="J669" i="2"/>
  <c r="L669" i="2"/>
  <c r="N669" i="2"/>
  <c r="J670" i="2"/>
  <c r="L670" i="2"/>
  <c r="N670" i="2"/>
  <c r="J671" i="2"/>
  <c r="L671" i="2"/>
  <c r="N671" i="2"/>
  <c r="J672" i="2"/>
  <c r="L672" i="2"/>
  <c r="N672" i="2"/>
  <c r="J673" i="2"/>
  <c r="L673" i="2"/>
  <c r="N673" i="2"/>
  <c r="J674" i="2"/>
  <c r="L674" i="2"/>
  <c r="N674" i="2"/>
  <c r="J675" i="2"/>
  <c r="L675" i="2"/>
  <c r="N675" i="2"/>
  <c r="J676" i="2"/>
  <c r="L676" i="2"/>
  <c r="N676" i="2"/>
  <c r="J677" i="2"/>
  <c r="L677" i="2"/>
  <c r="N677" i="2"/>
  <c r="J678" i="2"/>
  <c r="L678" i="2"/>
  <c r="N678" i="2"/>
  <c r="J679" i="2"/>
  <c r="L679" i="2"/>
  <c r="N679" i="2"/>
  <c r="J680" i="2"/>
  <c r="L680" i="2"/>
  <c r="N680" i="2"/>
  <c r="J681" i="2"/>
  <c r="L681" i="2"/>
  <c r="N681" i="2"/>
  <c r="J682" i="2"/>
  <c r="L682" i="2"/>
  <c r="N682" i="2"/>
  <c r="J683" i="2"/>
  <c r="L683" i="2"/>
  <c r="N683" i="2"/>
  <c r="J684" i="2"/>
  <c r="L684" i="2"/>
  <c r="N684" i="2"/>
  <c r="J685" i="2"/>
  <c r="L685" i="2"/>
  <c r="N685" i="2"/>
  <c r="J686" i="2"/>
  <c r="L686" i="2"/>
  <c r="N686" i="2"/>
  <c r="J687" i="2"/>
  <c r="L687" i="2"/>
  <c r="N687" i="2"/>
  <c r="J688" i="2"/>
  <c r="L688" i="2"/>
  <c r="N688" i="2"/>
  <c r="J689" i="2"/>
  <c r="L689" i="2"/>
  <c r="N689" i="2"/>
  <c r="J690" i="2"/>
  <c r="L690" i="2"/>
  <c r="N690" i="2"/>
  <c r="J691" i="2"/>
  <c r="L691" i="2"/>
  <c r="N691" i="2"/>
  <c r="J692" i="2"/>
  <c r="L692" i="2"/>
  <c r="N692" i="2"/>
  <c r="J693" i="2"/>
  <c r="L693" i="2"/>
  <c r="N693" i="2"/>
  <c r="J694" i="2"/>
  <c r="L694" i="2"/>
  <c r="N694" i="2"/>
  <c r="J695" i="2"/>
  <c r="L695" i="2"/>
  <c r="N695" i="2"/>
  <c r="J696" i="2"/>
  <c r="L696" i="2"/>
  <c r="N696" i="2"/>
  <c r="J697" i="2"/>
  <c r="L697" i="2"/>
  <c r="N697" i="2"/>
  <c r="J698" i="2"/>
  <c r="L698" i="2"/>
  <c r="N698" i="2"/>
  <c r="J699" i="2"/>
  <c r="L699" i="2"/>
  <c r="N699" i="2"/>
  <c r="J700" i="2"/>
  <c r="L700" i="2"/>
  <c r="N700" i="2"/>
  <c r="J701" i="2"/>
  <c r="L701" i="2"/>
  <c r="N701" i="2"/>
  <c r="J702" i="2"/>
  <c r="L702" i="2"/>
  <c r="N702" i="2"/>
  <c r="J703" i="2"/>
  <c r="L703" i="2"/>
  <c r="N703" i="2"/>
  <c r="J704" i="2"/>
  <c r="L704" i="2"/>
  <c r="N704" i="2"/>
  <c r="J705" i="2"/>
  <c r="L705" i="2"/>
  <c r="N705" i="2"/>
  <c r="J706" i="2"/>
  <c r="L706" i="2"/>
  <c r="N706" i="2"/>
  <c r="J707" i="2"/>
  <c r="L707" i="2"/>
  <c r="N707" i="2"/>
  <c r="J708" i="2"/>
  <c r="L708" i="2"/>
  <c r="N708" i="2"/>
  <c r="J709" i="2"/>
  <c r="L709" i="2"/>
  <c r="N709" i="2"/>
  <c r="J710" i="2"/>
  <c r="L710" i="2"/>
  <c r="N710" i="2"/>
  <c r="J711" i="2"/>
  <c r="L711" i="2"/>
  <c r="N711" i="2"/>
  <c r="J712" i="2"/>
  <c r="L712" i="2"/>
  <c r="N712" i="2"/>
  <c r="J713" i="2"/>
  <c r="L713" i="2"/>
  <c r="N713" i="2"/>
  <c r="J714" i="2"/>
  <c r="L714" i="2"/>
  <c r="N714" i="2"/>
  <c r="J715" i="2"/>
  <c r="L715" i="2"/>
  <c r="N715" i="2"/>
  <c r="J716" i="2"/>
  <c r="L716" i="2"/>
  <c r="N716" i="2"/>
  <c r="J717" i="2"/>
  <c r="L717" i="2"/>
  <c r="N717" i="2"/>
  <c r="J718" i="2"/>
  <c r="L718" i="2"/>
  <c r="N718" i="2"/>
  <c r="J719" i="2"/>
  <c r="L719" i="2"/>
  <c r="N719" i="2"/>
  <c r="J720" i="2"/>
  <c r="L720" i="2"/>
  <c r="N720" i="2"/>
  <c r="J721" i="2"/>
  <c r="L721" i="2"/>
  <c r="N721" i="2"/>
  <c r="J722" i="2"/>
  <c r="L722" i="2"/>
  <c r="N722" i="2"/>
  <c r="J723" i="2"/>
  <c r="L723" i="2"/>
  <c r="N723" i="2"/>
  <c r="J724" i="2"/>
  <c r="L724" i="2"/>
  <c r="N724" i="2"/>
  <c r="J725" i="2"/>
  <c r="L725" i="2"/>
  <c r="N725" i="2"/>
  <c r="J726" i="2"/>
  <c r="L726" i="2"/>
  <c r="N726" i="2"/>
  <c r="J727" i="2"/>
  <c r="L727" i="2"/>
  <c r="N727" i="2"/>
  <c r="J728" i="2"/>
  <c r="L728" i="2"/>
  <c r="N728" i="2"/>
  <c r="J729" i="2"/>
  <c r="L729" i="2"/>
  <c r="N729" i="2"/>
  <c r="J730" i="2"/>
  <c r="L730" i="2"/>
  <c r="N730" i="2"/>
  <c r="J731" i="2"/>
  <c r="L731" i="2"/>
  <c r="N731" i="2"/>
  <c r="J732" i="2"/>
  <c r="L732" i="2"/>
  <c r="N732" i="2"/>
  <c r="J733" i="2"/>
  <c r="L733" i="2"/>
  <c r="N733" i="2"/>
  <c r="J734" i="2"/>
  <c r="L734" i="2"/>
  <c r="N734" i="2"/>
  <c r="J735" i="2"/>
  <c r="L735" i="2"/>
  <c r="N735" i="2"/>
  <c r="J736" i="2"/>
  <c r="L736" i="2"/>
  <c r="N736" i="2"/>
  <c r="J737" i="2"/>
  <c r="L737" i="2"/>
  <c r="N737" i="2"/>
  <c r="J738" i="2"/>
  <c r="L738" i="2"/>
  <c r="N738" i="2"/>
  <c r="J739" i="2"/>
  <c r="L739" i="2"/>
  <c r="N739" i="2"/>
  <c r="J740" i="2"/>
  <c r="L740" i="2"/>
  <c r="N740" i="2"/>
  <c r="J741" i="2"/>
  <c r="L741" i="2"/>
  <c r="N741" i="2"/>
  <c r="J742" i="2"/>
  <c r="L742" i="2"/>
  <c r="N742" i="2"/>
  <c r="J743" i="2"/>
  <c r="L743" i="2"/>
  <c r="N743" i="2"/>
  <c r="J744" i="2"/>
  <c r="L744" i="2"/>
  <c r="N744" i="2"/>
  <c r="J745" i="2"/>
  <c r="L745" i="2"/>
  <c r="N745" i="2"/>
  <c r="J746" i="2"/>
  <c r="L746" i="2"/>
  <c r="N746" i="2"/>
  <c r="J747" i="2"/>
  <c r="L747" i="2"/>
  <c r="N747" i="2"/>
  <c r="J748" i="2"/>
  <c r="L748" i="2"/>
  <c r="N748" i="2"/>
  <c r="J749" i="2"/>
  <c r="L749" i="2"/>
  <c r="N749" i="2"/>
  <c r="J750" i="2"/>
  <c r="L750" i="2"/>
  <c r="N750" i="2"/>
  <c r="J751" i="2"/>
  <c r="L751" i="2"/>
  <c r="N751" i="2"/>
  <c r="J752" i="2"/>
  <c r="L752" i="2"/>
  <c r="N752" i="2"/>
  <c r="J753" i="2"/>
  <c r="L753" i="2"/>
  <c r="N753" i="2"/>
  <c r="J754" i="2"/>
  <c r="L754" i="2"/>
  <c r="N754" i="2"/>
  <c r="J755" i="2"/>
  <c r="L755" i="2"/>
  <c r="N755" i="2"/>
  <c r="J756" i="2"/>
  <c r="L756" i="2"/>
  <c r="N756" i="2"/>
  <c r="J757" i="2"/>
  <c r="L757" i="2"/>
  <c r="N757" i="2"/>
  <c r="J758" i="2"/>
  <c r="L758" i="2"/>
  <c r="N758" i="2"/>
  <c r="J759" i="2"/>
  <c r="L759" i="2"/>
  <c r="N759" i="2"/>
  <c r="J760" i="2"/>
  <c r="L760" i="2"/>
  <c r="N760" i="2"/>
  <c r="J761" i="2"/>
  <c r="L761" i="2"/>
  <c r="N761" i="2"/>
  <c r="J762" i="2"/>
  <c r="L762" i="2"/>
  <c r="N762" i="2"/>
  <c r="J763" i="2"/>
  <c r="L763" i="2"/>
  <c r="N763" i="2"/>
  <c r="J764" i="2"/>
  <c r="L764" i="2"/>
  <c r="N764" i="2"/>
  <c r="J765" i="2"/>
  <c r="L765" i="2"/>
  <c r="N765" i="2"/>
  <c r="J766" i="2"/>
  <c r="L766" i="2"/>
  <c r="N766" i="2"/>
  <c r="J767" i="2"/>
  <c r="L767" i="2"/>
  <c r="N767" i="2"/>
  <c r="J768" i="2"/>
  <c r="L768" i="2"/>
  <c r="N768" i="2"/>
  <c r="J769" i="2"/>
  <c r="L769" i="2"/>
  <c r="N769" i="2"/>
  <c r="J770" i="2"/>
  <c r="L770" i="2"/>
  <c r="N770" i="2"/>
  <c r="J771" i="2"/>
  <c r="L771" i="2"/>
  <c r="N771" i="2"/>
  <c r="J772" i="2"/>
  <c r="L772" i="2"/>
  <c r="N772" i="2"/>
  <c r="J773" i="2"/>
  <c r="L773" i="2"/>
  <c r="N773" i="2"/>
  <c r="J774" i="2"/>
  <c r="L774" i="2"/>
  <c r="N774" i="2"/>
  <c r="J775" i="2"/>
  <c r="L775" i="2"/>
  <c r="N775" i="2"/>
  <c r="J776" i="2"/>
  <c r="L776" i="2"/>
  <c r="N776" i="2"/>
  <c r="J777" i="2"/>
  <c r="L777" i="2"/>
  <c r="N777" i="2"/>
  <c r="J778" i="2"/>
  <c r="L778" i="2"/>
  <c r="N778" i="2"/>
  <c r="J779" i="2"/>
  <c r="L779" i="2"/>
  <c r="N779" i="2"/>
  <c r="J780" i="2"/>
  <c r="L780" i="2"/>
  <c r="N780" i="2"/>
  <c r="J781" i="2"/>
  <c r="L781" i="2"/>
  <c r="N781" i="2"/>
  <c r="J782" i="2"/>
  <c r="L782" i="2"/>
  <c r="N782" i="2"/>
  <c r="J783" i="2"/>
  <c r="L783" i="2"/>
  <c r="N783" i="2"/>
  <c r="J784" i="2"/>
  <c r="L784" i="2"/>
  <c r="N784" i="2"/>
  <c r="J785" i="2"/>
  <c r="L785" i="2"/>
  <c r="N785" i="2"/>
  <c r="J786" i="2"/>
  <c r="L786" i="2"/>
  <c r="N786" i="2"/>
  <c r="J787" i="2"/>
  <c r="L787" i="2"/>
  <c r="N787" i="2"/>
  <c r="J788" i="2"/>
  <c r="L788" i="2"/>
  <c r="N788" i="2"/>
  <c r="J789" i="2"/>
  <c r="L789" i="2"/>
  <c r="N789" i="2"/>
  <c r="J790" i="2"/>
  <c r="L790" i="2"/>
  <c r="N790" i="2"/>
  <c r="J791" i="2"/>
  <c r="L791" i="2"/>
  <c r="N791" i="2"/>
  <c r="J792" i="2"/>
  <c r="L792" i="2"/>
  <c r="N792" i="2"/>
  <c r="J793" i="2"/>
  <c r="L793" i="2"/>
  <c r="N793" i="2"/>
  <c r="J794" i="2"/>
  <c r="L794" i="2"/>
  <c r="N794" i="2"/>
  <c r="J795" i="2"/>
  <c r="L795" i="2"/>
  <c r="N795" i="2"/>
  <c r="J796" i="2"/>
  <c r="L796" i="2"/>
  <c r="N796" i="2"/>
  <c r="J797" i="2"/>
  <c r="L797" i="2"/>
  <c r="N797" i="2"/>
  <c r="J798" i="2"/>
  <c r="L798" i="2"/>
  <c r="N798" i="2"/>
  <c r="J799" i="2"/>
  <c r="L799" i="2"/>
  <c r="N799" i="2"/>
  <c r="J800" i="2"/>
  <c r="L800" i="2"/>
  <c r="N800" i="2"/>
  <c r="J801" i="2"/>
  <c r="L801" i="2"/>
  <c r="N801" i="2"/>
  <c r="O801" i="2" s="1"/>
  <c r="J802" i="2"/>
  <c r="L802" i="2"/>
  <c r="N802" i="2"/>
  <c r="J803" i="2"/>
  <c r="L803" i="2"/>
  <c r="N803" i="2"/>
  <c r="J804" i="2"/>
  <c r="L804" i="2"/>
  <c r="N804" i="2"/>
  <c r="J805" i="2"/>
  <c r="L805" i="2"/>
  <c r="N805" i="2"/>
  <c r="J806" i="2"/>
  <c r="L806" i="2"/>
  <c r="N806" i="2"/>
  <c r="J807" i="2"/>
  <c r="L807" i="2"/>
  <c r="N807" i="2"/>
  <c r="J808" i="2"/>
  <c r="L808" i="2"/>
  <c r="N808" i="2"/>
  <c r="J809" i="2"/>
  <c r="L809" i="2"/>
  <c r="N809" i="2"/>
  <c r="J810" i="2"/>
  <c r="L810" i="2"/>
  <c r="N810" i="2"/>
  <c r="J811" i="2"/>
  <c r="L811" i="2"/>
  <c r="N811" i="2"/>
  <c r="J812" i="2"/>
  <c r="L812" i="2"/>
  <c r="N812" i="2"/>
  <c r="J813" i="2"/>
  <c r="L813" i="2"/>
  <c r="N813" i="2"/>
  <c r="J814" i="2"/>
  <c r="L814" i="2"/>
  <c r="N814" i="2"/>
  <c r="J815" i="2"/>
  <c r="L815" i="2"/>
  <c r="N815" i="2"/>
  <c r="J816" i="2"/>
  <c r="L816" i="2"/>
  <c r="N816" i="2"/>
  <c r="J817" i="2"/>
  <c r="L817" i="2"/>
  <c r="N817" i="2"/>
  <c r="J818" i="2"/>
  <c r="L818" i="2"/>
  <c r="N818" i="2"/>
  <c r="J819" i="2"/>
  <c r="L819" i="2"/>
  <c r="N819" i="2"/>
  <c r="J820" i="2"/>
  <c r="L820" i="2"/>
  <c r="N820" i="2"/>
  <c r="J821" i="2"/>
  <c r="L821" i="2"/>
  <c r="N821" i="2"/>
  <c r="J822" i="2"/>
  <c r="L822" i="2"/>
  <c r="N822" i="2"/>
  <c r="J823" i="2"/>
  <c r="L823" i="2"/>
  <c r="N823" i="2"/>
  <c r="J824" i="2"/>
  <c r="L824" i="2"/>
  <c r="N824" i="2"/>
  <c r="J825" i="2"/>
  <c r="L825" i="2"/>
  <c r="N825" i="2"/>
  <c r="J826" i="2"/>
  <c r="L826" i="2"/>
  <c r="N826" i="2"/>
  <c r="J827" i="2"/>
  <c r="L827" i="2"/>
  <c r="N827" i="2"/>
  <c r="J828" i="2"/>
  <c r="L828" i="2"/>
  <c r="N828" i="2"/>
  <c r="J829" i="2"/>
  <c r="L829" i="2"/>
  <c r="N829" i="2"/>
  <c r="J830" i="2"/>
  <c r="L830" i="2"/>
  <c r="N830" i="2"/>
  <c r="J831" i="2"/>
  <c r="L831" i="2"/>
  <c r="N831" i="2"/>
  <c r="J832" i="2"/>
  <c r="L832" i="2"/>
  <c r="N832" i="2"/>
  <c r="J833" i="2"/>
  <c r="L833" i="2"/>
  <c r="N833" i="2"/>
  <c r="J834" i="2"/>
  <c r="L834" i="2"/>
  <c r="N834" i="2"/>
  <c r="J835" i="2"/>
  <c r="L835" i="2"/>
  <c r="N835" i="2"/>
  <c r="J836" i="2"/>
  <c r="L836" i="2"/>
  <c r="N836" i="2"/>
  <c r="J837" i="2"/>
  <c r="L837" i="2"/>
  <c r="N837" i="2"/>
  <c r="J838" i="2"/>
  <c r="L838" i="2"/>
  <c r="N838" i="2"/>
  <c r="J839" i="2"/>
  <c r="L839" i="2"/>
  <c r="N839" i="2"/>
  <c r="J840" i="2"/>
  <c r="L840" i="2"/>
  <c r="N840" i="2"/>
  <c r="J841" i="2"/>
  <c r="L841" i="2"/>
  <c r="N841" i="2"/>
  <c r="J842" i="2"/>
  <c r="L842" i="2"/>
  <c r="N842" i="2"/>
  <c r="J843" i="2"/>
  <c r="L843" i="2"/>
  <c r="N843" i="2"/>
  <c r="J844" i="2"/>
  <c r="L844" i="2"/>
  <c r="N844" i="2"/>
  <c r="J845" i="2"/>
  <c r="L845" i="2"/>
  <c r="N845" i="2"/>
  <c r="J846" i="2"/>
  <c r="L846" i="2"/>
  <c r="N846" i="2"/>
  <c r="J847" i="2"/>
  <c r="L847" i="2"/>
  <c r="N847" i="2"/>
  <c r="J848" i="2"/>
  <c r="L848" i="2"/>
  <c r="N848" i="2"/>
  <c r="J849" i="2"/>
  <c r="L849" i="2"/>
  <c r="N849" i="2"/>
  <c r="J850" i="2"/>
  <c r="L850" i="2"/>
  <c r="N850" i="2"/>
  <c r="J851" i="2"/>
  <c r="L851" i="2"/>
  <c r="N851" i="2"/>
  <c r="J852" i="2"/>
  <c r="L852" i="2"/>
  <c r="N852" i="2"/>
  <c r="J853" i="2"/>
  <c r="L853" i="2"/>
  <c r="N853" i="2"/>
  <c r="J854" i="2"/>
  <c r="L854" i="2"/>
  <c r="N854" i="2"/>
  <c r="J855" i="2"/>
  <c r="L855" i="2"/>
  <c r="N855" i="2"/>
  <c r="J856" i="2"/>
  <c r="L856" i="2"/>
  <c r="N856" i="2"/>
  <c r="J857" i="2"/>
  <c r="L857" i="2"/>
  <c r="N857" i="2"/>
  <c r="J858" i="2"/>
  <c r="L858" i="2"/>
  <c r="N858" i="2"/>
  <c r="J859" i="2"/>
  <c r="L859" i="2"/>
  <c r="N859" i="2"/>
  <c r="J860" i="2"/>
  <c r="L860" i="2"/>
  <c r="N860" i="2"/>
  <c r="J861" i="2"/>
  <c r="L861" i="2"/>
  <c r="N861" i="2"/>
  <c r="J862" i="2"/>
  <c r="L862" i="2"/>
  <c r="N862" i="2"/>
  <c r="J863" i="2"/>
  <c r="L863" i="2"/>
  <c r="N863" i="2"/>
  <c r="J864" i="2"/>
  <c r="L864" i="2"/>
  <c r="N864" i="2"/>
  <c r="J865" i="2"/>
  <c r="L865" i="2"/>
  <c r="N865" i="2"/>
  <c r="J866" i="2"/>
  <c r="L866" i="2"/>
  <c r="N866" i="2"/>
  <c r="J867" i="2"/>
  <c r="L867" i="2"/>
  <c r="N867" i="2"/>
  <c r="J868" i="2"/>
  <c r="L868" i="2"/>
  <c r="N868" i="2"/>
  <c r="J869" i="2"/>
  <c r="L869" i="2"/>
  <c r="N869" i="2"/>
  <c r="J870" i="2"/>
  <c r="L870" i="2"/>
  <c r="N870" i="2"/>
  <c r="J871" i="2"/>
  <c r="L871" i="2"/>
  <c r="N871" i="2"/>
  <c r="J872" i="2"/>
  <c r="L872" i="2"/>
  <c r="N872" i="2"/>
  <c r="J873" i="2"/>
  <c r="L873" i="2"/>
  <c r="N873" i="2"/>
  <c r="J874" i="2"/>
  <c r="L874" i="2"/>
  <c r="N874" i="2"/>
  <c r="J875" i="2"/>
  <c r="L875" i="2"/>
  <c r="N875" i="2"/>
  <c r="J876" i="2"/>
  <c r="L876" i="2"/>
  <c r="N876" i="2"/>
  <c r="J877" i="2"/>
  <c r="L877" i="2"/>
  <c r="N877" i="2"/>
  <c r="J878" i="2"/>
  <c r="L878" i="2"/>
  <c r="N878" i="2"/>
  <c r="J879" i="2"/>
  <c r="L879" i="2"/>
  <c r="N879" i="2"/>
  <c r="J880" i="2"/>
  <c r="L880" i="2"/>
  <c r="N880" i="2"/>
  <c r="J881" i="2"/>
  <c r="L881" i="2"/>
  <c r="N881" i="2"/>
  <c r="J882" i="2"/>
  <c r="L882" i="2"/>
  <c r="N882" i="2"/>
  <c r="J883" i="2"/>
  <c r="L883" i="2"/>
  <c r="N883" i="2"/>
  <c r="J884" i="2"/>
  <c r="L884" i="2"/>
  <c r="N884" i="2"/>
  <c r="J885" i="2"/>
  <c r="L885" i="2"/>
  <c r="N885" i="2"/>
  <c r="J886" i="2"/>
  <c r="L886" i="2"/>
  <c r="N886" i="2"/>
  <c r="J887" i="2"/>
  <c r="L887" i="2"/>
  <c r="N887" i="2"/>
  <c r="J888" i="2"/>
  <c r="L888" i="2"/>
  <c r="N888" i="2"/>
  <c r="J889" i="2"/>
  <c r="L889" i="2"/>
  <c r="N889" i="2"/>
  <c r="J890" i="2"/>
  <c r="L890" i="2"/>
  <c r="N890" i="2"/>
  <c r="J891" i="2"/>
  <c r="L891" i="2"/>
  <c r="N891" i="2"/>
  <c r="J892" i="2"/>
  <c r="L892" i="2"/>
  <c r="N892" i="2"/>
  <c r="J893" i="2"/>
  <c r="L893" i="2"/>
  <c r="N893" i="2"/>
  <c r="J894" i="2"/>
  <c r="L894" i="2"/>
  <c r="N894" i="2"/>
  <c r="J895" i="2"/>
  <c r="L895" i="2"/>
  <c r="N895" i="2"/>
  <c r="J896" i="2"/>
  <c r="L896" i="2"/>
  <c r="N896" i="2"/>
  <c r="J897" i="2"/>
  <c r="L897" i="2"/>
  <c r="N897" i="2"/>
  <c r="J898" i="2"/>
  <c r="L898" i="2"/>
  <c r="N898" i="2"/>
  <c r="O898" i="2" s="1"/>
  <c r="J899" i="2"/>
  <c r="L899" i="2"/>
  <c r="N899" i="2"/>
  <c r="J900" i="2"/>
  <c r="L900" i="2"/>
  <c r="N900" i="2"/>
  <c r="J901" i="2"/>
  <c r="L901" i="2"/>
  <c r="N901" i="2"/>
  <c r="J902" i="2"/>
  <c r="L902" i="2"/>
  <c r="N902" i="2"/>
  <c r="J903" i="2"/>
  <c r="L903" i="2"/>
  <c r="N903" i="2"/>
  <c r="J904" i="2"/>
  <c r="L904" i="2"/>
  <c r="N904" i="2"/>
  <c r="J905" i="2"/>
  <c r="L905" i="2"/>
  <c r="N905" i="2"/>
  <c r="J906" i="2"/>
  <c r="L906" i="2"/>
  <c r="N906" i="2"/>
  <c r="J907" i="2"/>
  <c r="L907" i="2"/>
  <c r="N907" i="2"/>
  <c r="J908" i="2"/>
  <c r="L908" i="2"/>
  <c r="N908" i="2"/>
  <c r="J909" i="2"/>
  <c r="L909" i="2"/>
  <c r="N909" i="2"/>
  <c r="J910" i="2"/>
  <c r="L910" i="2"/>
  <c r="N910" i="2"/>
  <c r="J911" i="2"/>
  <c r="L911" i="2"/>
  <c r="N911" i="2"/>
  <c r="J912" i="2"/>
  <c r="L912" i="2"/>
  <c r="N912" i="2"/>
  <c r="J913" i="2"/>
  <c r="L913" i="2"/>
  <c r="N913" i="2"/>
  <c r="J914" i="2"/>
  <c r="L914" i="2"/>
  <c r="N914" i="2"/>
  <c r="J915" i="2"/>
  <c r="L915" i="2"/>
  <c r="N915" i="2"/>
  <c r="J916" i="2"/>
  <c r="L916" i="2"/>
  <c r="N916" i="2"/>
  <c r="J917" i="2"/>
  <c r="L917" i="2"/>
  <c r="N917" i="2"/>
  <c r="J918" i="2"/>
  <c r="L918" i="2"/>
  <c r="N918" i="2"/>
  <c r="J919" i="2"/>
  <c r="L919" i="2"/>
  <c r="N919" i="2"/>
  <c r="J920" i="2"/>
  <c r="L920" i="2"/>
  <c r="N920" i="2"/>
  <c r="J921" i="2"/>
  <c r="L921" i="2"/>
  <c r="N921" i="2"/>
  <c r="J922" i="2"/>
  <c r="L922" i="2"/>
  <c r="N922" i="2"/>
  <c r="J923" i="2"/>
  <c r="L923" i="2"/>
  <c r="N923" i="2"/>
  <c r="J924" i="2"/>
  <c r="L924" i="2"/>
  <c r="N924" i="2"/>
  <c r="J925" i="2"/>
  <c r="L925" i="2"/>
  <c r="N925" i="2"/>
  <c r="J926" i="2"/>
  <c r="L926" i="2"/>
  <c r="N926" i="2"/>
  <c r="J927" i="2"/>
  <c r="L927" i="2"/>
  <c r="N927" i="2"/>
  <c r="J928" i="2"/>
  <c r="L928" i="2"/>
  <c r="N928" i="2"/>
  <c r="J929" i="2"/>
  <c r="L929" i="2"/>
  <c r="N929" i="2"/>
  <c r="J930" i="2"/>
  <c r="L930" i="2"/>
  <c r="N930" i="2"/>
  <c r="J931" i="2"/>
  <c r="L931" i="2"/>
  <c r="N931" i="2"/>
  <c r="J932" i="2"/>
  <c r="L932" i="2"/>
  <c r="N932" i="2"/>
  <c r="J933" i="2"/>
  <c r="L933" i="2"/>
  <c r="N933" i="2"/>
  <c r="J934" i="2"/>
  <c r="L934" i="2"/>
  <c r="N934" i="2"/>
  <c r="J935" i="2"/>
  <c r="L935" i="2"/>
  <c r="N935" i="2"/>
  <c r="J936" i="2"/>
  <c r="L936" i="2"/>
  <c r="N936" i="2"/>
  <c r="J937" i="2"/>
  <c r="L937" i="2"/>
  <c r="N937" i="2"/>
  <c r="J938" i="2"/>
  <c r="L938" i="2"/>
  <c r="N938" i="2"/>
  <c r="J939" i="2"/>
  <c r="L939" i="2"/>
  <c r="N939" i="2"/>
  <c r="J940" i="2"/>
  <c r="L940" i="2"/>
  <c r="N940" i="2"/>
  <c r="J941" i="2"/>
  <c r="L941" i="2"/>
  <c r="N941" i="2"/>
  <c r="J942" i="2"/>
  <c r="L942" i="2"/>
  <c r="N942" i="2"/>
  <c r="J943" i="2"/>
  <c r="L943" i="2"/>
  <c r="N943" i="2"/>
  <c r="J944" i="2"/>
  <c r="L944" i="2"/>
  <c r="N944" i="2"/>
  <c r="J945" i="2"/>
  <c r="L945" i="2"/>
  <c r="N945" i="2"/>
  <c r="J946" i="2"/>
  <c r="L946" i="2"/>
  <c r="N946" i="2"/>
  <c r="J947" i="2"/>
  <c r="L947" i="2"/>
  <c r="N947" i="2"/>
  <c r="J948" i="2"/>
  <c r="L948" i="2"/>
  <c r="N948" i="2"/>
  <c r="J949" i="2"/>
  <c r="L949" i="2"/>
  <c r="N949" i="2"/>
  <c r="J950" i="2"/>
  <c r="L950" i="2"/>
  <c r="N950" i="2"/>
  <c r="J951" i="2"/>
  <c r="L951" i="2"/>
  <c r="N951" i="2"/>
  <c r="J952" i="2"/>
  <c r="L952" i="2"/>
  <c r="N952" i="2"/>
  <c r="J953" i="2"/>
  <c r="L953" i="2"/>
  <c r="N953" i="2"/>
  <c r="J954" i="2"/>
  <c r="L954" i="2"/>
  <c r="N954" i="2"/>
  <c r="J955" i="2"/>
  <c r="L955" i="2"/>
  <c r="N955" i="2"/>
  <c r="J956" i="2"/>
  <c r="L956" i="2"/>
  <c r="N956" i="2"/>
  <c r="J957" i="2"/>
  <c r="L957" i="2"/>
  <c r="N957" i="2"/>
  <c r="J958" i="2"/>
  <c r="L958" i="2"/>
  <c r="N958" i="2"/>
  <c r="J959" i="2"/>
  <c r="L959" i="2"/>
  <c r="N959" i="2"/>
  <c r="J960" i="2"/>
  <c r="L960" i="2"/>
  <c r="N960" i="2"/>
  <c r="J961" i="2"/>
  <c r="L961" i="2"/>
  <c r="N961" i="2"/>
  <c r="J962" i="2"/>
  <c r="L962" i="2"/>
  <c r="N962" i="2"/>
  <c r="J963" i="2"/>
  <c r="L963" i="2"/>
  <c r="N963" i="2"/>
  <c r="J964" i="2"/>
  <c r="L964" i="2"/>
  <c r="N964" i="2"/>
  <c r="J965" i="2"/>
  <c r="L965" i="2"/>
  <c r="N965" i="2"/>
  <c r="J966" i="2"/>
  <c r="L966" i="2"/>
  <c r="N966" i="2"/>
  <c r="J967" i="2"/>
  <c r="L967" i="2"/>
  <c r="N967" i="2"/>
  <c r="J968" i="2"/>
  <c r="L968" i="2"/>
  <c r="N968" i="2"/>
  <c r="J969" i="2"/>
  <c r="L969" i="2"/>
  <c r="N969" i="2"/>
  <c r="J970" i="2"/>
  <c r="L970" i="2"/>
  <c r="N970" i="2"/>
  <c r="J971" i="2"/>
  <c r="L971" i="2"/>
  <c r="N971" i="2"/>
  <c r="J972" i="2"/>
  <c r="L972" i="2"/>
  <c r="N972" i="2"/>
  <c r="J973" i="2"/>
  <c r="L973" i="2"/>
  <c r="N973" i="2"/>
  <c r="J974" i="2"/>
  <c r="L974" i="2"/>
  <c r="N974" i="2"/>
  <c r="J975" i="2"/>
  <c r="L975" i="2"/>
  <c r="N975" i="2"/>
  <c r="J976" i="2"/>
  <c r="L976" i="2"/>
  <c r="N976" i="2"/>
  <c r="J977" i="2"/>
  <c r="L977" i="2"/>
  <c r="N977" i="2"/>
  <c r="J978" i="2"/>
  <c r="L978" i="2"/>
  <c r="N978" i="2"/>
  <c r="J979" i="2"/>
  <c r="L979" i="2"/>
  <c r="N979" i="2"/>
  <c r="J980" i="2"/>
  <c r="L980" i="2"/>
  <c r="N980" i="2"/>
  <c r="J981" i="2"/>
  <c r="L981" i="2"/>
  <c r="N981" i="2"/>
  <c r="J982" i="2"/>
  <c r="L982" i="2"/>
  <c r="N982" i="2"/>
  <c r="J983" i="2"/>
  <c r="L983" i="2"/>
  <c r="N983" i="2"/>
  <c r="J984" i="2"/>
  <c r="L984" i="2"/>
  <c r="N984" i="2"/>
  <c r="J985" i="2"/>
  <c r="L985" i="2"/>
  <c r="N985" i="2"/>
  <c r="J986" i="2"/>
  <c r="L986" i="2"/>
  <c r="N986" i="2"/>
  <c r="J987" i="2"/>
  <c r="L987" i="2"/>
  <c r="N987" i="2"/>
  <c r="J988" i="2"/>
  <c r="L988" i="2"/>
  <c r="N988" i="2"/>
  <c r="J989" i="2"/>
  <c r="L989" i="2"/>
  <c r="N989" i="2"/>
  <c r="J990" i="2"/>
  <c r="L990" i="2"/>
  <c r="N990" i="2"/>
  <c r="J991" i="2"/>
  <c r="L991" i="2"/>
  <c r="N991" i="2"/>
  <c r="J992" i="2"/>
  <c r="L992" i="2"/>
  <c r="N992" i="2"/>
  <c r="J993" i="2"/>
  <c r="L993" i="2"/>
  <c r="N993" i="2"/>
  <c r="J994" i="2"/>
  <c r="L994" i="2"/>
  <c r="N994" i="2"/>
  <c r="J995" i="2"/>
  <c r="L995" i="2"/>
  <c r="N995" i="2"/>
  <c r="J996" i="2"/>
  <c r="L996" i="2"/>
  <c r="N996" i="2"/>
  <c r="J997" i="2"/>
  <c r="L997" i="2"/>
  <c r="N997" i="2"/>
  <c r="J998" i="2"/>
  <c r="L998" i="2"/>
  <c r="N998" i="2"/>
  <c r="J999" i="2"/>
  <c r="L999" i="2"/>
  <c r="N999" i="2"/>
  <c r="J1000" i="2"/>
  <c r="L1000" i="2"/>
  <c r="N1000" i="2"/>
  <c r="J1001" i="2"/>
  <c r="L1001" i="2"/>
  <c r="N1001" i="2"/>
  <c r="J1002" i="2"/>
  <c r="L1002" i="2"/>
  <c r="N1002" i="2"/>
  <c r="J1003" i="2"/>
  <c r="L1003" i="2"/>
  <c r="N1003" i="2"/>
  <c r="J1004" i="2"/>
  <c r="L1004" i="2"/>
  <c r="N1004" i="2"/>
  <c r="J1005" i="2"/>
  <c r="L1005" i="2"/>
  <c r="N1005" i="2"/>
  <c r="J1006" i="2"/>
  <c r="L1006" i="2"/>
  <c r="N1006" i="2"/>
  <c r="J1007" i="2"/>
  <c r="L1007" i="2"/>
  <c r="N1007" i="2"/>
  <c r="J1008" i="2"/>
  <c r="L1008" i="2"/>
  <c r="N1008" i="2"/>
  <c r="J1009" i="2"/>
  <c r="L1009" i="2"/>
  <c r="N1009" i="2"/>
  <c r="J1010" i="2"/>
  <c r="L1010" i="2"/>
  <c r="N1010" i="2"/>
  <c r="J1011" i="2"/>
  <c r="L1011" i="2"/>
  <c r="N1011" i="2"/>
  <c r="J1012" i="2"/>
  <c r="L1012" i="2"/>
  <c r="N1012" i="2"/>
  <c r="J1013" i="2"/>
  <c r="L1013" i="2"/>
  <c r="N1013" i="2"/>
  <c r="J1014" i="2"/>
  <c r="L1014" i="2"/>
  <c r="N1014" i="2"/>
  <c r="J1015" i="2"/>
  <c r="L1015" i="2"/>
  <c r="N1015" i="2"/>
  <c r="J1016" i="2"/>
  <c r="L1016" i="2"/>
  <c r="N1016" i="2"/>
  <c r="J1017" i="2"/>
  <c r="L1017" i="2"/>
  <c r="N1017" i="2"/>
  <c r="J1018" i="2"/>
  <c r="L1018" i="2"/>
  <c r="N1018" i="2"/>
  <c r="J1019" i="2"/>
  <c r="L1019" i="2"/>
  <c r="N1019" i="2"/>
  <c r="J1020" i="2"/>
  <c r="L1020" i="2"/>
  <c r="N1020" i="2"/>
  <c r="J1021" i="2"/>
  <c r="L1021" i="2"/>
  <c r="N1021" i="2"/>
  <c r="J1022" i="2"/>
  <c r="L1022" i="2"/>
  <c r="N1022" i="2"/>
  <c r="J1023" i="2"/>
  <c r="L1023" i="2"/>
  <c r="N1023" i="2"/>
  <c r="J1024" i="2"/>
  <c r="L1024" i="2"/>
  <c r="N1024" i="2"/>
  <c r="J1025" i="2"/>
  <c r="L1025" i="2"/>
  <c r="N1025" i="2"/>
  <c r="J1026" i="2"/>
  <c r="L1026" i="2"/>
  <c r="N1026" i="2"/>
  <c r="J1027" i="2"/>
  <c r="L1027" i="2"/>
  <c r="N1027" i="2"/>
  <c r="J1028" i="2"/>
  <c r="L1028" i="2"/>
  <c r="N1028" i="2"/>
  <c r="J1029" i="2"/>
  <c r="L1029" i="2"/>
  <c r="N1029" i="2"/>
  <c r="J1030" i="2"/>
  <c r="L1030" i="2"/>
  <c r="N1030" i="2"/>
  <c r="J1031" i="2"/>
  <c r="L1031" i="2"/>
  <c r="N1031" i="2"/>
  <c r="J1032" i="2"/>
  <c r="L1032" i="2"/>
  <c r="N1032" i="2"/>
  <c r="J1033" i="2"/>
  <c r="L1033" i="2"/>
  <c r="N1033" i="2"/>
  <c r="J1034" i="2"/>
  <c r="L1034" i="2"/>
  <c r="N1034" i="2"/>
  <c r="J1035" i="2"/>
  <c r="L1035" i="2"/>
  <c r="N1035" i="2"/>
  <c r="J1036" i="2"/>
  <c r="L1036" i="2"/>
  <c r="N1036" i="2"/>
  <c r="J1037" i="2"/>
  <c r="L1037" i="2"/>
  <c r="N1037" i="2"/>
  <c r="J1038" i="2"/>
  <c r="L1038" i="2"/>
  <c r="N1038" i="2"/>
  <c r="J1039" i="2"/>
  <c r="L1039" i="2"/>
  <c r="N1039" i="2"/>
  <c r="J1040" i="2"/>
  <c r="L1040" i="2"/>
  <c r="N1040" i="2"/>
  <c r="J1041" i="2"/>
  <c r="L1041" i="2"/>
  <c r="N1041" i="2"/>
  <c r="J1042" i="2"/>
  <c r="L1042" i="2"/>
  <c r="N1042" i="2"/>
  <c r="J1043" i="2"/>
  <c r="L1043" i="2"/>
  <c r="N1043" i="2"/>
  <c r="J1044" i="2"/>
  <c r="L1044" i="2"/>
  <c r="N1044" i="2"/>
  <c r="J1045" i="2"/>
  <c r="L1045" i="2"/>
  <c r="N1045" i="2"/>
  <c r="J1046" i="2"/>
  <c r="L1046" i="2"/>
  <c r="N1046" i="2"/>
  <c r="J1047" i="2"/>
  <c r="L1047" i="2"/>
  <c r="N1047" i="2"/>
  <c r="J1048" i="2"/>
  <c r="L1048" i="2"/>
  <c r="N1048" i="2"/>
  <c r="J1049" i="2"/>
  <c r="L1049" i="2"/>
  <c r="N1049" i="2"/>
  <c r="J1050" i="2"/>
  <c r="L1050" i="2"/>
  <c r="N1050" i="2"/>
  <c r="J1051" i="2"/>
  <c r="L1051" i="2"/>
  <c r="N1051" i="2"/>
  <c r="J1052" i="2"/>
  <c r="L1052" i="2"/>
  <c r="N1052" i="2"/>
  <c r="J1053" i="2"/>
  <c r="L1053" i="2"/>
  <c r="N1053" i="2"/>
  <c r="J1054" i="2"/>
  <c r="L1054" i="2"/>
  <c r="N1054" i="2"/>
  <c r="J1055" i="2"/>
  <c r="L1055" i="2"/>
  <c r="N1055" i="2"/>
  <c r="J1056" i="2"/>
  <c r="L1056" i="2"/>
  <c r="N1056" i="2"/>
  <c r="J1057" i="2"/>
  <c r="L1057" i="2"/>
  <c r="N1057" i="2"/>
  <c r="J1058" i="2"/>
  <c r="L1058" i="2"/>
  <c r="N1058" i="2"/>
  <c r="J1059" i="2"/>
  <c r="L1059" i="2"/>
  <c r="N1059" i="2"/>
  <c r="J1060" i="2"/>
  <c r="L1060" i="2"/>
  <c r="N1060" i="2"/>
  <c r="J1061" i="2"/>
  <c r="L1061" i="2"/>
  <c r="N1061" i="2"/>
  <c r="J1062" i="2"/>
  <c r="L1062" i="2"/>
  <c r="N1062" i="2"/>
  <c r="J1063" i="2"/>
  <c r="L1063" i="2"/>
  <c r="N1063" i="2"/>
  <c r="J1064" i="2"/>
  <c r="L1064" i="2"/>
  <c r="N1064" i="2"/>
  <c r="J1065" i="2"/>
  <c r="L1065" i="2"/>
  <c r="N1065" i="2"/>
  <c r="J1066" i="2"/>
  <c r="L1066" i="2"/>
  <c r="N1066" i="2"/>
  <c r="J1067" i="2"/>
  <c r="L1067" i="2"/>
  <c r="N1067" i="2"/>
  <c r="J1068" i="2"/>
  <c r="L1068" i="2"/>
  <c r="N1068" i="2"/>
  <c r="J1069" i="2"/>
  <c r="L1069" i="2"/>
  <c r="N1069" i="2"/>
  <c r="J1070" i="2"/>
  <c r="L1070" i="2"/>
  <c r="N1070" i="2"/>
  <c r="J1071" i="2"/>
  <c r="L1071" i="2"/>
  <c r="N1071" i="2"/>
  <c r="J1072" i="2"/>
  <c r="L1072" i="2"/>
  <c r="N1072" i="2"/>
  <c r="J1073" i="2"/>
  <c r="L1073" i="2"/>
  <c r="N1073" i="2"/>
  <c r="J1074" i="2"/>
  <c r="L1074" i="2"/>
  <c r="N1074" i="2"/>
  <c r="J1075" i="2"/>
  <c r="L1075" i="2"/>
  <c r="N1075" i="2"/>
  <c r="J1076" i="2"/>
  <c r="L1076" i="2"/>
  <c r="N1076" i="2"/>
  <c r="J1077" i="2"/>
  <c r="L1077" i="2"/>
  <c r="N1077" i="2"/>
  <c r="J1078" i="2"/>
  <c r="L1078" i="2"/>
  <c r="N1078" i="2"/>
  <c r="J1079" i="2"/>
  <c r="L1079" i="2"/>
  <c r="N1079" i="2"/>
  <c r="J1080" i="2"/>
  <c r="L1080" i="2"/>
  <c r="N1080" i="2"/>
  <c r="J1081" i="2"/>
  <c r="L1081" i="2"/>
  <c r="N1081" i="2"/>
  <c r="J1082" i="2"/>
  <c r="L1082" i="2"/>
  <c r="N1082" i="2"/>
  <c r="J1083" i="2"/>
  <c r="L1083" i="2"/>
  <c r="N1083" i="2"/>
  <c r="J1084" i="2"/>
  <c r="L1084" i="2"/>
  <c r="N1084" i="2"/>
  <c r="J1085" i="2"/>
  <c r="L1085" i="2"/>
  <c r="N1085" i="2"/>
  <c r="J1086" i="2"/>
  <c r="L1086" i="2"/>
  <c r="N1086" i="2"/>
  <c r="J1087" i="2"/>
  <c r="L1087" i="2"/>
  <c r="N1087" i="2"/>
  <c r="J1088" i="2"/>
  <c r="L1088" i="2"/>
  <c r="N1088" i="2"/>
  <c r="J1089" i="2"/>
  <c r="L1089" i="2"/>
  <c r="N1089" i="2"/>
  <c r="J1090" i="2"/>
  <c r="L1090" i="2"/>
  <c r="N1090" i="2"/>
  <c r="J1091" i="2"/>
  <c r="L1091" i="2"/>
  <c r="N1091" i="2"/>
  <c r="J1092" i="2"/>
  <c r="L1092" i="2"/>
  <c r="N1092" i="2"/>
  <c r="J1093" i="2"/>
  <c r="L1093" i="2"/>
  <c r="N1093" i="2"/>
  <c r="J1094" i="2"/>
  <c r="L1094" i="2"/>
  <c r="N1094" i="2"/>
  <c r="J1095" i="2"/>
  <c r="L1095" i="2"/>
  <c r="N1095" i="2"/>
  <c r="J1096" i="2"/>
  <c r="L1096" i="2"/>
  <c r="N1096" i="2"/>
  <c r="J1097" i="2"/>
  <c r="L1097" i="2"/>
  <c r="N1097" i="2"/>
  <c r="J1098" i="2"/>
  <c r="L1098" i="2"/>
  <c r="N1098" i="2"/>
  <c r="J1099" i="2"/>
  <c r="L1099" i="2"/>
  <c r="N1099" i="2"/>
  <c r="J1100" i="2"/>
  <c r="L1100" i="2"/>
  <c r="N1100" i="2"/>
  <c r="J1101" i="2"/>
  <c r="L1101" i="2"/>
  <c r="N1101" i="2"/>
  <c r="J1102" i="2"/>
  <c r="L1102" i="2"/>
  <c r="N1102" i="2"/>
  <c r="J1103" i="2"/>
  <c r="L1103" i="2"/>
  <c r="N1103" i="2"/>
  <c r="J1104" i="2"/>
  <c r="L1104" i="2"/>
  <c r="N1104" i="2"/>
  <c r="J1105" i="2"/>
  <c r="L1105" i="2"/>
  <c r="N1105" i="2"/>
  <c r="J1106" i="2"/>
  <c r="L1106" i="2"/>
  <c r="N1106" i="2"/>
  <c r="J1107" i="2"/>
  <c r="L1107" i="2"/>
  <c r="N1107" i="2"/>
  <c r="J1108" i="2"/>
  <c r="L1108" i="2"/>
  <c r="N1108" i="2"/>
  <c r="J1109" i="2"/>
  <c r="L1109" i="2"/>
  <c r="N1109" i="2"/>
  <c r="J1110" i="2"/>
  <c r="L1110" i="2"/>
  <c r="N1110" i="2"/>
  <c r="J1111" i="2"/>
  <c r="L1111" i="2"/>
  <c r="N1111" i="2"/>
  <c r="J1112" i="2"/>
  <c r="L1112" i="2"/>
  <c r="N1112" i="2"/>
  <c r="J1113" i="2"/>
  <c r="L1113" i="2"/>
  <c r="N1113" i="2"/>
  <c r="J1114" i="2"/>
  <c r="L1114" i="2"/>
  <c r="N1114" i="2"/>
  <c r="J1115" i="2"/>
  <c r="L1115" i="2"/>
  <c r="N1115" i="2"/>
  <c r="J1116" i="2"/>
  <c r="L1116" i="2"/>
  <c r="N1116" i="2"/>
  <c r="J1117" i="2"/>
  <c r="L1117" i="2"/>
  <c r="N1117" i="2"/>
  <c r="J1118" i="2"/>
  <c r="L1118" i="2"/>
  <c r="N1118" i="2"/>
  <c r="J1119" i="2"/>
  <c r="L1119" i="2"/>
  <c r="N1119" i="2"/>
  <c r="J1120" i="2"/>
  <c r="L1120" i="2"/>
  <c r="N1120" i="2"/>
  <c r="J1121" i="2"/>
  <c r="L1121" i="2"/>
  <c r="N1121" i="2"/>
  <c r="J1122" i="2"/>
  <c r="L1122" i="2"/>
  <c r="N1122" i="2"/>
  <c r="J1123" i="2"/>
  <c r="L1123" i="2"/>
  <c r="N1123" i="2"/>
  <c r="J1124" i="2"/>
  <c r="L1124" i="2"/>
  <c r="N1124" i="2"/>
  <c r="J1125" i="2"/>
  <c r="L1125" i="2"/>
  <c r="N1125" i="2"/>
  <c r="J1126" i="2"/>
  <c r="L1126" i="2"/>
  <c r="N1126" i="2"/>
  <c r="J1127" i="2"/>
  <c r="L1127" i="2"/>
  <c r="N1127" i="2"/>
  <c r="J1128" i="2"/>
  <c r="L1128" i="2"/>
  <c r="N1128" i="2"/>
  <c r="J1129" i="2"/>
  <c r="L1129" i="2"/>
  <c r="N1129" i="2"/>
  <c r="J1130" i="2"/>
  <c r="L1130" i="2"/>
  <c r="N1130" i="2"/>
  <c r="J1131" i="2"/>
  <c r="L1131" i="2"/>
  <c r="N1131" i="2"/>
  <c r="J1132" i="2"/>
  <c r="L1132" i="2"/>
  <c r="N1132" i="2"/>
  <c r="J1133" i="2"/>
  <c r="L1133" i="2"/>
  <c r="N1133" i="2"/>
  <c r="J1134" i="2"/>
  <c r="L1134" i="2"/>
  <c r="N1134" i="2"/>
  <c r="J1135" i="2"/>
  <c r="L1135" i="2"/>
  <c r="N1135" i="2"/>
  <c r="J1136" i="2"/>
  <c r="L1136" i="2"/>
  <c r="N1136" i="2"/>
  <c r="J1137" i="2"/>
  <c r="L1137" i="2"/>
  <c r="N1137" i="2"/>
  <c r="J1138" i="2"/>
  <c r="L1138" i="2"/>
  <c r="N1138" i="2"/>
  <c r="J1139" i="2"/>
  <c r="L1139" i="2"/>
  <c r="N1139" i="2"/>
  <c r="J1140" i="2"/>
  <c r="L1140" i="2"/>
  <c r="N1140" i="2"/>
  <c r="J1141" i="2"/>
  <c r="L1141" i="2"/>
  <c r="N1141" i="2"/>
  <c r="J1142" i="2"/>
  <c r="L1142" i="2"/>
  <c r="N1142" i="2"/>
  <c r="J1143" i="2"/>
  <c r="L1143" i="2"/>
  <c r="N1143" i="2"/>
  <c r="J1144" i="2"/>
  <c r="L1144" i="2"/>
  <c r="N1144" i="2"/>
  <c r="J1145" i="2"/>
  <c r="L1145" i="2"/>
  <c r="N1145" i="2"/>
  <c r="J1146" i="2"/>
  <c r="L1146" i="2"/>
  <c r="N1146" i="2"/>
  <c r="J1147" i="2"/>
  <c r="L1147" i="2"/>
  <c r="N1147" i="2"/>
  <c r="J1148" i="2"/>
  <c r="L1148" i="2"/>
  <c r="N1148" i="2"/>
  <c r="J1149" i="2"/>
  <c r="L1149" i="2"/>
  <c r="N1149" i="2"/>
  <c r="J1150" i="2"/>
  <c r="L1150" i="2"/>
  <c r="N1150" i="2"/>
  <c r="J1151" i="2"/>
  <c r="L1151" i="2"/>
  <c r="N1151" i="2"/>
  <c r="J1152" i="2"/>
  <c r="L1152" i="2"/>
  <c r="N1152" i="2"/>
  <c r="J1153" i="2"/>
  <c r="L1153" i="2"/>
  <c r="N1153" i="2"/>
  <c r="J1154" i="2"/>
  <c r="L1154" i="2"/>
  <c r="N1154" i="2"/>
  <c r="J1155" i="2"/>
  <c r="L1155" i="2"/>
  <c r="N1155" i="2"/>
  <c r="J1156" i="2"/>
  <c r="L1156" i="2"/>
  <c r="N1156" i="2"/>
  <c r="J1157" i="2"/>
  <c r="L1157" i="2"/>
  <c r="N1157" i="2"/>
  <c r="J1158" i="2"/>
  <c r="L1158" i="2"/>
  <c r="N1158" i="2"/>
  <c r="J1159" i="2"/>
  <c r="L1159" i="2"/>
  <c r="N1159" i="2"/>
  <c r="J1160" i="2"/>
  <c r="L1160" i="2"/>
  <c r="N1160" i="2"/>
  <c r="J1161" i="2"/>
  <c r="L1161" i="2"/>
  <c r="N1161" i="2"/>
  <c r="J1162" i="2"/>
  <c r="L1162" i="2"/>
  <c r="N1162" i="2"/>
  <c r="J1163" i="2"/>
  <c r="L1163" i="2"/>
  <c r="N1163" i="2"/>
  <c r="J1164" i="2"/>
  <c r="L1164" i="2"/>
  <c r="N1164" i="2"/>
  <c r="J1165" i="2"/>
  <c r="L1165" i="2"/>
  <c r="N1165" i="2"/>
  <c r="J1166" i="2"/>
  <c r="L1166" i="2"/>
  <c r="N1166" i="2"/>
  <c r="J1167" i="2"/>
  <c r="L1167" i="2"/>
  <c r="N1167" i="2"/>
  <c r="J1168" i="2"/>
  <c r="L1168" i="2"/>
  <c r="N1168" i="2"/>
  <c r="J1169" i="2"/>
  <c r="L1169" i="2"/>
  <c r="N1169" i="2"/>
  <c r="J1170" i="2"/>
  <c r="L1170" i="2"/>
  <c r="N1170" i="2"/>
  <c r="J1171" i="2"/>
  <c r="L1171" i="2"/>
  <c r="N1171" i="2"/>
  <c r="J1172" i="2"/>
  <c r="L1172" i="2"/>
  <c r="N1172" i="2"/>
  <c r="J1173" i="2"/>
  <c r="L1173" i="2"/>
  <c r="N1173" i="2"/>
  <c r="J1174" i="2"/>
  <c r="L1174" i="2"/>
  <c r="N1174" i="2"/>
  <c r="J1175" i="2"/>
  <c r="L1175" i="2"/>
  <c r="N1175" i="2"/>
  <c r="J1176" i="2"/>
  <c r="L1176" i="2"/>
  <c r="N1176" i="2"/>
  <c r="J1177" i="2"/>
  <c r="L1177" i="2"/>
  <c r="N1177" i="2"/>
  <c r="J1178" i="2"/>
  <c r="L1178" i="2"/>
  <c r="N1178" i="2"/>
  <c r="J1179" i="2"/>
  <c r="L1179" i="2"/>
  <c r="N1179" i="2"/>
  <c r="J1180" i="2"/>
  <c r="L1180" i="2"/>
  <c r="N1180" i="2"/>
  <c r="J1181" i="2"/>
  <c r="L1181" i="2"/>
  <c r="N1181" i="2"/>
  <c r="J1182" i="2"/>
  <c r="L1182" i="2"/>
  <c r="N1182" i="2"/>
  <c r="J1183" i="2"/>
  <c r="L1183" i="2"/>
  <c r="N1183" i="2"/>
  <c r="J1184" i="2"/>
  <c r="L1184" i="2"/>
  <c r="N1184" i="2"/>
  <c r="J1185" i="2"/>
  <c r="L1185" i="2"/>
  <c r="N1185" i="2"/>
  <c r="J1186" i="2"/>
  <c r="L1186" i="2"/>
  <c r="N1186" i="2"/>
  <c r="J1187" i="2"/>
  <c r="L1187" i="2"/>
  <c r="N1187" i="2"/>
  <c r="J1188" i="2"/>
  <c r="L1188" i="2"/>
  <c r="N1188" i="2"/>
  <c r="J1189" i="2"/>
  <c r="L1189" i="2"/>
  <c r="N1189" i="2"/>
  <c r="J1190" i="2"/>
  <c r="L1190" i="2"/>
  <c r="N1190" i="2"/>
  <c r="J1191" i="2"/>
  <c r="L1191" i="2"/>
  <c r="N1191" i="2"/>
  <c r="J1192" i="2"/>
  <c r="L1192" i="2"/>
  <c r="N1192" i="2"/>
  <c r="J1193" i="2"/>
  <c r="L1193" i="2"/>
  <c r="N1193" i="2"/>
  <c r="J1194" i="2"/>
  <c r="L1194" i="2"/>
  <c r="N1194" i="2"/>
  <c r="J1195" i="2"/>
  <c r="L1195" i="2"/>
  <c r="N1195" i="2"/>
  <c r="J1196" i="2"/>
  <c r="L1196" i="2"/>
  <c r="N1196" i="2"/>
  <c r="J1197" i="2"/>
  <c r="L1197" i="2"/>
  <c r="N1197" i="2"/>
  <c r="J1198" i="2"/>
  <c r="L1198" i="2"/>
  <c r="N1198" i="2"/>
  <c r="J1199" i="2"/>
  <c r="L1199" i="2"/>
  <c r="N1199" i="2"/>
  <c r="J1200" i="2"/>
  <c r="L1200" i="2"/>
  <c r="N1200" i="2"/>
  <c r="J1201" i="2"/>
  <c r="L1201" i="2"/>
  <c r="N1201" i="2"/>
  <c r="J1202" i="2"/>
  <c r="L1202" i="2"/>
  <c r="N1202" i="2"/>
  <c r="J1203" i="2"/>
  <c r="L1203" i="2"/>
  <c r="N1203" i="2"/>
  <c r="J1204" i="2"/>
  <c r="L1204" i="2"/>
  <c r="N1204" i="2"/>
  <c r="J1205" i="2"/>
  <c r="L1205" i="2"/>
  <c r="N1205" i="2"/>
  <c r="J1206" i="2"/>
  <c r="L1206" i="2"/>
  <c r="N1206" i="2"/>
  <c r="J1207" i="2"/>
  <c r="L1207" i="2"/>
  <c r="N1207" i="2"/>
  <c r="J1208" i="2"/>
  <c r="L1208" i="2"/>
  <c r="N1208" i="2"/>
  <c r="J1209" i="2"/>
  <c r="L1209" i="2"/>
  <c r="N1209" i="2"/>
  <c r="J1210" i="2"/>
  <c r="L1210" i="2"/>
  <c r="N1210" i="2"/>
  <c r="J1211" i="2"/>
  <c r="L1211" i="2"/>
  <c r="N1211" i="2"/>
  <c r="J1212" i="2"/>
  <c r="L1212" i="2"/>
  <c r="N1212" i="2"/>
  <c r="J1213" i="2"/>
  <c r="L1213" i="2"/>
  <c r="N1213" i="2"/>
  <c r="J1214" i="2"/>
  <c r="L1214" i="2"/>
  <c r="N1214" i="2"/>
  <c r="J1215" i="2"/>
  <c r="L1215" i="2"/>
  <c r="N1215" i="2"/>
  <c r="J1216" i="2"/>
  <c r="L1216" i="2"/>
  <c r="N1216" i="2"/>
  <c r="J1217" i="2"/>
  <c r="L1217" i="2"/>
  <c r="N1217" i="2"/>
  <c r="J1218" i="2"/>
  <c r="L1218" i="2"/>
  <c r="N1218" i="2"/>
  <c r="J1219" i="2"/>
  <c r="L1219" i="2"/>
  <c r="N1219" i="2"/>
  <c r="J1220" i="2"/>
  <c r="L1220" i="2"/>
  <c r="N1220" i="2"/>
  <c r="J1221" i="2"/>
  <c r="L1221" i="2"/>
  <c r="N1221" i="2"/>
  <c r="J1222" i="2"/>
  <c r="L1222" i="2"/>
  <c r="N1222" i="2"/>
  <c r="J1223" i="2"/>
  <c r="L1223" i="2"/>
  <c r="N1223" i="2"/>
  <c r="J1224" i="2"/>
  <c r="L1224" i="2"/>
  <c r="N1224" i="2"/>
  <c r="J1225" i="2"/>
  <c r="L1225" i="2"/>
  <c r="N1225" i="2"/>
  <c r="J1226" i="2"/>
  <c r="L1226" i="2"/>
  <c r="N1226" i="2"/>
  <c r="J1227" i="2"/>
  <c r="L1227" i="2"/>
  <c r="N1227" i="2"/>
  <c r="J1228" i="2"/>
  <c r="L1228" i="2"/>
  <c r="N1228" i="2"/>
  <c r="J1229" i="2"/>
  <c r="L1229" i="2"/>
  <c r="N1229" i="2"/>
  <c r="J1230" i="2"/>
  <c r="L1230" i="2"/>
  <c r="N1230" i="2"/>
  <c r="J1231" i="2"/>
  <c r="L1231" i="2"/>
  <c r="N1231" i="2"/>
  <c r="J1232" i="2"/>
  <c r="L1232" i="2"/>
  <c r="N1232" i="2"/>
  <c r="J1233" i="2"/>
  <c r="L1233" i="2"/>
  <c r="N1233" i="2"/>
  <c r="J1234" i="2"/>
  <c r="L1234" i="2"/>
  <c r="N1234" i="2"/>
  <c r="J1235" i="2"/>
  <c r="L1235" i="2"/>
  <c r="N1235" i="2"/>
  <c r="J1236" i="2"/>
  <c r="L1236" i="2"/>
  <c r="N1236" i="2"/>
  <c r="J1237" i="2"/>
  <c r="L1237" i="2"/>
  <c r="N1237" i="2"/>
  <c r="J1238" i="2"/>
  <c r="L1238" i="2"/>
  <c r="N1238" i="2"/>
  <c r="J1239" i="2"/>
  <c r="L1239" i="2"/>
  <c r="N1239" i="2"/>
  <c r="J1240" i="2"/>
  <c r="L1240" i="2"/>
  <c r="N1240" i="2"/>
  <c r="J1241" i="2"/>
  <c r="L1241" i="2"/>
  <c r="N1241" i="2"/>
  <c r="J1242" i="2"/>
  <c r="L1242" i="2"/>
  <c r="N1242" i="2"/>
  <c r="J1243" i="2"/>
  <c r="L1243" i="2"/>
  <c r="N1243" i="2"/>
  <c r="J1244" i="2"/>
  <c r="L1244" i="2"/>
  <c r="N1244" i="2"/>
  <c r="J1245" i="2"/>
  <c r="L1245" i="2"/>
  <c r="N1245" i="2"/>
  <c r="J1246" i="2"/>
  <c r="L1246" i="2"/>
  <c r="N1246" i="2"/>
  <c r="J1247" i="2"/>
  <c r="L1247" i="2"/>
  <c r="N1247" i="2"/>
  <c r="J1248" i="2"/>
  <c r="L1248" i="2"/>
  <c r="N1248" i="2"/>
  <c r="J1249" i="2"/>
  <c r="L1249" i="2"/>
  <c r="N1249" i="2"/>
  <c r="J1250" i="2"/>
  <c r="L1250" i="2"/>
  <c r="N1250" i="2"/>
  <c r="J1251" i="2"/>
  <c r="L1251" i="2"/>
  <c r="N1251" i="2"/>
  <c r="J1252" i="2"/>
  <c r="L1252" i="2"/>
  <c r="N1252" i="2"/>
  <c r="J1253" i="2"/>
  <c r="L1253" i="2"/>
  <c r="N1253" i="2"/>
  <c r="J1254" i="2"/>
  <c r="L1254" i="2"/>
  <c r="N1254" i="2"/>
  <c r="J1255" i="2"/>
  <c r="L1255" i="2"/>
  <c r="N1255" i="2"/>
  <c r="J1256" i="2"/>
  <c r="L1256" i="2"/>
  <c r="N1256" i="2"/>
  <c r="J1257" i="2"/>
  <c r="L1257" i="2"/>
  <c r="N1257" i="2"/>
  <c r="J1258" i="2"/>
  <c r="L1258" i="2"/>
  <c r="N1258" i="2"/>
  <c r="J1259" i="2"/>
  <c r="L1259" i="2"/>
  <c r="N1259" i="2"/>
  <c r="J1260" i="2"/>
  <c r="L1260" i="2"/>
  <c r="N1260" i="2"/>
  <c r="J1261" i="2"/>
  <c r="L1261" i="2"/>
  <c r="N1261" i="2"/>
  <c r="J1262" i="2"/>
  <c r="L1262" i="2"/>
  <c r="N1262" i="2"/>
  <c r="J1263" i="2"/>
  <c r="L1263" i="2"/>
  <c r="N1263" i="2"/>
  <c r="J1264" i="2"/>
  <c r="L1264" i="2"/>
  <c r="N1264" i="2"/>
  <c r="J1265" i="2"/>
  <c r="L1265" i="2"/>
  <c r="N1265" i="2"/>
  <c r="J1266" i="2"/>
  <c r="L1266" i="2"/>
  <c r="N1266" i="2"/>
  <c r="J1267" i="2"/>
  <c r="L1267" i="2"/>
  <c r="N1267" i="2"/>
  <c r="J1268" i="2"/>
  <c r="L1268" i="2"/>
  <c r="N1268" i="2"/>
  <c r="J1269" i="2"/>
  <c r="L1269" i="2"/>
  <c r="N1269" i="2"/>
  <c r="J1270" i="2"/>
  <c r="L1270" i="2"/>
  <c r="N1270" i="2"/>
  <c r="J1271" i="2"/>
  <c r="L1271" i="2"/>
  <c r="N1271" i="2"/>
  <c r="J1272" i="2"/>
  <c r="L1272" i="2"/>
  <c r="N1272" i="2"/>
  <c r="J1273" i="2"/>
  <c r="L1273" i="2"/>
  <c r="N1273" i="2"/>
  <c r="J1274" i="2"/>
  <c r="L1274" i="2"/>
  <c r="N1274" i="2"/>
  <c r="J1275" i="2"/>
  <c r="L1275" i="2"/>
  <c r="N1275" i="2"/>
  <c r="J1276" i="2"/>
  <c r="L1276" i="2"/>
  <c r="N1276" i="2"/>
  <c r="J1277" i="2"/>
  <c r="L1277" i="2"/>
  <c r="N1277" i="2"/>
  <c r="J1278" i="2"/>
  <c r="L1278" i="2"/>
  <c r="N1278" i="2"/>
  <c r="J1279" i="2"/>
  <c r="L1279" i="2"/>
  <c r="N1279" i="2"/>
  <c r="J1280" i="2"/>
  <c r="L1280" i="2"/>
  <c r="N1280" i="2"/>
  <c r="J1281" i="2"/>
  <c r="L1281" i="2"/>
  <c r="N1281" i="2"/>
  <c r="J1282" i="2"/>
  <c r="L1282" i="2"/>
  <c r="N1282" i="2"/>
  <c r="J1283" i="2"/>
  <c r="L1283" i="2"/>
  <c r="N1283" i="2"/>
  <c r="J1284" i="2"/>
  <c r="L1284" i="2"/>
  <c r="N1284" i="2"/>
  <c r="J1285" i="2"/>
  <c r="L1285" i="2"/>
  <c r="N1285" i="2"/>
  <c r="J1286" i="2"/>
  <c r="L1286" i="2"/>
  <c r="N1286" i="2"/>
  <c r="J1287" i="2"/>
  <c r="L1287" i="2"/>
  <c r="N1287" i="2"/>
  <c r="J1288" i="2"/>
  <c r="L1288" i="2"/>
  <c r="N1288" i="2"/>
  <c r="J1289" i="2"/>
  <c r="L1289" i="2"/>
  <c r="N1289" i="2"/>
  <c r="J1290" i="2"/>
  <c r="L1290" i="2"/>
  <c r="N1290" i="2"/>
  <c r="J1291" i="2"/>
  <c r="L1291" i="2"/>
  <c r="N1291" i="2"/>
  <c r="J1292" i="2"/>
  <c r="L1292" i="2"/>
  <c r="N1292" i="2"/>
  <c r="J1293" i="2"/>
  <c r="L1293" i="2"/>
  <c r="N1293" i="2"/>
  <c r="J1294" i="2"/>
  <c r="L1294" i="2"/>
  <c r="N1294" i="2"/>
  <c r="J1295" i="2"/>
  <c r="L1295" i="2"/>
  <c r="N1295" i="2"/>
  <c r="J1296" i="2"/>
  <c r="L1296" i="2"/>
  <c r="N1296" i="2"/>
  <c r="J1297" i="2"/>
  <c r="L1297" i="2"/>
  <c r="N1297" i="2"/>
  <c r="J1298" i="2"/>
  <c r="L1298" i="2"/>
  <c r="N1298" i="2"/>
  <c r="J1299" i="2"/>
  <c r="L1299" i="2"/>
  <c r="N1299" i="2"/>
  <c r="J1300" i="2"/>
  <c r="L1300" i="2"/>
  <c r="N1300" i="2"/>
  <c r="J1301" i="2"/>
  <c r="L1301" i="2"/>
  <c r="N1301" i="2"/>
  <c r="J1302" i="2"/>
  <c r="L1302" i="2"/>
  <c r="N1302" i="2"/>
  <c r="J1303" i="2"/>
  <c r="L1303" i="2"/>
  <c r="N1303" i="2"/>
  <c r="J1304" i="2"/>
  <c r="L1304" i="2"/>
  <c r="N1304" i="2"/>
  <c r="J1305" i="2"/>
  <c r="L1305" i="2"/>
  <c r="N1305" i="2"/>
  <c r="J1306" i="2"/>
  <c r="L1306" i="2"/>
  <c r="N1306" i="2"/>
  <c r="J1307" i="2"/>
  <c r="L1307" i="2"/>
  <c r="N1307" i="2"/>
  <c r="J1308" i="2"/>
  <c r="L1308" i="2"/>
  <c r="N1308" i="2"/>
  <c r="J1309" i="2"/>
  <c r="L1309" i="2"/>
  <c r="N1309" i="2"/>
  <c r="J1310" i="2"/>
  <c r="L1310" i="2"/>
  <c r="N1310" i="2"/>
  <c r="J1311" i="2"/>
  <c r="L1311" i="2"/>
  <c r="N1311" i="2"/>
  <c r="J1312" i="2"/>
  <c r="L1312" i="2"/>
  <c r="N1312" i="2"/>
  <c r="J1313" i="2"/>
  <c r="L1313" i="2"/>
  <c r="N1313" i="2"/>
  <c r="J1314" i="2"/>
  <c r="L1314" i="2"/>
  <c r="N1314" i="2"/>
  <c r="J1315" i="2"/>
  <c r="L1315" i="2"/>
  <c r="N1315" i="2"/>
  <c r="J1316" i="2"/>
  <c r="L1316" i="2"/>
  <c r="N1316" i="2"/>
  <c r="J1317" i="2"/>
  <c r="L1317" i="2"/>
  <c r="N1317" i="2"/>
  <c r="J1318" i="2"/>
  <c r="L1318" i="2"/>
  <c r="N1318" i="2"/>
  <c r="J1319" i="2"/>
  <c r="L1319" i="2"/>
  <c r="N1319" i="2"/>
  <c r="J1320" i="2"/>
  <c r="L1320" i="2"/>
  <c r="N1320" i="2"/>
  <c r="J1321" i="2"/>
  <c r="L1321" i="2"/>
  <c r="N1321" i="2"/>
  <c r="J1322" i="2"/>
  <c r="L1322" i="2"/>
  <c r="N1322" i="2"/>
  <c r="J1323" i="2"/>
  <c r="L1323" i="2"/>
  <c r="N1323" i="2"/>
  <c r="J1324" i="2"/>
  <c r="L1324" i="2"/>
  <c r="N1324" i="2"/>
  <c r="J1325" i="2"/>
  <c r="L1325" i="2"/>
  <c r="N1325" i="2"/>
  <c r="J1326" i="2"/>
  <c r="L1326" i="2"/>
  <c r="N1326" i="2"/>
  <c r="J1327" i="2"/>
  <c r="L1327" i="2"/>
  <c r="N1327" i="2"/>
  <c r="J1328" i="2"/>
  <c r="L1328" i="2"/>
  <c r="N1328" i="2"/>
  <c r="J1329" i="2"/>
  <c r="L1329" i="2"/>
  <c r="N1329" i="2"/>
  <c r="J1330" i="2"/>
  <c r="L1330" i="2"/>
  <c r="N1330" i="2"/>
  <c r="J1331" i="2"/>
  <c r="L1331" i="2"/>
  <c r="N1331" i="2"/>
  <c r="J1332" i="2"/>
  <c r="L1332" i="2"/>
  <c r="N1332" i="2"/>
  <c r="J1333" i="2"/>
  <c r="L1333" i="2"/>
  <c r="N1333" i="2"/>
  <c r="J1334" i="2"/>
  <c r="L1334" i="2"/>
  <c r="N1334" i="2"/>
  <c r="J1335" i="2"/>
  <c r="L1335" i="2"/>
  <c r="N1335" i="2"/>
  <c r="J1336" i="2"/>
  <c r="L1336" i="2"/>
  <c r="N1336" i="2"/>
  <c r="J1337" i="2"/>
  <c r="L1337" i="2"/>
  <c r="N1337" i="2"/>
  <c r="J1338" i="2"/>
  <c r="L1338" i="2"/>
  <c r="N1338" i="2"/>
  <c r="J1339" i="2"/>
  <c r="L1339" i="2"/>
  <c r="N1339" i="2"/>
  <c r="J1340" i="2"/>
  <c r="L1340" i="2"/>
  <c r="N1340" i="2"/>
  <c r="J1341" i="2"/>
  <c r="L1341" i="2"/>
  <c r="N1341" i="2"/>
  <c r="J1342" i="2"/>
  <c r="L1342" i="2"/>
  <c r="N1342" i="2"/>
  <c r="J1343" i="2"/>
  <c r="L1343" i="2"/>
  <c r="N1343" i="2"/>
  <c r="J1344" i="2"/>
  <c r="L1344" i="2"/>
  <c r="N1344" i="2"/>
  <c r="J1345" i="2"/>
  <c r="L1345" i="2"/>
  <c r="N1345" i="2"/>
  <c r="J1346" i="2"/>
  <c r="L1346" i="2"/>
  <c r="N1346" i="2"/>
  <c r="J1347" i="2"/>
  <c r="L1347" i="2"/>
  <c r="N1347" i="2"/>
  <c r="J1348" i="2"/>
  <c r="L1348" i="2"/>
  <c r="N1348" i="2"/>
  <c r="J1349" i="2"/>
  <c r="L1349" i="2"/>
  <c r="N1349" i="2"/>
  <c r="J1350" i="2"/>
  <c r="L1350" i="2"/>
  <c r="N1350" i="2"/>
  <c r="J1351" i="2"/>
  <c r="L1351" i="2"/>
  <c r="N1351" i="2"/>
  <c r="J1352" i="2"/>
  <c r="L1352" i="2"/>
  <c r="N1352" i="2"/>
  <c r="J1353" i="2"/>
  <c r="L1353" i="2"/>
  <c r="N1353" i="2"/>
  <c r="J1354" i="2"/>
  <c r="L1354" i="2"/>
  <c r="N1354" i="2"/>
  <c r="J1355" i="2"/>
  <c r="L1355" i="2"/>
  <c r="N1355" i="2"/>
  <c r="J1356" i="2"/>
  <c r="L1356" i="2"/>
  <c r="N1356" i="2"/>
  <c r="J1357" i="2"/>
  <c r="L1357" i="2"/>
  <c r="N1357" i="2"/>
  <c r="J1358" i="2"/>
  <c r="L1358" i="2"/>
  <c r="N1358" i="2"/>
  <c r="J1359" i="2"/>
  <c r="L1359" i="2"/>
  <c r="N1359" i="2"/>
  <c r="J1360" i="2"/>
  <c r="L1360" i="2"/>
  <c r="N1360" i="2"/>
  <c r="J1361" i="2"/>
  <c r="L1361" i="2"/>
  <c r="N1361" i="2"/>
  <c r="J1362" i="2"/>
  <c r="L1362" i="2"/>
  <c r="N1362" i="2"/>
  <c r="J1363" i="2"/>
  <c r="L1363" i="2"/>
  <c r="N1363" i="2"/>
  <c r="J1364" i="2"/>
  <c r="L1364" i="2"/>
  <c r="N1364" i="2"/>
  <c r="J1365" i="2"/>
  <c r="L1365" i="2"/>
  <c r="N1365" i="2"/>
  <c r="J1366" i="2"/>
  <c r="L1366" i="2"/>
  <c r="N1366" i="2"/>
  <c r="J1367" i="2"/>
  <c r="L1367" i="2"/>
  <c r="N1367" i="2"/>
  <c r="J1368" i="2"/>
  <c r="L1368" i="2"/>
  <c r="N1368" i="2"/>
  <c r="J1369" i="2"/>
  <c r="L1369" i="2"/>
  <c r="N1369" i="2"/>
  <c r="J1370" i="2"/>
  <c r="L1370" i="2"/>
  <c r="N1370" i="2"/>
  <c r="J1371" i="2"/>
  <c r="L1371" i="2"/>
  <c r="N1371" i="2"/>
  <c r="J1372" i="2"/>
  <c r="L1372" i="2"/>
  <c r="N1372" i="2"/>
  <c r="J1373" i="2"/>
  <c r="L1373" i="2"/>
  <c r="N1373" i="2"/>
  <c r="J1374" i="2"/>
  <c r="L1374" i="2"/>
  <c r="N1374" i="2"/>
  <c r="J1375" i="2"/>
  <c r="L1375" i="2"/>
  <c r="N1375" i="2"/>
  <c r="J1376" i="2"/>
  <c r="L1376" i="2"/>
  <c r="N1376" i="2"/>
  <c r="J1377" i="2"/>
  <c r="L1377" i="2"/>
  <c r="N1377" i="2"/>
  <c r="J1378" i="2"/>
  <c r="L1378" i="2"/>
  <c r="N1378" i="2"/>
  <c r="J1379" i="2"/>
  <c r="L1379" i="2"/>
  <c r="N1379" i="2"/>
  <c r="J1380" i="2"/>
  <c r="L1380" i="2"/>
  <c r="N1380" i="2"/>
  <c r="J1381" i="2"/>
  <c r="L1381" i="2"/>
  <c r="N1381" i="2"/>
  <c r="J1382" i="2"/>
  <c r="L1382" i="2"/>
  <c r="N1382" i="2"/>
  <c r="J1383" i="2"/>
  <c r="L1383" i="2"/>
  <c r="N1383" i="2"/>
  <c r="J1384" i="2"/>
  <c r="L1384" i="2"/>
  <c r="N1384" i="2"/>
  <c r="J1385" i="2"/>
  <c r="L1385" i="2"/>
  <c r="N1385" i="2"/>
  <c r="J1386" i="2"/>
  <c r="L1386" i="2"/>
  <c r="N1386" i="2"/>
  <c r="J1387" i="2"/>
  <c r="L1387" i="2"/>
  <c r="N1387" i="2"/>
  <c r="J1388" i="2"/>
  <c r="L1388" i="2"/>
  <c r="N1388" i="2"/>
  <c r="J1389" i="2"/>
  <c r="L1389" i="2"/>
  <c r="N1389" i="2"/>
  <c r="J1390" i="2"/>
  <c r="L1390" i="2"/>
  <c r="N1390" i="2"/>
  <c r="J1391" i="2"/>
  <c r="L1391" i="2"/>
  <c r="N1391" i="2"/>
  <c r="J1392" i="2"/>
  <c r="L1392" i="2"/>
  <c r="N1392" i="2"/>
  <c r="J1393" i="2"/>
  <c r="L1393" i="2"/>
  <c r="N1393" i="2"/>
  <c r="J1394" i="2"/>
  <c r="L1394" i="2"/>
  <c r="N1394" i="2"/>
  <c r="J1395" i="2"/>
  <c r="L1395" i="2"/>
  <c r="N1395" i="2"/>
  <c r="J1396" i="2"/>
  <c r="L1396" i="2"/>
  <c r="N1396" i="2"/>
  <c r="J1397" i="2"/>
  <c r="L1397" i="2"/>
  <c r="N1397" i="2"/>
  <c r="J1398" i="2"/>
  <c r="L1398" i="2"/>
  <c r="N1398" i="2"/>
  <c r="J1399" i="2"/>
  <c r="L1399" i="2"/>
  <c r="N1399" i="2"/>
  <c r="J1400" i="2"/>
  <c r="L1400" i="2"/>
  <c r="N1400" i="2"/>
  <c r="J1401" i="2"/>
  <c r="L1401" i="2"/>
  <c r="N1401" i="2"/>
  <c r="J1402" i="2"/>
  <c r="L1402" i="2"/>
  <c r="N1402" i="2"/>
  <c r="J1403" i="2"/>
  <c r="L1403" i="2"/>
  <c r="N1403" i="2"/>
  <c r="J1404" i="2"/>
  <c r="L1404" i="2"/>
  <c r="N1404" i="2"/>
  <c r="J1405" i="2"/>
  <c r="L1405" i="2"/>
  <c r="N1405" i="2"/>
  <c r="J1406" i="2"/>
  <c r="L1406" i="2"/>
  <c r="N1406" i="2"/>
  <c r="J1407" i="2"/>
  <c r="L1407" i="2"/>
  <c r="N1407" i="2"/>
  <c r="J1408" i="2"/>
  <c r="L1408" i="2"/>
  <c r="N1408" i="2"/>
  <c r="J1409" i="2"/>
  <c r="L1409" i="2"/>
  <c r="N1409" i="2"/>
  <c r="J1410" i="2"/>
  <c r="L1410" i="2"/>
  <c r="N1410" i="2"/>
  <c r="J1411" i="2"/>
  <c r="L1411" i="2"/>
  <c r="N1411" i="2"/>
  <c r="J1412" i="2"/>
  <c r="L1412" i="2"/>
  <c r="N1412" i="2"/>
  <c r="J1413" i="2"/>
  <c r="L1413" i="2"/>
  <c r="N1413" i="2"/>
  <c r="J1414" i="2"/>
  <c r="L1414" i="2"/>
  <c r="N1414" i="2"/>
  <c r="J1415" i="2"/>
  <c r="L1415" i="2"/>
  <c r="N1415" i="2"/>
  <c r="J1416" i="2"/>
  <c r="L1416" i="2"/>
  <c r="N1416" i="2"/>
  <c r="J1417" i="2"/>
  <c r="L1417" i="2"/>
  <c r="N1417" i="2"/>
  <c r="J1418" i="2"/>
  <c r="L1418" i="2"/>
  <c r="N1418" i="2"/>
  <c r="J1419" i="2"/>
  <c r="L1419" i="2"/>
  <c r="N1419" i="2"/>
  <c r="J1420" i="2"/>
  <c r="L1420" i="2"/>
  <c r="N1420" i="2"/>
  <c r="J1421" i="2"/>
  <c r="L1421" i="2"/>
  <c r="N1421" i="2"/>
  <c r="J1422" i="2"/>
  <c r="L1422" i="2"/>
  <c r="N1422" i="2"/>
  <c r="J1423" i="2"/>
  <c r="L1423" i="2"/>
  <c r="N1423" i="2"/>
  <c r="J1424" i="2"/>
  <c r="L1424" i="2"/>
  <c r="N1424" i="2"/>
  <c r="J1425" i="2"/>
  <c r="L1425" i="2"/>
  <c r="N1425" i="2"/>
  <c r="J1426" i="2"/>
  <c r="L1426" i="2"/>
  <c r="N1426" i="2"/>
  <c r="J1427" i="2"/>
  <c r="L1427" i="2"/>
  <c r="N1427" i="2"/>
  <c r="J1428" i="2"/>
  <c r="L1428" i="2"/>
  <c r="N1428" i="2"/>
  <c r="J1429" i="2"/>
  <c r="L1429" i="2"/>
  <c r="N1429" i="2"/>
  <c r="J1430" i="2"/>
  <c r="L1430" i="2"/>
  <c r="N1430" i="2"/>
  <c r="J1431" i="2"/>
  <c r="L1431" i="2"/>
  <c r="N1431" i="2"/>
  <c r="J1432" i="2"/>
  <c r="L1432" i="2"/>
  <c r="N1432" i="2"/>
  <c r="J1433" i="2"/>
  <c r="L1433" i="2"/>
  <c r="N1433" i="2"/>
  <c r="J1434" i="2"/>
  <c r="L1434" i="2"/>
  <c r="N1434" i="2"/>
  <c r="J1435" i="2"/>
  <c r="L1435" i="2"/>
  <c r="N1435" i="2"/>
  <c r="J1436" i="2"/>
  <c r="L1436" i="2"/>
  <c r="N1436" i="2"/>
  <c r="J1437" i="2"/>
  <c r="L1437" i="2"/>
  <c r="N1437" i="2"/>
  <c r="J1438" i="2"/>
  <c r="L1438" i="2"/>
  <c r="N1438" i="2"/>
  <c r="J1439" i="2"/>
  <c r="L1439" i="2"/>
  <c r="N1439" i="2"/>
  <c r="J1440" i="2"/>
  <c r="L1440" i="2"/>
  <c r="N1440" i="2"/>
  <c r="J1441" i="2"/>
  <c r="L1441" i="2"/>
  <c r="N1441" i="2"/>
  <c r="J1442" i="2"/>
  <c r="L1442" i="2"/>
  <c r="N1442" i="2"/>
  <c r="J1443" i="2"/>
  <c r="L1443" i="2"/>
  <c r="N1443" i="2"/>
  <c r="J1444" i="2"/>
  <c r="L1444" i="2"/>
  <c r="N1444" i="2"/>
  <c r="J1445" i="2"/>
  <c r="L1445" i="2"/>
  <c r="N1445" i="2"/>
  <c r="J1446" i="2"/>
  <c r="L1446" i="2"/>
  <c r="N1446" i="2"/>
  <c r="J1447" i="2"/>
  <c r="L1447" i="2"/>
  <c r="N1447" i="2"/>
  <c r="J1448" i="2"/>
  <c r="L1448" i="2"/>
  <c r="N1448" i="2"/>
  <c r="J1449" i="2"/>
  <c r="L1449" i="2"/>
  <c r="N1449" i="2"/>
  <c r="J1450" i="2"/>
  <c r="L1450" i="2"/>
  <c r="N1450" i="2"/>
  <c r="J1451" i="2"/>
  <c r="L1451" i="2"/>
  <c r="N1451" i="2"/>
  <c r="J1452" i="2"/>
  <c r="L1452" i="2"/>
  <c r="N1452" i="2"/>
  <c r="J1453" i="2"/>
  <c r="L1453" i="2"/>
  <c r="N1453" i="2"/>
  <c r="J1454" i="2"/>
  <c r="L1454" i="2"/>
  <c r="N1454" i="2"/>
  <c r="J1455" i="2"/>
  <c r="L1455" i="2"/>
  <c r="N1455" i="2"/>
  <c r="J1456" i="2"/>
  <c r="L1456" i="2"/>
  <c r="N1456" i="2"/>
  <c r="J1457" i="2"/>
  <c r="L1457" i="2"/>
  <c r="N1457" i="2"/>
  <c r="J1458" i="2"/>
  <c r="L1458" i="2"/>
  <c r="N1458" i="2"/>
  <c r="J1459" i="2"/>
  <c r="L1459" i="2"/>
  <c r="N1459" i="2"/>
  <c r="J1460" i="2"/>
  <c r="L1460" i="2"/>
  <c r="N1460" i="2"/>
  <c r="J1461" i="2"/>
  <c r="L1461" i="2"/>
  <c r="N1461" i="2"/>
  <c r="J1462" i="2"/>
  <c r="L1462" i="2"/>
  <c r="N1462" i="2"/>
  <c r="J1463" i="2"/>
  <c r="L1463" i="2"/>
  <c r="N1463" i="2"/>
  <c r="J1464" i="2"/>
  <c r="L1464" i="2"/>
  <c r="N1464" i="2"/>
  <c r="J1465" i="2"/>
  <c r="L1465" i="2"/>
  <c r="N1465" i="2"/>
  <c r="J1466" i="2"/>
  <c r="L1466" i="2"/>
  <c r="N1466" i="2"/>
  <c r="J1467" i="2"/>
  <c r="L1467" i="2"/>
  <c r="N1467" i="2"/>
  <c r="J1468" i="2"/>
  <c r="L1468" i="2"/>
  <c r="N1468" i="2"/>
  <c r="J1469" i="2"/>
  <c r="L1469" i="2"/>
  <c r="N1469" i="2"/>
  <c r="J1470" i="2"/>
  <c r="L1470" i="2"/>
  <c r="N1470" i="2"/>
  <c r="J1471" i="2"/>
  <c r="L1471" i="2"/>
  <c r="N1471" i="2"/>
  <c r="J1472" i="2"/>
  <c r="L1472" i="2"/>
  <c r="N1472" i="2"/>
  <c r="J1473" i="2"/>
  <c r="L1473" i="2"/>
  <c r="N1473" i="2"/>
  <c r="J1474" i="2"/>
  <c r="L1474" i="2"/>
  <c r="N1474" i="2"/>
  <c r="J1475" i="2"/>
  <c r="L1475" i="2"/>
  <c r="N1475" i="2"/>
  <c r="J1476" i="2"/>
  <c r="L1476" i="2"/>
  <c r="N1476" i="2"/>
  <c r="J1477" i="2"/>
  <c r="L1477" i="2"/>
  <c r="N1477" i="2"/>
  <c r="J1478" i="2"/>
  <c r="L1478" i="2"/>
  <c r="N1478" i="2"/>
  <c r="J1479" i="2"/>
  <c r="L1479" i="2"/>
  <c r="N1479" i="2"/>
  <c r="J1480" i="2"/>
  <c r="L1480" i="2"/>
  <c r="N1480" i="2"/>
  <c r="J1481" i="2"/>
  <c r="L1481" i="2"/>
  <c r="N1481" i="2"/>
  <c r="J1482" i="2"/>
  <c r="L1482" i="2"/>
  <c r="N1482" i="2"/>
  <c r="J1483" i="2"/>
  <c r="L1483" i="2"/>
  <c r="N1483" i="2"/>
  <c r="J1484" i="2"/>
  <c r="L1484" i="2"/>
  <c r="N1484" i="2"/>
  <c r="J1485" i="2"/>
  <c r="L1485" i="2"/>
  <c r="N1485" i="2"/>
  <c r="J1486" i="2"/>
  <c r="L1486" i="2"/>
  <c r="N1486" i="2"/>
  <c r="J1487" i="2"/>
  <c r="L1487" i="2"/>
  <c r="N1487" i="2"/>
  <c r="J1488" i="2"/>
  <c r="L1488" i="2"/>
  <c r="N1488" i="2"/>
  <c r="J1489" i="2"/>
  <c r="L1489" i="2"/>
  <c r="N1489" i="2"/>
  <c r="J1490" i="2"/>
  <c r="L1490" i="2"/>
  <c r="N1490" i="2"/>
  <c r="J1491" i="2"/>
  <c r="L1491" i="2"/>
  <c r="N1491" i="2"/>
  <c r="J1492" i="2"/>
  <c r="L1492" i="2"/>
  <c r="N1492" i="2"/>
  <c r="J1493" i="2"/>
  <c r="L1493" i="2"/>
  <c r="N1493" i="2"/>
  <c r="J1494" i="2"/>
  <c r="L1494" i="2"/>
  <c r="N1494" i="2"/>
  <c r="J1495" i="2"/>
  <c r="L1495" i="2"/>
  <c r="N1495" i="2"/>
  <c r="J1496" i="2"/>
  <c r="L1496" i="2"/>
  <c r="N1496" i="2"/>
  <c r="J1497" i="2"/>
  <c r="L1497" i="2"/>
  <c r="N1497" i="2"/>
  <c r="J1498" i="2"/>
  <c r="L1498" i="2"/>
  <c r="N1498" i="2"/>
  <c r="J1499" i="2"/>
  <c r="L1499" i="2"/>
  <c r="N1499" i="2"/>
  <c r="J1500" i="2"/>
  <c r="L1500" i="2"/>
  <c r="N1500" i="2"/>
  <c r="J1501" i="2"/>
  <c r="L1501" i="2"/>
  <c r="N1501" i="2"/>
  <c r="J1502" i="2"/>
  <c r="L1502" i="2"/>
  <c r="N1502" i="2"/>
  <c r="J1503" i="2"/>
  <c r="L1503" i="2"/>
  <c r="N1503" i="2"/>
  <c r="J1504" i="2"/>
  <c r="L1504" i="2"/>
  <c r="N1504" i="2"/>
  <c r="J1505" i="2"/>
  <c r="L1505" i="2"/>
  <c r="N1505" i="2"/>
  <c r="J1506" i="2"/>
  <c r="L1506" i="2"/>
  <c r="N1506" i="2"/>
  <c r="J1507" i="2"/>
  <c r="L1507" i="2"/>
  <c r="N1507" i="2"/>
  <c r="J1508" i="2"/>
  <c r="L1508" i="2"/>
  <c r="N1508" i="2"/>
  <c r="J1509" i="2"/>
  <c r="L1509" i="2"/>
  <c r="N1509" i="2"/>
  <c r="J1510" i="2"/>
  <c r="L1510" i="2"/>
  <c r="N1510" i="2"/>
  <c r="J1511" i="2"/>
  <c r="L1511" i="2"/>
  <c r="N1511" i="2"/>
  <c r="J1512" i="2"/>
  <c r="L1512" i="2"/>
  <c r="N1512" i="2"/>
  <c r="J1513" i="2"/>
  <c r="L1513" i="2"/>
  <c r="N1513" i="2"/>
  <c r="J1514" i="2"/>
  <c r="L1514" i="2"/>
  <c r="N1514" i="2"/>
  <c r="J1515" i="2"/>
  <c r="L1515" i="2"/>
  <c r="N1515" i="2"/>
  <c r="J1516" i="2"/>
  <c r="L1516" i="2"/>
  <c r="N1516" i="2"/>
  <c r="J1517" i="2"/>
  <c r="L1517" i="2"/>
  <c r="N1517" i="2"/>
  <c r="J1518" i="2"/>
  <c r="L1518" i="2"/>
  <c r="N1518" i="2"/>
  <c r="J1519" i="2"/>
  <c r="L1519" i="2"/>
  <c r="N1519" i="2"/>
  <c r="J1520" i="2"/>
  <c r="L1520" i="2"/>
  <c r="N1520" i="2"/>
  <c r="J1521" i="2"/>
  <c r="L1521" i="2"/>
  <c r="N1521" i="2"/>
  <c r="J1522" i="2"/>
  <c r="L1522" i="2"/>
  <c r="N1522" i="2"/>
  <c r="J1523" i="2"/>
  <c r="L1523" i="2"/>
  <c r="N1523" i="2"/>
  <c r="J1524" i="2"/>
  <c r="L1524" i="2"/>
  <c r="N1524" i="2"/>
  <c r="J1525" i="2"/>
  <c r="L1525" i="2"/>
  <c r="N1525" i="2"/>
  <c r="J1526" i="2"/>
  <c r="L1526" i="2"/>
  <c r="N1526" i="2"/>
  <c r="J1527" i="2"/>
  <c r="L1527" i="2"/>
  <c r="N1527" i="2"/>
  <c r="J1528" i="2"/>
  <c r="L1528" i="2"/>
  <c r="N1528" i="2"/>
  <c r="J1529" i="2"/>
  <c r="L1529" i="2"/>
  <c r="N1529" i="2"/>
  <c r="J1530" i="2"/>
  <c r="L1530" i="2"/>
  <c r="N1530" i="2"/>
  <c r="J1531" i="2"/>
  <c r="L1531" i="2"/>
  <c r="N1531" i="2"/>
  <c r="J1532" i="2"/>
  <c r="L1532" i="2"/>
  <c r="N1532" i="2"/>
  <c r="J1533" i="2"/>
  <c r="L1533" i="2"/>
  <c r="N1533" i="2"/>
  <c r="J1534" i="2"/>
  <c r="L1534" i="2"/>
  <c r="N1534" i="2"/>
  <c r="J1535" i="2"/>
  <c r="L1535" i="2"/>
  <c r="N1535" i="2"/>
  <c r="J1536" i="2"/>
  <c r="L1536" i="2"/>
  <c r="N1536" i="2"/>
  <c r="J1537" i="2"/>
  <c r="L1537" i="2"/>
  <c r="N1537" i="2"/>
  <c r="J1538" i="2"/>
  <c r="L1538" i="2"/>
  <c r="N1538" i="2"/>
  <c r="J1539" i="2"/>
  <c r="L1539" i="2"/>
  <c r="N1539" i="2"/>
  <c r="J1540" i="2"/>
  <c r="L1540" i="2"/>
  <c r="N1540" i="2"/>
  <c r="J1541" i="2"/>
  <c r="L1541" i="2"/>
  <c r="N1541" i="2"/>
  <c r="J1542" i="2"/>
  <c r="L1542" i="2"/>
  <c r="N1542" i="2"/>
  <c r="J1543" i="2"/>
  <c r="L1543" i="2"/>
  <c r="N1543" i="2"/>
  <c r="J1544" i="2"/>
  <c r="L1544" i="2"/>
  <c r="N1544" i="2"/>
  <c r="J1545" i="2"/>
  <c r="L1545" i="2"/>
  <c r="N1545" i="2"/>
  <c r="J1546" i="2"/>
  <c r="L1546" i="2"/>
  <c r="N1546" i="2"/>
  <c r="J1547" i="2"/>
  <c r="L1547" i="2"/>
  <c r="N1547" i="2"/>
  <c r="J1548" i="2"/>
  <c r="L1548" i="2"/>
  <c r="N1548" i="2"/>
  <c r="J1549" i="2"/>
  <c r="L1549" i="2"/>
  <c r="N1549" i="2"/>
  <c r="J1550" i="2"/>
  <c r="L1550" i="2"/>
  <c r="N1550" i="2"/>
  <c r="J1551" i="2"/>
  <c r="L1551" i="2"/>
  <c r="N1551" i="2"/>
  <c r="J1552" i="2"/>
  <c r="L1552" i="2"/>
  <c r="N1552" i="2"/>
  <c r="J1553" i="2"/>
  <c r="L1553" i="2"/>
  <c r="N1553" i="2"/>
  <c r="J1554" i="2"/>
  <c r="L1554" i="2"/>
  <c r="N1554" i="2"/>
  <c r="J1555" i="2"/>
  <c r="L1555" i="2"/>
  <c r="N1555" i="2"/>
  <c r="J1556" i="2"/>
  <c r="L1556" i="2"/>
  <c r="N1556" i="2"/>
  <c r="J1557" i="2"/>
  <c r="L1557" i="2"/>
  <c r="N1557" i="2"/>
  <c r="J1558" i="2"/>
  <c r="L1558" i="2"/>
  <c r="N1558" i="2"/>
  <c r="J1559" i="2"/>
  <c r="L1559" i="2"/>
  <c r="N1559" i="2"/>
  <c r="J1560" i="2"/>
  <c r="L1560" i="2"/>
  <c r="N1560" i="2"/>
  <c r="J1561" i="2"/>
  <c r="L1561" i="2"/>
  <c r="N1561" i="2"/>
  <c r="J1562" i="2"/>
  <c r="L1562" i="2"/>
  <c r="N1562" i="2"/>
  <c r="J1563" i="2"/>
  <c r="L1563" i="2"/>
  <c r="N1563" i="2"/>
  <c r="J1564" i="2"/>
  <c r="L1564" i="2"/>
  <c r="N1564" i="2"/>
  <c r="J1565" i="2"/>
  <c r="L1565" i="2"/>
  <c r="N1565" i="2"/>
  <c r="J1566" i="2"/>
  <c r="L1566" i="2"/>
  <c r="N1566" i="2"/>
  <c r="J1567" i="2"/>
  <c r="L1567" i="2"/>
  <c r="N1567" i="2"/>
  <c r="J1568" i="2"/>
  <c r="L1568" i="2"/>
  <c r="N1568" i="2"/>
  <c r="J1569" i="2"/>
  <c r="L1569" i="2"/>
  <c r="N1569" i="2"/>
  <c r="J1570" i="2"/>
  <c r="L1570" i="2"/>
  <c r="N1570" i="2"/>
  <c r="J1571" i="2"/>
  <c r="L1571" i="2"/>
  <c r="N1571" i="2"/>
  <c r="J1572" i="2"/>
  <c r="L1572" i="2"/>
  <c r="N1572" i="2"/>
  <c r="J1573" i="2"/>
  <c r="L1573" i="2"/>
  <c r="N1573" i="2"/>
  <c r="J1574" i="2"/>
  <c r="L1574" i="2"/>
  <c r="N1574" i="2"/>
  <c r="J1575" i="2"/>
  <c r="L1575" i="2"/>
  <c r="N1575" i="2"/>
  <c r="J1576" i="2"/>
  <c r="L1576" i="2"/>
  <c r="N1576" i="2"/>
  <c r="J1577" i="2"/>
  <c r="L1577" i="2"/>
  <c r="N1577" i="2"/>
  <c r="J1578" i="2"/>
  <c r="L1578" i="2"/>
  <c r="N1578" i="2"/>
  <c r="O1578" i="2" s="1"/>
  <c r="J1579" i="2"/>
  <c r="L1579" i="2"/>
  <c r="N1579" i="2"/>
  <c r="J1580" i="2"/>
  <c r="L1580" i="2"/>
  <c r="N1580" i="2"/>
  <c r="J1581" i="2"/>
  <c r="L1581" i="2"/>
  <c r="N1581" i="2"/>
  <c r="J1582" i="2"/>
  <c r="L1582" i="2"/>
  <c r="N1582" i="2"/>
  <c r="O1582" i="2" s="1"/>
  <c r="J1583" i="2"/>
  <c r="L1583" i="2"/>
  <c r="N1583" i="2"/>
  <c r="J1584" i="2"/>
  <c r="L1584" i="2"/>
  <c r="N1584" i="2"/>
  <c r="J1585" i="2"/>
  <c r="L1585" i="2"/>
  <c r="N1585" i="2"/>
  <c r="J1586" i="2"/>
  <c r="L1586" i="2"/>
  <c r="N1586" i="2"/>
  <c r="J1587" i="2"/>
  <c r="L1587" i="2"/>
  <c r="N1587" i="2"/>
  <c r="J1588" i="2"/>
  <c r="L1588" i="2"/>
  <c r="N1588" i="2"/>
  <c r="J1589" i="2"/>
  <c r="L1589" i="2"/>
  <c r="N1589" i="2"/>
  <c r="J1590" i="2"/>
  <c r="L1590" i="2"/>
  <c r="N1590" i="2"/>
  <c r="J1591" i="2"/>
  <c r="L1591" i="2"/>
  <c r="N1591" i="2"/>
  <c r="J1592" i="2"/>
  <c r="L1592" i="2"/>
  <c r="N1592" i="2"/>
  <c r="J1593" i="2"/>
  <c r="L1593" i="2"/>
  <c r="N1593" i="2"/>
  <c r="J1594" i="2"/>
  <c r="L1594" i="2"/>
  <c r="N1594" i="2"/>
  <c r="J1595" i="2"/>
  <c r="L1595" i="2"/>
  <c r="N1595" i="2"/>
  <c r="J1596" i="2"/>
  <c r="L1596" i="2"/>
  <c r="N1596" i="2"/>
  <c r="J1597" i="2"/>
  <c r="L1597" i="2"/>
  <c r="N1597" i="2"/>
  <c r="J1598" i="2"/>
  <c r="L1598" i="2"/>
  <c r="N1598" i="2"/>
  <c r="J1599" i="2"/>
  <c r="L1599" i="2"/>
  <c r="N1599" i="2"/>
  <c r="J1600" i="2"/>
  <c r="L1600" i="2"/>
  <c r="N1600" i="2"/>
  <c r="J1601" i="2"/>
  <c r="L1601" i="2"/>
  <c r="N1601" i="2"/>
  <c r="J1602" i="2"/>
  <c r="L1602" i="2"/>
  <c r="N1602" i="2"/>
  <c r="J1603" i="2"/>
  <c r="L1603" i="2"/>
  <c r="N1603" i="2"/>
  <c r="J1604" i="2"/>
  <c r="L1604" i="2"/>
  <c r="N1604" i="2"/>
  <c r="J1605" i="2"/>
  <c r="L1605" i="2"/>
  <c r="N1605" i="2"/>
  <c r="J1606" i="2"/>
  <c r="L1606" i="2"/>
  <c r="N1606" i="2"/>
  <c r="J1607" i="2"/>
  <c r="L1607" i="2"/>
  <c r="N1607" i="2"/>
  <c r="J1608" i="2"/>
  <c r="L1608" i="2"/>
  <c r="N1608" i="2"/>
  <c r="J1609" i="2"/>
  <c r="L1609" i="2"/>
  <c r="N1609" i="2"/>
  <c r="J1610" i="2"/>
  <c r="L1610" i="2"/>
  <c r="N1610" i="2"/>
  <c r="J1611" i="2"/>
  <c r="L1611" i="2"/>
  <c r="N1611" i="2"/>
  <c r="J1612" i="2"/>
  <c r="L1612" i="2"/>
  <c r="N1612" i="2"/>
  <c r="J1613" i="2"/>
  <c r="L1613" i="2"/>
  <c r="N1613" i="2"/>
  <c r="J1614" i="2"/>
  <c r="L1614" i="2"/>
  <c r="N1614" i="2"/>
  <c r="J1615" i="2"/>
  <c r="L1615" i="2"/>
  <c r="N1615" i="2"/>
  <c r="J1616" i="2"/>
  <c r="L1616" i="2"/>
  <c r="N1616" i="2"/>
  <c r="J1617" i="2"/>
  <c r="L1617" i="2"/>
  <c r="N1617" i="2"/>
  <c r="J1618" i="2"/>
  <c r="L1618" i="2"/>
  <c r="N1618" i="2"/>
  <c r="J1619" i="2"/>
  <c r="L1619" i="2"/>
  <c r="N1619" i="2"/>
  <c r="J1620" i="2"/>
  <c r="L1620" i="2"/>
  <c r="N1620" i="2"/>
  <c r="J1621" i="2"/>
  <c r="L1621" i="2"/>
  <c r="N1621" i="2"/>
  <c r="J1622" i="2"/>
  <c r="L1622" i="2"/>
  <c r="N1622" i="2"/>
  <c r="J1623" i="2"/>
  <c r="L1623" i="2"/>
  <c r="N1623" i="2"/>
  <c r="J1624" i="2"/>
  <c r="L1624" i="2"/>
  <c r="N1624" i="2"/>
  <c r="J1625" i="2"/>
  <c r="L1625" i="2"/>
  <c r="N1625" i="2"/>
  <c r="J1626" i="2"/>
  <c r="L1626" i="2"/>
  <c r="N1626" i="2"/>
  <c r="J1627" i="2"/>
  <c r="L1627" i="2"/>
  <c r="N1627" i="2"/>
  <c r="J1628" i="2"/>
  <c r="L1628" i="2"/>
  <c r="N1628" i="2"/>
  <c r="J1629" i="2"/>
  <c r="L1629" i="2"/>
  <c r="N1629" i="2"/>
  <c r="J1630" i="2"/>
  <c r="L1630" i="2"/>
  <c r="N1630" i="2"/>
  <c r="J1631" i="2"/>
  <c r="L1631" i="2"/>
  <c r="N1631" i="2"/>
  <c r="J1632" i="2"/>
  <c r="L1632" i="2"/>
  <c r="N1632" i="2"/>
  <c r="J1633" i="2"/>
  <c r="L1633" i="2"/>
  <c r="N1633" i="2"/>
  <c r="J1634" i="2"/>
  <c r="L1634" i="2"/>
  <c r="N1634" i="2"/>
  <c r="J1635" i="2"/>
  <c r="L1635" i="2"/>
  <c r="N1635" i="2"/>
  <c r="J1636" i="2"/>
  <c r="L1636" i="2"/>
  <c r="N1636" i="2"/>
  <c r="J1637" i="2"/>
  <c r="L1637" i="2"/>
  <c r="N1637" i="2"/>
  <c r="J1638" i="2"/>
  <c r="L1638" i="2"/>
  <c r="N1638" i="2"/>
  <c r="J1639" i="2"/>
  <c r="L1639" i="2"/>
  <c r="N1639" i="2"/>
  <c r="J1640" i="2"/>
  <c r="L1640" i="2"/>
  <c r="N1640" i="2"/>
  <c r="J1641" i="2"/>
  <c r="L1641" i="2"/>
  <c r="N1641" i="2"/>
  <c r="J1642" i="2"/>
  <c r="L1642" i="2"/>
  <c r="N1642" i="2"/>
  <c r="J1643" i="2"/>
  <c r="L1643" i="2"/>
  <c r="N1643" i="2"/>
  <c r="J1644" i="2"/>
  <c r="L1644" i="2"/>
  <c r="N1644" i="2"/>
  <c r="J1645" i="2"/>
  <c r="L1645" i="2"/>
  <c r="N1645" i="2"/>
  <c r="J1646" i="2"/>
  <c r="L1646" i="2"/>
  <c r="N1646" i="2"/>
  <c r="J1647" i="2"/>
  <c r="L1647" i="2"/>
  <c r="N1647" i="2"/>
  <c r="J1648" i="2"/>
  <c r="L1648" i="2"/>
  <c r="N1648" i="2"/>
  <c r="J1649" i="2"/>
  <c r="L1649" i="2"/>
  <c r="N1649" i="2"/>
  <c r="J1650" i="2"/>
  <c r="L1650" i="2"/>
  <c r="N1650" i="2"/>
  <c r="J1651" i="2"/>
  <c r="L1651" i="2"/>
  <c r="N1651" i="2"/>
  <c r="J1652" i="2"/>
  <c r="L1652" i="2"/>
  <c r="N1652" i="2"/>
  <c r="J1653" i="2"/>
  <c r="L1653" i="2"/>
  <c r="N1653" i="2"/>
  <c r="J1654" i="2"/>
  <c r="L1654" i="2"/>
  <c r="N1654" i="2"/>
  <c r="J1655" i="2"/>
  <c r="L1655" i="2"/>
  <c r="N1655" i="2"/>
  <c r="J1656" i="2"/>
  <c r="L1656" i="2"/>
  <c r="N1656" i="2"/>
  <c r="J1657" i="2"/>
  <c r="L1657" i="2"/>
  <c r="N1657" i="2"/>
  <c r="J1658" i="2"/>
  <c r="L1658" i="2"/>
  <c r="N1658" i="2"/>
  <c r="J1659" i="2"/>
  <c r="L1659" i="2"/>
  <c r="N1659" i="2"/>
  <c r="J1660" i="2"/>
  <c r="L1660" i="2"/>
  <c r="N1660" i="2"/>
  <c r="J1661" i="2"/>
  <c r="L1661" i="2"/>
  <c r="N1661" i="2"/>
  <c r="J1662" i="2"/>
  <c r="L1662" i="2"/>
  <c r="N1662" i="2"/>
  <c r="J1663" i="2"/>
  <c r="L1663" i="2"/>
  <c r="N1663" i="2"/>
  <c r="J1664" i="2"/>
  <c r="L1664" i="2"/>
  <c r="N1664" i="2"/>
  <c r="J1665" i="2"/>
  <c r="L1665" i="2"/>
  <c r="N1665" i="2"/>
  <c r="J1666" i="2"/>
  <c r="L1666" i="2"/>
  <c r="N1666" i="2"/>
  <c r="J1667" i="2"/>
  <c r="L1667" i="2"/>
  <c r="N1667" i="2"/>
  <c r="J1668" i="2"/>
  <c r="L1668" i="2"/>
  <c r="N1668" i="2"/>
  <c r="J1669" i="2"/>
  <c r="L1669" i="2"/>
  <c r="N1669" i="2"/>
  <c r="J1670" i="2"/>
  <c r="L1670" i="2"/>
  <c r="N1670" i="2"/>
  <c r="J1671" i="2"/>
  <c r="L1671" i="2"/>
  <c r="N1671" i="2"/>
  <c r="J1672" i="2"/>
  <c r="L1672" i="2"/>
  <c r="N1672" i="2"/>
  <c r="J1673" i="2"/>
  <c r="L1673" i="2"/>
  <c r="N1673" i="2"/>
  <c r="J1674" i="2"/>
  <c r="L1674" i="2"/>
  <c r="N1674" i="2"/>
  <c r="J1675" i="2"/>
  <c r="L1675" i="2"/>
  <c r="N1675" i="2"/>
  <c r="O1675" i="2" s="1"/>
  <c r="J1676" i="2"/>
  <c r="L1676" i="2"/>
  <c r="N1676" i="2"/>
  <c r="J1677" i="2"/>
  <c r="L1677" i="2"/>
  <c r="N1677" i="2"/>
  <c r="J1678" i="2"/>
  <c r="L1678" i="2"/>
  <c r="N1678" i="2"/>
  <c r="J1679" i="2"/>
  <c r="L1679" i="2"/>
  <c r="N1679" i="2"/>
  <c r="O1679" i="2" s="1"/>
  <c r="J1680" i="2"/>
  <c r="L1680" i="2"/>
  <c r="N1680" i="2"/>
  <c r="J1681" i="2"/>
  <c r="L1681" i="2"/>
  <c r="N1681" i="2"/>
  <c r="J1682" i="2"/>
  <c r="L1682" i="2"/>
  <c r="N1682" i="2"/>
  <c r="J1683" i="2"/>
  <c r="L1683" i="2"/>
  <c r="N1683" i="2"/>
  <c r="J1684" i="2"/>
  <c r="L1684" i="2"/>
  <c r="N1684" i="2"/>
  <c r="J1685" i="2"/>
  <c r="L1685" i="2"/>
  <c r="N1685" i="2"/>
  <c r="J1686" i="2"/>
  <c r="L1686" i="2"/>
  <c r="N1686" i="2"/>
  <c r="J1687" i="2"/>
  <c r="L1687" i="2"/>
  <c r="N1687" i="2"/>
  <c r="J1688" i="2"/>
  <c r="L1688" i="2"/>
  <c r="N1688" i="2"/>
  <c r="O1688" i="2" s="1"/>
  <c r="J1689" i="2"/>
  <c r="L1689" i="2"/>
  <c r="N1689" i="2"/>
  <c r="J1690" i="2"/>
  <c r="L1690" i="2"/>
  <c r="N1690" i="2"/>
  <c r="J1691" i="2"/>
  <c r="L1691" i="2"/>
  <c r="N1691" i="2"/>
  <c r="J1692" i="2"/>
  <c r="L1692" i="2"/>
  <c r="N1692" i="2"/>
  <c r="J1693" i="2"/>
  <c r="L1693" i="2"/>
  <c r="N1693" i="2"/>
  <c r="J1694" i="2"/>
  <c r="L1694" i="2"/>
  <c r="N1694" i="2"/>
  <c r="J1695" i="2"/>
  <c r="L1695" i="2"/>
  <c r="N1695" i="2"/>
  <c r="J1696" i="2"/>
  <c r="L1696" i="2"/>
  <c r="N1696" i="2"/>
  <c r="J1697" i="2"/>
  <c r="L1697" i="2"/>
  <c r="N1697" i="2"/>
  <c r="J1698" i="2"/>
  <c r="L1698" i="2"/>
  <c r="N1698" i="2"/>
  <c r="J1699" i="2"/>
  <c r="L1699" i="2"/>
  <c r="N1699" i="2"/>
  <c r="J1700" i="2"/>
  <c r="L1700" i="2"/>
  <c r="N1700" i="2"/>
  <c r="J1701" i="2"/>
  <c r="L1701" i="2"/>
  <c r="N1701" i="2"/>
  <c r="J1702" i="2"/>
  <c r="L1702" i="2"/>
  <c r="N1702" i="2"/>
  <c r="J1703" i="2"/>
  <c r="L1703" i="2"/>
  <c r="N1703" i="2"/>
  <c r="J1704" i="2"/>
  <c r="L1704" i="2"/>
  <c r="N1704" i="2"/>
  <c r="J1705" i="2"/>
  <c r="L1705" i="2"/>
  <c r="N1705" i="2"/>
  <c r="J1706" i="2"/>
  <c r="L1706" i="2"/>
  <c r="N1706" i="2"/>
  <c r="J1707" i="2"/>
  <c r="L1707" i="2"/>
  <c r="N1707" i="2"/>
  <c r="J1708" i="2"/>
  <c r="L1708" i="2"/>
  <c r="N1708" i="2"/>
  <c r="J1709" i="2"/>
  <c r="L1709" i="2"/>
  <c r="N1709" i="2"/>
  <c r="J1710" i="2"/>
  <c r="L1710" i="2"/>
  <c r="N1710" i="2"/>
  <c r="J1711" i="2"/>
  <c r="L1711" i="2"/>
  <c r="N1711" i="2"/>
  <c r="J1712" i="2"/>
  <c r="L1712" i="2"/>
  <c r="N1712" i="2"/>
  <c r="J1713" i="2"/>
  <c r="L1713" i="2"/>
  <c r="N1713" i="2"/>
  <c r="J1714" i="2"/>
  <c r="L1714" i="2"/>
  <c r="N1714" i="2"/>
  <c r="J1715" i="2"/>
  <c r="L1715" i="2"/>
  <c r="N1715" i="2"/>
  <c r="J1716" i="2"/>
  <c r="L1716" i="2"/>
  <c r="N1716" i="2"/>
  <c r="O1716" i="2" s="1"/>
  <c r="J1717" i="2"/>
  <c r="L1717" i="2"/>
  <c r="N1717" i="2"/>
  <c r="J1718" i="2"/>
  <c r="L1718" i="2"/>
  <c r="N1718" i="2"/>
  <c r="J1719" i="2"/>
  <c r="L1719" i="2"/>
  <c r="N1719" i="2"/>
  <c r="J1720" i="2"/>
  <c r="L1720" i="2"/>
  <c r="N1720" i="2"/>
  <c r="J1721" i="2"/>
  <c r="L1721" i="2"/>
  <c r="N1721" i="2"/>
  <c r="J1722" i="2"/>
  <c r="L1722" i="2"/>
  <c r="N1722" i="2"/>
  <c r="J1723" i="2"/>
  <c r="L1723" i="2"/>
  <c r="N1723" i="2"/>
  <c r="J1724" i="2"/>
  <c r="L1724" i="2"/>
  <c r="N1724" i="2"/>
  <c r="J1725" i="2"/>
  <c r="L1725" i="2"/>
  <c r="N1725" i="2"/>
  <c r="J1726" i="2"/>
  <c r="L1726" i="2"/>
  <c r="N1726" i="2"/>
  <c r="J1727" i="2"/>
  <c r="L1727" i="2"/>
  <c r="N1727" i="2"/>
  <c r="J1728" i="2"/>
  <c r="L1728" i="2"/>
  <c r="N1728" i="2"/>
  <c r="J1729" i="2"/>
  <c r="L1729" i="2"/>
  <c r="N1729" i="2"/>
  <c r="J1730" i="2"/>
  <c r="L1730" i="2"/>
  <c r="N1730" i="2"/>
  <c r="J1731" i="2"/>
  <c r="L1731" i="2"/>
  <c r="N1731" i="2"/>
  <c r="J1732" i="2"/>
  <c r="L1732" i="2"/>
  <c r="N1732" i="2"/>
  <c r="J1733" i="2"/>
  <c r="L1733" i="2"/>
  <c r="N1733" i="2"/>
  <c r="J1734" i="2"/>
  <c r="L1734" i="2"/>
  <c r="N1734" i="2"/>
  <c r="J1735" i="2"/>
  <c r="L1735" i="2"/>
  <c r="N1735" i="2"/>
  <c r="J1736" i="2"/>
  <c r="L1736" i="2"/>
  <c r="N1736" i="2"/>
  <c r="J1737" i="2"/>
  <c r="L1737" i="2"/>
  <c r="N1737" i="2"/>
  <c r="J1738" i="2"/>
  <c r="L1738" i="2"/>
  <c r="N1738" i="2"/>
  <c r="J1739" i="2"/>
  <c r="L1739" i="2"/>
  <c r="N1739" i="2"/>
  <c r="J1740" i="2"/>
  <c r="L1740" i="2"/>
  <c r="N1740" i="2"/>
  <c r="J1741" i="2"/>
  <c r="L1741" i="2"/>
  <c r="N1741" i="2"/>
  <c r="J1742" i="2"/>
  <c r="L1742" i="2"/>
  <c r="N1742" i="2"/>
  <c r="J1743" i="2"/>
  <c r="L1743" i="2"/>
  <c r="N1743" i="2"/>
  <c r="J1744" i="2"/>
  <c r="L1744" i="2"/>
  <c r="N1744" i="2"/>
  <c r="J1745" i="2"/>
  <c r="L1745" i="2"/>
  <c r="N1745" i="2"/>
  <c r="J1746" i="2"/>
  <c r="L1746" i="2"/>
  <c r="N1746" i="2"/>
  <c r="J1747" i="2"/>
  <c r="L1747" i="2"/>
  <c r="N1747" i="2"/>
  <c r="J1748" i="2"/>
  <c r="L1748" i="2"/>
  <c r="N1748" i="2"/>
  <c r="J1749" i="2"/>
  <c r="L1749" i="2"/>
  <c r="N1749" i="2"/>
  <c r="J1750" i="2"/>
  <c r="L1750" i="2"/>
  <c r="N1750" i="2"/>
  <c r="J1751" i="2"/>
  <c r="L1751" i="2"/>
  <c r="N1751" i="2"/>
  <c r="J1752" i="2"/>
  <c r="L1752" i="2"/>
  <c r="N1752" i="2"/>
  <c r="J1753" i="2"/>
  <c r="L1753" i="2"/>
  <c r="N1753" i="2"/>
  <c r="J1754" i="2"/>
  <c r="L1754" i="2"/>
  <c r="N1754" i="2"/>
  <c r="J1755" i="2"/>
  <c r="L1755" i="2"/>
  <c r="N1755" i="2"/>
  <c r="J1756" i="2"/>
  <c r="L1756" i="2"/>
  <c r="N1756" i="2"/>
  <c r="J1757" i="2"/>
  <c r="L1757" i="2"/>
  <c r="N1757" i="2"/>
  <c r="J1758" i="2"/>
  <c r="L1758" i="2"/>
  <c r="N1758" i="2"/>
  <c r="J1759" i="2"/>
  <c r="L1759" i="2"/>
  <c r="N1759" i="2"/>
  <c r="J1760" i="2"/>
  <c r="L1760" i="2"/>
  <c r="N1760" i="2"/>
  <c r="J1761" i="2"/>
  <c r="L1761" i="2"/>
  <c r="N1761" i="2"/>
  <c r="J1762" i="2"/>
  <c r="L1762" i="2"/>
  <c r="N1762" i="2"/>
  <c r="J1763" i="2"/>
  <c r="L1763" i="2"/>
  <c r="N1763" i="2"/>
  <c r="J1764" i="2"/>
  <c r="L1764" i="2"/>
  <c r="N1764" i="2"/>
  <c r="J1765" i="2"/>
  <c r="L1765" i="2"/>
  <c r="N1765" i="2"/>
  <c r="J1766" i="2"/>
  <c r="L1766" i="2"/>
  <c r="N1766" i="2"/>
  <c r="J1767" i="2"/>
  <c r="L1767" i="2"/>
  <c r="N1767" i="2"/>
  <c r="J1768" i="2"/>
  <c r="L1768" i="2"/>
  <c r="N1768" i="2"/>
  <c r="J1769" i="2"/>
  <c r="L1769" i="2"/>
  <c r="N1769" i="2"/>
  <c r="J1770" i="2"/>
  <c r="L1770" i="2"/>
  <c r="N1770" i="2"/>
  <c r="J1771" i="2"/>
  <c r="L1771" i="2"/>
  <c r="N1771" i="2"/>
  <c r="J1772" i="2"/>
  <c r="L1772" i="2"/>
  <c r="N1772" i="2"/>
  <c r="J1773" i="2"/>
  <c r="L1773" i="2"/>
  <c r="N1773" i="2"/>
  <c r="J1774" i="2"/>
  <c r="L1774" i="2"/>
  <c r="N1774" i="2"/>
  <c r="J1775" i="2"/>
  <c r="L1775" i="2"/>
  <c r="N1775" i="2"/>
  <c r="J1776" i="2"/>
  <c r="L1776" i="2"/>
  <c r="N1776" i="2"/>
  <c r="J1777" i="2"/>
  <c r="L1777" i="2"/>
  <c r="N1777" i="2"/>
  <c r="J1778" i="2"/>
  <c r="L1778" i="2"/>
  <c r="N1778" i="2"/>
  <c r="J1779" i="2"/>
  <c r="L1779" i="2"/>
  <c r="N1779" i="2"/>
  <c r="J1780" i="2"/>
  <c r="L1780" i="2"/>
  <c r="N1780" i="2"/>
  <c r="J1781" i="2"/>
  <c r="L1781" i="2"/>
  <c r="N1781" i="2"/>
  <c r="J1782" i="2"/>
  <c r="L1782" i="2"/>
  <c r="N1782" i="2"/>
  <c r="J1783" i="2"/>
  <c r="L1783" i="2"/>
  <c r="N1783" i="2"/>
  <c r="J1784" i="2"/>
  <c r="L1784" i="2"/>
  <c r="N1784" i="2"/>
  <c r="J1785" i="2"/>
  <c r="L1785" i="2"/>
  <c r="N1785" i="2"/>
  <c r="J1786" i="2"/>
  <c r="L1786" i="2"/>
  <c r="N1786" i="2"/>
  <c r="J1787" i="2"/>
  <c r="L1787" i="2"/>
  <c r="N1787" i="2"/>
  <c r="J1788" i="2"/>
  <c r="L1788" i="2"/>
  <c r="N1788" i="2"/>
  <c r="J1789" i="2"/>
  <c r="L1789" i="2"/>
  <c r="N1789" i="2"/>
  <c r="J1790" i="2"/>
  <c r="L1790" i="2"/>
  <c r="N1790" i="2"/>
  <c r="J1791" i="2"/>
  <c r="L1791" i="2"/>
  <c r="N1791" i="2"/>
  <c r="J1792" i="2"/>
  <c r="L1792" i="2"/>
  <c r="N1792" i="2"/>
  <c r="J1793" i="2"/>
  <c r="L1793" i="2"/>
  <c r="N1793" i="2"/>
  <c r="J1794" i="2"/>
  <c r="L1794" i="2"/>
  <c r="N1794" i="2"/>
  <c r="J1795" i="2"/>
  <c r="L1795" i="2"/>
  <c r="N1795" i="2"/>
  <c r="J1796" i="2"/>
  <c r="L1796" i="2"/>
  <c r="N1796" i="2"/>
  <c r="J1797" i="2"/>
  <c r="L1797" i="2"/>
  <c r="N1797" i="2"/>
  <c r="J1798" i="2"/>
  <c r="L1798" i="2"/>
  <c r="N1798" i="2"/>
  <c r="J1799" i="2"/>
  <c r="L1799" i="2"/>
  <c r="N1799" i="2"/>
  <c r="J1800" i="2"/>
  <c r="L1800" i="2"/>
  <c r="N1800" i="2"/>
  <c r="J1801" i="2"/>
  <c r="L1801" i="2"/>
  <c r="N1801" i="2"/>
  <c r="J1802" i="2"/>
  <c r="L1802" i="2"/>
  <c r="N1802" i="2"/>
  <c r="J1803" i="2"/>
  <c r="L1803" i="2"/>
  <c r="N1803" i="2"/>
  <c r="J1804" i="2"/>
  <c r="L1804" i="2"/>
  <c r="N1804" i="2"/>
  <c r="J1805" i="2"/>
  <c r="L1805" i="2"/>
  <c r="N1805" i="2"/>
  <c r="J1806" i="2"/>
  <c r="L1806" i="2"/>
  <c r="N1806" i="2"/>
  <c r="J1807" i="2"/>
  <c r="L1807" i="2"/>
  <c r="N1807" i="2"/>
  <c r="J1808" i="2"/>
  <c r="L1808" i="2"/>
  <c r="N1808" i="2"/>
  <c r="J1809" i="2"/>
  <c r="L1809" i="2"/>
  <c r="N1809" i="2"/>
  <c r="J1810" i="2"/>
  <c r="L1810" i="2"/>
  <c r="N1810" i="2"/>
  <c r="J1811" i="2"/>
  <c r="L1811" i="2"/>
  <c r="N1811" i="2"/>
  <c r="J1812" i="2"/>
  <c r="L1812" i="2"/>
  <c r="N1812" i="2"/>
  <c r="J1813" i="2"/>
  <c r="L1813" i="2"/>
  <c r="N1813" i="2"/>
  <c r="J1814" i="2"/>
  <c r="L1814" i="2"/>
  <c r="N1814" i="2"/>
  <c r="J1815" i="2"/>
  <c r="L1815" i="2"/>
  <c r="N1815" i="2"/>
  <c r="J1816" i="2"/>
  <c r="L1816" i="2"/>
  <c r="N1816" i="2"/>
  <c r="J1817" i="2"/>
  <c r="L1817" i="2"/>
  <c r="N1817" i="2"/>
  <c r="J1818" i="2"/>
  <c r="L1818" i="2"/>
  <c r="N1818" i="2"/>
  <c r="J1819" i="2"/>
  <c r="L1819" i="2"/>
  <c r="N1819" i="2"/>
  <c r="J1820" i="2"/>
  <c r="L1820" i="2"/>
  <c r="N1820" i="2"/>
  <c r="J1821" i="2"/>
  <c r="L1821" i="2"/>
  <c r="N1821" i="2"/>
  <c r="J1822" i="2"/>
  <c r="L1822" i="2"/>
  <c r="N1822" i="2"/>
  <c r="J1823" i="2"/>
  <c r="L1823" i="2"/>
  <c r="N1823" i="2"/>
  <c r="J1824" i="2"/>
  <c r="L1824" i="2"/>
  <c r="N1824" i="2"/>
  <c r="J1825" i="2"/>
  <c r="L1825" i="2"/>
  <c r="N1825" i="2"/>
  <c r="J1826" i="2"/>
  <c r="L1826" i="2"/>
  <c r="N1826" i="2"/>
  <c r="J1827" i="2"/>
  <c r="L1827" i="2"/>
  <c r="N1827" i="2"/>
  <c r="J1828" i="2"/>
  <c r="L1828" i="2"/>
  <c r="N1828" i="2"/>
  <c r="J1829" i="2"/>
  <c r="L1829" i="2"/>
  <c r="N1829" i="2"/>
  <c r="J1830" i="2"/>
  <c r="L1830" i="2"/>
  <c r="N1830" i="2"/>
  <c r="J1831" i="2"/>
  <c r="L1831" i="2"/>
  <c r="N1831" i="2"/>
  <c r="J1832" i="2"/>
  <c r="L1832" i="2"/>
  <c r="N1832" i="2"/>
  <c r="J1833" i="2"/>
  <c r="L1833" i="2"/>
  <c r="N1833" i="2"/>
  <c r="J1834" i="2"/>
  <c r="L1834" i="2"/>
  <c r="N1834" i="2"/>
  <c r="J1835" i="2"/>
  <c r="L1835" i="2"/>
  <c r="N1835" i="2"/>
  <c r="J1836" i="2"/>
  <c r="L1836" i="2"/>
  <c r="N1836" i="2"/>
  <c r="J1837" i="2"/>
  <c r="L1837" i="2"/>
  <c r="N1837" i="2"/>
  <c r="J1838" i="2"/>
  <c r="L1838" i="2"/>
  <c r="N1838" i="2"/>
  <c r="J1839" i="2"/>
  <c r="L1839" i="2"/>
  <c r="N1839" i="2"/>
  <c r="J1840" i="2"/>
  <c r="L1840" i="2"/>
  <c r="N1840" i="2"/>
  <c r="J1841" i="2"/>
  <c r="L1841" i="2"/>
  <c r="N1841" i="2"/>
  <c r="J1842" i="2"/>
  <c r="L1842" i="2"/>
  <c r="N1842" i="2"/>
  <c r="J1843" i="2"/>
  <c r="L1843" i="2"/>
  <c r="N1843" i="2"/>
  <c r="J1844" i="2"/>
  <c r="L1844" i="2"/>
  <c r="N1844" i="2"/>
  <c r="J1845" i="2"/>
  <c r="L1845" i="2"/>
  <c r="N1845" i="2"/>
  <c r="O93" i="2" l="1"/>
  <c r="O96" i="2"/>
  <c r="O105" i="2"/>
  <c r="O117" i="2"/>
  <c r="O131" i="2"/>
  <c r="O135" i="2"/>
  <c r="O145" i="2"/>
  <c r="O151" i="2"/>
  <c r="O156" i="2"/>
  <c r="O176" i="2"/>
  <c r="O185" i="2"/>
  <c r="O210" i="2"/>
  <c r="O211" i="2"/>
  <c r="O293" i="2"/>
  <c r="O307" i="2"/>
  <c r="O329" i="2"/>
  <c r="O336" i="2"/>
  <c r="O345" i="2"/>
  <c r="O809" i="2"/>
  <c r="O848" i="2"/>
  <c r="O861" i="2"/>
  <c r="O902" i="2"/>
  <c r="O238" i="2"/>
  <c r="O247" i="2"/>
  <c r="O261" i="2"/>
  <c r="O275" i="2"/>
  <c r="O279" i="2"/>
  <c r="O283" i="2"/>
  <c r="O284" i="2"/>
  <c r="O306" i="2"/>
  <c r="O350" i="2"/>
  <c r="O368" i="2"/>
  <c r="O376" i="2"/>
  <c r="O763" i="2"/>
  <c r="O773" i="2"/>
  <c r="O776" i="2"/>
  <c r="O783" i="2"/>
  <c r="O799" i="2"/>
  <c r="O917" i="2"/>
  <c r="O930" i="2"/>
  <c r="O382" i="2"/>
  <c r="O391" i="2"/>
  <c r="O395" i="2"/>
  <c r="O398" i="2"/>
  <c r="O400" i="2"/>
  <c r="O404" i="2"/>
  <c r="O408" i="2"/>
  <c r="O413" i="2"/>
  <c r="O422" i="2"/>
  <c r="O447" i="2"/>
  <c r="O460" i="2"/>
  <c r="O465" i="2"/>
  <c r="O479" i="2"/>
  <c r="O488" i="2"/>
  <c r="O492" i="2"/>
  <c r="O493" i="2"/>
  <c r="O497" i="2"/>
  <c r="O501" i="2"/>
  <c r="O515" i="2"/>
  <c r="O519" i="2"/>
  <c r="O522" i="2"/>
  <c r="O527" i="2"/>
  <c r="O528" i="2"/>
  <c r="O531" i="2"/>
  <c r="O532" i="2"/>
  <c r="O533" i="2"/>
  <c r="O541" i="2"/>
  <c r="O545" i="2"/>
  <c r="O549" i="2"/>
  <c r="O550" i="2"/>
  <c r="O554" i="2"/>
  <c r="O558" i="2"/>
  <c r="O559" i="2"/>
  <c r="O562" i="2"/>
  <c r="O563" i="2"/>
  <c r="O572" i="2"/>
  <c r="O576" i="2"/>
  <c r="O581" i="2"/>
  <c r="O584" i="2"/>
  <c r="O585" i="2"/>
  <c r="O597" i="2"/>
  <c r="O598" i="2"/>
  <c r="O602" i="2"/>
  <c r="O605" i="2"/>
  <c r="O613" i="2"/>
  <c r="O618" i="2"/>
  <c r="O624" i="2"/>
  <c r="O628" i="2"/>
  <c r="O633" i="2"/>
  <c r="O637" i="2"/>
  <c r="O650" i="2"/>
  <c r="O717" i="2"/>
  <c r="O726" i="2"/>
  <c r="O730" i="2"/>
  <c r="O740" i="2"/>
  <c r="O782" i="2"/>
  <c r="O794" i="2"/>
  <c r="O825" i="2"/>
  <c r="O836" i="2"/>
  <c r="O894" i="2"/>
  <c r="O911" i="2"/>
  <c r="O912" i="2"/>
  <c r="O924" i="2"/>
  <c r="O929" i="2"/>
  <c r="O644" i="2"/>
  <c r="O661" i="2"/>
  <c r="O694" i="2"/>
  <c r="O703" i="2"/>
  <c r="O721" i="2"/>
  <c r="O767" i="2"/>
  <c r="O777" i="2"/>
  <c r="O800" i="2"/>
  <c r="O803" i="2"/>
  <c r="O813" i="2"/>
  <c r="O839" i="2"/>
  <c r="O876" i="2"/>
  <c r="O680" i="2"/>
  <c r="O684" i="2"/>
  <c r="O722" i="2"/>
  <c r="O744" i="2"/>
  <c r="O759" i="2"/>
  <c r="O791" i="2"/>
  <c r="O795" i="2"/>
  <c r="O814" i="2"/>
  <c r="O827" i="2"/>
  <c r="O870" i="2"/>
  <c r="O933" i="2"/>
  <c r="O939" i="2"/>
  <c r="O943" i="2"/>
  <c r="O948" i="2"/>
  <c r="O957" i="2"/>
  <c r="O960" i="2"/>
  <c r="O965" i="2"/>
  <c r="O972" i="2"/>
  <c r="O974" i="2"/>
  <c r="O981" i="2"/>
  <c r="O983" i="2"/>
  <c r="O987" i="2"/>
  <c r="O990" i="2"/>
  <c r="O992" i="2"/>
  <c r="O1003" i="2"/>
  <c r="O1005" i="2"/>
  <c r="O1012" i="2"/>
  <c r="O1014" i="2"/>
  <c r="O1021" i="2"/>
  <c r="O1023" i="2"/>
  <c r="O1025" i="2"/>
  <c r="O1030" i="2"/>
  <c r="O1031" i="2"/>
  <c r="O1034" i="2"/>
  <c r="O1039" i="2"/>
  <c r="O1043" i="2"/>
  <c r="O1044" i="2"/>
  <c r="O1048" i="2"/>
  <c r="O1051" i="2"/>
  <c r="O1052" i="2"/>
  <c r="O1055" i="2"/>
  <c r="O1057" i="2"/>
  <c r="O1060" i="2"/>
  <c r="O1065" i="2"/>
  <c r="O1066" i="2"/>
  <c r="O1069" i="2"/>
  <c r="O1070" i="2"/>
  <c r="O1074" i="2"/>
  <c r="O1075" i="2"/>
  <c r="O1077" i="2"/>
  <c r="O1078" i="2"/>
  <c r="P1078" i="2" s="1" a="1"/>
  <c r="P1078" i="2" s="1"/>
  <c r="O1079" i="2"/>
  <c r="O1087" i="2"/>
  <c r="O1088" i="2"/>
  <c r="O1092" i="2"/>
  <c r="O1099" i="2"/>
  <c r="O1100" i="2"/>
  <c r="O1101" i="2"/>
  <c r="O1104" i="2"/>
  <c r="O1105" i="2"/>
  <c r="O1109" i="2"/>
  <c r="O1110" i="2"/>
  <c r="O1113" i="2"/>
  <c r="O1114" i="2"/>
  <c r="O1115" i="2"/>
  <c r="O1118" i="2"/>
  <c r="O1119" i="2"/>
  <c r="O1123" i="2"/>
  <c r="O1131" i="2"/>
  <c r="O1134" i="2"/>
  <c r="O1142" i="2"/>
  <c r="O1144" i="2"/>
  <c r="O1148" i="2"/>
  <c r="O1151" i="2"/>
  <c r="O1155" i="2"/>
  <c r="O1157" i="2"/>
  <c r="O1164" i="2"/>
  <c r="O1173" i="2"/>
  <c r="O1175" i="2"/>
  <c r="O1178" i="2"/>
  <c r="O1182" i="2"/>
  <c r="O1184" i="2"/>
  <c r="O1186" i="2"/>
  <c r="O1187" i="2"/>
  <c r="O1189" i="2"/>
  <c r="O1191" i="2"/>
  <c r="O1192" i="2"/>
  <c r="O1454" i="2"/>
  <c r="O1458" i="2"/>
  <c r="O1585" i="2"/>
  <c r="O1587" i="2"/>
  <c r="O1588" i="2"/>
  <c r="O1681" i="2"/>
  <c r="O1693" i="2"/>
  <c r="O1696" i="2"/>
  <c r="O2" i="2"/>
  <c r="O1203" i="2"/>
  <c r="O1204" i="2"/>
  <c r="O1207" i="2"/>
  <c r="O1211" i="2"/>
  <c r="O1216" i="2"/>
  <c r="O1225" i="2"/>
  <c r="O1236" i="2"/>
  <c r="O1239" i="2"/>
  <c r="O1240" i="2"/>
  <c r="O1243" i="2"/>
  <c r="O1244" i="2"/>
  <c r="O1249" i="2"/>
  <c r="O1251" i="2"/>
  <c r="O1255" i="2"/>
  <c r="O1257" i="2"/>
  <c r="O1259" i="2"/>
  <c r="O1260" i="2"/>
  <c r="O1263" i="2"/>
  <c r="O1264" i="2"/>
  <c r="O1267" i="2"/>
  <c r="O1271" i="2"/>
  <c r="O1275" i="2"/>
  <c r="O1277" i="2"/>
  <c r="O1281" i="2"/>
  <c r="O1283" i="2"/>
  <c r="O1284" i="2"/>
  <c r="O1285" i="2"/>
  <c r="O1286" i="2"/>
  <c r="O1293" i="2"/>
  <c r="O1294" i="2"/>
  <c r="O1298" i="2"/>
  <c r="O1302" i="2"/>
  <c r="O1303" i="2"/>
  <c r="O1305" i="2"/>
  <c r="O1307" i="2"/>
  <c r="O1311" i="2"/>
  <c r="O1312" i="2"/>
  <c r="O1314" i="2"/>
  <c r="O1318" i="2"/>
  <c r="O1320" i="2"/>
  <c r="O1323" i="2"/>
  <c r="O1325" i="2"/>
  <c r="O1583" i="2"/>
  <c r="O1683" i="2"/>
  <c r="O1711" i="2"/>
  <c r="O1714" i="2"/>
  <c r="O1331" i="2"/>
  <c r="O1336" i="2"/>
  <c r="O1338" i="2"/>
  <c r="O1345" i="2"/>
  <c r="O1346" i="2"/>
  <c r="O1349" i="2"/>
  <c r="O1353" i="2"/>
  <c r="O1355" i="2"/>
  <c r="O1360" i="2"/>
  <c r="O1362" i="2"/>
  <c r="O1368" i="2"/>
  <c r="O1371" i="2"/>
  <c r="O1373" i="2"/>
  <c r="O1377" i="2"/>
  <c r="O1380" i="2"/>
  <c r="O1381" i="2"/>
  <c r="O1386" i="2"/>
  <c r="O1390" i="2"/>
  <c r="O1395" i="2"/>
  <c r="O1399" i="2"/>
  <c r="O1403" i="2"/>
  <c r="O1412" i="2"/>
  <c r="O1415" i="2"/>
  <c r="O1417" i="2"/>
  <c r="O1419" i="2"/>
  <c r="O1420" i="2"/>
  <c r="O1424" i="2"/>
  <c r="O1425" i="2"/>
  <c r="O1427" i="2"/>
  <c r="O1429" i="2"/>
  <c r="O1431" i="2"/>
  <c r="O1432" i="2"/>
  <c r="O1436" i="2"/>
  <c r="O1437" i="2"/>
  <c r="O1440" i="2"/>
  <c r="P1440" i="2" s="1" a="1"/>
  <c r="P1440" i="2" s="1"/>
  <c r="O1441" i="2"/>
  <c r="O1444" i="2"/>
  <c r="O1445" i="2"/>
  <c r="O1446" i="2"/>
  <c r="O1448" i="2"/>
  <c r="O1449" i="2"/>
  <c r="O1450" i="2"/>
  <c r="O1457" i="2"/>
  <c r="O1684" i="2"/>
  <c r="O1701" i="2"/>
  <c r="O1710" i="2"/>
  <c r="O1459" i="2"/>
  <c r="O1463" i="2"/>
  <c r="O1464" i="2"/>
  <c r="O1465" i="2"/>
  <c r="O1467" i="2"/>
  <c r="O1475" i="2"/>
  <c r="O1477" i="2"/>
  <c r="O1481" i="2"/>
  <c r="O1484" i="2"/>
  <c r="O1486" i="2"/>
  <c r="O1490" i="2"/>
  <c r="O1499" i="2"/>
  <c r="O1501" i="2"/>
  <c r="O1504" i="2"/>
  <c r="O1507" i="2"/>
  <c r="O1508" i="2"/>
  <c r="O1512" i="2"/>
  <c r="O1513" i="2"/>
  <c r="O1517" i="2"/>
  <c r="O1519" i="2"/>
  <c r="O1521" i="2"/>
  <c r="O1524" i="2"/>
  <c r="O1525" i="2"/>
  <c r="O1529" i="2"/>
  <c r="O1538" i="2"/>
  <c r="O1541" i="2"/>
  <c r="O1542" i="2"/>
  <c r="O1546" i="2"/>
  <c r="O1547" i="2"/>
  <c r="O1551" i="2"/>
  <c r="O1552" i="2"/>
  <c r="O1555" i="2"/>
  <c r="O1556" i="2"/>
  <c r="O1564" i="2"/>
  <c r="O1573" i="2"/>
  <c r="O1692" i="2"/>
  <c r="O1706" i="2"/>
  <c r="O1715" i="2"/>
  <c r="O1594" i="2"/>
  <c r="O1596" i="2"/>
  <c r="O1598" i="2"/>
  <c r="O1599" i="2"/>
  <c r="O1600" i="2"/>
  <c r="O1602" i="2"/>
  <c r="O1607" i="2"/>
  <c r="O1610" i="2"/>
  <c r="O1613" i="2"/>
  <c r="O1619" i="2"/>
  <c r="O1620" i="2"/>
  <c r="O1621" i="2"/>
  <c r="O1623" i="2"/>
  <c r="O1628" i="2"/>
  <c r="O1629" i="2"/>
  <c r="O1631" i="2"/>
  <c r="O1632" i="2"/>
  <c r="O1633" i="2"/>
  <c r="O1637" i="2"/>
  <c r="O1640" i="2"/>
  <c r="O1644" i="2"/>
  <c r="O1646" i="2"/>
  <c r="O1649" i="2"/>
  <c r="O1651" i="2"/>
  <c r="O1654" i="2"/>
  <c r="O1655" i="2"/>
  <c r="O1658" i="2"/>
  <c r="O1663" i="2"/>
  <c r="O1664" i="2"/>
  <c r="O1669" i="2"/>
  <c r="O1672" i="2"/>
  <c r="O1702" i="2"/>
  <c r="O1705" i="2"/>
  <c r="O1719" i="2"/>
  <c r="O1720" i="2"/>
  <c r="O1723" i="2"/>
  <c r="O1725" i="2"/>
  <c r="O1728" i="2"/>
  <c r="O1729" i="2"/>
  <c r="O1732" i="2"/>
  <c r="O1736" i="2"/>
  <c r="O1737" i="2"/>
  <c r="O1739" i="2"/>
  <c r="O1741" i="2"/>
  <c r="O1745" i="2"/>
  <c r="O1748" i="2"/>
  <c r="O1749" i="2"/>
  <c r="O1754" i="2"/>
  <c r="O1758" i="2"/>
  <c r="O1761" i="2"/>
  <c r="O1762" i="2"/>
  <c r="O1766" i="2"/>
  <c r="O1767" i="2"/>
  <c r="O1777" i="2"/>
  <c r="O1778" i="2"/>
  <c r="O1783" i="2"/>
  <c r="O1788" i="2"/>
  <c r="O1789" i="2"/>
  <c r="O1791" i="2"/>
  <c r="O1792" i="2"/>
  <c r="O1793" i="2"/>
  <c r="O1795" i="2"/>
  <c r="O1796" i="2"/>
  <c r="O1797" i="2"/>
  <c r="O1799" i="2"/>
  <c r="O1800" i="2"/>
  <c r="O1803" i="2"/>
  <c r="O1804" i="2"/>
  <c r="O1807" i="2"/>
  <c r="O1809" i="2"/>
  <c r="O1811" i="2"/>
  <c r="O1812" i="2"/>
  <c r="O1813" i="2"/>
  <c r="O1818" i="2"/>
  <c r="O1821" i="2"/>
  <c r="O1822" i="2"/>
  <c r="O1824" i="2"/>
  <c r="O1829" i="2"/>
  <c r="O1830" i="2"/>
  <c r="O1834" i="2"/>
  <c r="O1836" i="2"/>
  <c r="O1837" i="2"/>
  <c r="O1838" i="2"/>
  <c r="O1840" i="2"/>
  <c r="O1842" i="2"/>
  <c r="O1845" i="2"/>
  <c r="O1411" i="2"/>
  <c r="O514" i="2"/>
  <c r="O311" i="2"/>
  <c r="O1770" i="2"/>
  <c r="O256" i="2"/>
  <c r="O1774" i="2"/>
  <c r="O396" i="2"/>
  <c r="O442" i="2"/>
  <c r="O483" i="2"/>
  <c r="O511" i="2"/>
  <c r="O652" i="2"/>
  <c r="O518" i="2"/>
  <c r="O524" i="2"/>
  <c r="O537" i="2"/>
  <c r="O566" i="2"/>
  <c r="O588" i="2"/>
  <c r="O593" i="2"/>
  <c r="O610" i="2"/>
  <c r="O642" i="2"/>
  <c r="O1801" i="2"/>
  <c r="O947" i="2"/>
  <c r="O956" i="2"/>
  <c r="O978" i="2"/>
  <c r="O982" i="2"/>
  <c r="O996" i="2"/>
  <c r="O1000" i="2"/>
  <c r="O1007" i="2"/>
  <c r="O1064" i="2"/>
  <c r="O1091" i="2"/>
  <c r="O1095" i="2"/>
  <c r="O1122" i="2"/>
  <c r="O1130" i="2"/>
  <c r="O1146" i="2"/>
  <c r="O1159" i="2"/>
  <c r="O1168" i="2"/>
  <c r="O1820" i="2"/>
  <c r="O1828" i="2"/>
  <c r="O1196" i="2"/>
  <c r="O1218" i="2"/>
  <c r="O1227" i="2"/>
  <c r="O1268" i="2"/>
  <c r="O1289" i="2"/>
  <c r="O1316" i="2"/>
  <c r="O1327" i="2"/>
  <c r="O1416" i="2"/>
  <c r="O1423" i="2"/>
  <c r="O1461" i="2"/>
  <c r="O1471" i="2"/>
  <c r="O1479" i="2"/>
  <c r="O1494" i="2"/>
  <c r="O1511" i="2"/>
  <c r="O1515" i="2"/>
  <c r="O1520" i="2"/>
  <c r="O1528" i="2"/>
  <c r="O1533" i="2"/>
  <c r="O1537" i="2"/>
  <c r="O1560" i="2"/>
  <c r="O1569" i="2"/>
  <c r="O1595" i="2"/>
  <c r="O1604" i="2"/>
  <c r="O1606" i="2"/>
  <c r="O1635" i="2"/>
  <c r="O1832" i="2"/>
  <c r="O1724" i="2"/>
  <c r="O1733" i="2"/>
  <c r="O1744" i="2"/>
  <c r="O386" i="2"/>
  <c r="O229" i="2"/>
  <c r="O192" i="2"/>
  <c r="O338" i="2"/>
  <c r="O288" i="2"/>
  <c r="O274" i="2"/>
  <c r="O251" i="2"/>
  <c r="O223" i="2"/>
  <c r="O654" i="2"/>
  <c r="O645" i="2"/>
  <c r="O641" i="2"/>
  <c r="O632" i="2"/>
  <c r="O601" i="2"/>
  <c r="O579" i="2"/>
  <c r="O548" i="2"/>
  <c r="O535" i="2"/>
  <c r="O481" i="2"/>
  <c r="O416" i="2"/>
  <c r="O342" i="2"/>
  <c r="O333" i="2"/>
  <c r="O1825" i="2"/>
  <c r="O1816" i="2"/>
  <c r="O1771" i="2"/>
  <c r="O1753" i="2"/>
  <c r="O1694" i="2"/>
  <c r="O1676" i="2"/>
  <c r="O1639" i="2"/>
  <c r="O1586" i="2"/>
  <c r="O1550" i="2"/>
  <c r="O1532" i="2"/>
  <c r="O1487" i="2"/>
  <c r="O1407" i="2"/>
  <c r="O1389" i="2"/>
  <c r="O1347" i="2"/>
  <c r="O1292" i="2"/>
  <c r="O1229" i="2"/>
  <c r="O1220" i="2"/>
  <c r="O1143" i="2"/>
  <c r="O1018" i="2"/>
  <c r="O991" i="2"/>
  <c r="O877" i="2"/>
  <c r="O868" i="2"/>
  <c r="O854" i="2"/>
  <c r="O663" i="2"/>
  <c r="O592" i="2"/>
  <c r="O570" i="2"/>
  <c r="O557" i="2"/>
  <c r="O499" i="2"/>
  <c r="O411" i="2"/>
  <c r="O351" i="2"/>
  <c r="O319" i="2"/>
  <c r="O153" i="2"/>
  <c r="O69" i="2"/>
  <c r="O55" i="2"/>
  <c r="O1662" i="2"/>
  <c r="O1616" i="2"/>
  <c r="O1603" i="2"/>
  <c r="O1590" i="2"/>
  <c r="O1577" i="2"/>
  <c r="O1559" i="2"/>
  <c r="O1473" i="2"/>
  <c r="O1402" i="2"/>
  <c r="O1247" i="2"/>
  <c r="O1188" i="2"/>
  <c r="O1174" i="2"/>
  <c r="O1165" i="2"/>
  <c r="O1147" i="2"/>
  <c r="O1138" i="2"/>
  <c r="O1125" i="2"/>
  <c r="O1117" i="2"/>
  <c r="O1036" i="2"/>
  <c r="O1027" i="2"/>
  <c r="O1004" i="2"/>
  <c r="O968" i="2"/>
  <c r="O918" i="2"/>
  <c r="O872" i="2"/>
  <c r="O835" i="2"/>
  <c r="O821" i="2"/>
  <c r="O700" i="2"/>
  <c r="O672" i="2"/>
  <c r="O649" i="2"/>
  <c r="O636" i="2"/>
  <c r="O583" i="2"/>
  <c r="O574" i="2"/>
  <c r="O552" i="2"/>
  <c r="O543" i="2"/>
  <c r="O508" i="2"/>
  <c r="O346" i="2"/>
  <c r="O305" i="2"/>
  <c r="O296" i="2"/>
  <c r="O208" i="2"/>
  <c r="O92" i="2"/>
  <c r="O78" i="2"/>
  <c r="O1680" i="2"/>
  <c r="O1568" i="2"/>
  <c r="O1536" i="2"/>
  <c r="O1469" i="2"/>
  <c r="O1833" i="2"/>
  <c r="O1784" i="2"/>
  <c r="O1757" i="2"/>
  <c r="O1671" i="2"/>
  <c r="O1611" i="2"/>
  <c r="O1581" i="2"/>
  <c r="O1572" i="2"/>
  <c r="O1500" i="2"/>
  <c r="O1491" i="2"/>
  <c r="O1442" i="2"/>
  <c r="O1393" i="2"/>
  <c r="O1351" i="2"/>
  <c r="O1337" i="2"/>
  <c r="O1310" i="2"/>
  <c r="O1296" i="2"/>
  <c r="O1169" i="2"/>
  <c r="O1160" i="2"/>
  <c r="O995" i="2"/>
  <c r="O881" i="2"/>
  <c r="O816" i="2"/>
  <c r="O709" i="2"/>
  <c r="O695" i="2"/>
  <c r="O667" i="2"/>
  <c r="O609" i="2"/>
  <c r="O341" i="2"/>
  <c r="O323" i="2"/>
  <c r="O1061" i="2"/>
  <c r="O988" i="2"/>
  <c r="O979" i="2"/>
  <c r="O970" i="2"/>
  <c r="O961" i="2"/>
  <c r="O934" i="2"/>
  <c r="O916" i="2"/>
  <c r="P916" i="2" s="1" a="1"/>
  <c r="P916" i="2" s="1"/>
  <c r="O852" i="2"/>
  <c r="O843" i="2"/>
  <c r="P843" i="2" s="1" a="1"/>
  <c r="P843" i="2" s="1"/>
  <c r="O834" i="2"/>
  <c r="P834" i="2" s="1" a="1"/>
  <c r="P834" i="2" s="1"/>
  <c r="O443" i="2"/>
  <c r="O420" i="2"/>
  <c r="P420" i="2" s="1" a="1"/>
  <c r="P420" i="2" s="1"/>
  <c r="O337" i="2"/>
  <c r="P337" i="2" s="1" a="1"/>
  <c r="P337" i="2" s="1"/>
  <c r="O292" i="2"/>
  <c r="P292" i="2" s="1" a="1"/>
  <c r="P292" i="2" s="1"/>
  <c r="O246" i="2"/>
  <c r="P246" i="2" s="1" a="1"/>
  <c r="P246" i="2" s="1"/>
  <c r="O232" i="2"/>
  <c r="P232" i="2" s="1" a="1"/>
  <c r="P232" i="2" s="1"/>
  <c r="O218" i="2"/>
  <c r="P218" i="2" s="1" a="1"/>
  <c r="P218" i="2" s="1"/>
  <c r="O163" i="2"/>
  <c r="O149" i="2"/>
  <c r="P149" i="2" s="1" a="1"/>
  <c r="P149" i="2" s="1"/>
  <c r="O98" i="2"/>
  <c r="O89" i="2"/>
  <c r="P89" i="2" s="1" a="1"/>
  <c r="P89" i="2" s="1"/>
  <c r="O529" i="2"/>
  <c r="P529" i="2" s="1" a="1"/>
  <c r="P529" i="2" s="1"/>
  <c r="O507" i="2"/>
  <c r="P507" i="2" s="1" a="1"/>
  <c r="P507" i="2" s="1"/>
  <c r="O484" i="2"/>
  <c r="P484" i="2" s="1" a="1"/>
  <c r="P484" i="2" s="1"/>
  <c r="O475" i="2"/>
  <c r="P475" i="2" s="1" a="1"/>
  <c r="P475" i="2" s="1"/>
  <c r="O415" i="2"/>
  <c r="P415" i="2" s="1" a="1"/>
  <c r="P415" i="2" s="1"/>
  <c r="O355" i="2"/>
  <c r="P355" i="2" s="1" a="1"/>
  <c r="P355" i="2" s="1"/>
  <c r="O172" i="2"/>
  <c r="P172" i="2" s="1" a="1"/>
  <c r="P172" i="2" s="1"/>
  <c r="O107" i="2"/>
  <c r="P107" i="2" s="1" a="1"/>
  <c r="P107" i="2" s="1"/>
  <c r="V10" i="2"/>
  <c r="X10" i="2" s="1"/>
  <c r="Y10" i="2" s="1"/>
  <c r="W10" i="2"/>
  <c r="O52" i="2"/>
  <c r="O79" i="2"/>
  <c r="P79" i="2" s="1" a="1"/>
  <c r="P79" i="2" s="1"/>
  <c r="O853" i="2"/>
  <c r="P853" i="2" s="1" a="1"/>
  <c r="P853" i="2" s="1"/>
  <c r="O932" i="2"/>
  <c r="P932" i="2" s="1" a="1"/>
  <c r="P932" i="2" s="1"/>
  <c r="O936" i="2"/>
  <c r="P936" i="2" s="1" a="1"/>
  <c r="P936" i="2" s="1"/>
  <c r="O967" i="2"/>
  <c r="P967" i="2" s="1" a="1"/>
  <c r="P967" i="2" s="1"/>
  <c r="O980" i="2"/>
  <c r="P980" i="2" s="1" a="1"/>
  <c r="P980" i="2" s="1"/>
  <c r="O7" i="2"/>
  <c r="P7" i="2" s="1" a="1"/>
  <c r="P7" i="2" s="1"/>
  <c r="O16" i="2"/>
  <c r="P16" i="2" s="1" a="1"/>
  <c r="P16" i="2" s="1"/>
  <c r="O75" i="2"/>
  <c r="P75" i="2" s="1" a="1"/>
  <c r="P75" i="2" s="1"/>
  <c r="O157" i="2"/>
  <c r="P157" i="2" s="1" a="1"/>
  <c r="P157" i="2" s="1"/>
  <c r="O219" i="2"/>
  <c r="P219" i="2" s="1" a="1"/>
  <c r="P219" i="2" s="1"/>
  <c r="O353" i="2"/>
  <c r="O487" i="2"/>
  <c r="P487" i="2" s="1" a="1"/>
  <c r="P487" i="2" s="1"/>
  <c r="O525" i="2"/>
  <c r="P525" i="2" s="1" a="1"/>
  <c r="P525" i="2" s="1"/>
  <c r="O603" i="2"/>
  <c r="P603" i="2" s="1" a="1"/>
  <c r="P603" i="2" s="1"/>
  <c r="O906" i="2"/>
  <c r="P906" i="2" s="1" a="1"/>
  <c r="P906" i="2" s="1"/>
  <c r="O928" i="2"/>
  <c r="P928" i="2" s="1" a="1"/>
  <c r="P928" i="2" s="1"/>
  <c r="O1024" i="2"/>
  <c r="P1024" i="2" s="1" a="1"/>
  <c r="P1024" i="2" s="1"/>
  <c r="O1076" i="2"/>
  <c r="P1076" i="2" s="1" a="1"/>
  <c r="P1076" i="2" s="1"/>
  <c r="O1171" i="2"/>
  <c r="P1171" i="2" s="1" a="1"/>
  <c r="P1171" i="2" s="1"/>
  <c r="O1201" i="2"/>
  <c r="P1201" i="2" s="1" a="1"/>
  <c r="P1201" i="2" s="1"/>
  <c r="O1213" i="2"/>
  <c r="P1213" i="2" s="1" a="1"/>
  <c r="P1213" i="2" s="1"/>
  <c r="O1398" i="2"/>
  <c r="P1398" i="2" s="1" a="1"/>
  <c r="P1398" i="2" s="1"/>
  <c r="O1535" i="2"/>
  <c r="P1535" i="2" s="1" a="1"/>
  <c r="P1535" i="2" s="1"/>
  <c r="O1539" i="2"/>
  <c r="P1539" i="2" s="1" a="1"/>
  <c r="P1539" i="2" s="1"/>
  <c r="O1548" i="2"/>
  <c r="P1548" i="2" s="1" a="1"/>
  <c r="P1548" i="2" s="1"/>
  <c r="O1032" i="2"/>
  <c r="P1032" i="2" s="1" a="1"/>
  <c r="P1032" i="2" s="1"/>
  <c r="O1041" i="2"/>
  <c r="P1041" i="2" s="1" a="1"/>
  <c r="P1041" i="2" s="1"/>
  <c r="O1049" i="2"/>
  <c r="P1049" i="2" s="1" a="1"/>
  <c r="P1049" i="2" s="1"/>
  <c r="O1193" i="2"/>
  <c r="P1193" i="2" s="1" a="1"/>
  <c r="P1193" i="2" s="1"/>
  <c r="O1819" i="2"/>
  <c r="P1819" i="2" s="1" a="1"/>
  <c r="P1819" i="2" s="1"/>
  <c r="O409" i="2"/>
  <c r="P409" i="2" s="1" a="1"/>
  <c r="P409" i="2" s="1"/>
  <c r="O651" i="2"/>
  <c r="P651" i="2" s="1" a="1"/>
  <c r="P651" i="2" s="1"/>
  <c r="O664" i="2"/>
  <c r="P664" i="2" s="1" a="1"/>
  <c r="P664" i="2" s="1"/>
  <c r="O1019" i="2"/>
  <c r="P1019" i="2" s="1" a="1"/>
  <c r="P1019" i="2" s="1"/>
  <c r="O1839" i="2"/>
  <c r="P1839" i="2" s="1" a="1"/>
  <c r="P1839" i="2" s="1"/>
  <c r="O397" i="2"/>
  <c r="P397" i="2" s="1" a="1"/>
  <c r="P397" i="2" s="1"/>
  <c r="O401" i="2"/>
  <c r="P401" i="2" s="1" a="1"/>
  <c r="P401" i="2" s="1"/>
  <c r="O891" i="2"/>
  <c r="P891" i="2" s="1" a="1"/>
  <c r="P891" i="2" s="1"/>
  <c r="O1046" i="2"/>
  <c r="P1046" i="2" s="1" a="1"/>
  <c r="P1046" i="2" s="1"/>
  <c r="O1317" i="2"/>
  <c r="O1630" i="2"/>
  <c r="P1630" i="2" s="1" a="1"/>
  <c r="P1630" i="2" s="1"/>
  <c r="O1802" i="2"/>
  <c r="P1802" i="2" s="1" a="1"/>
  <c r="P1802" i="2" s="1"/>
  <c r="O1810" i="2"/>
  <c r="P1810" i="2" s="1" a="1"/>
  <c r="P1810" i="2" s="1"/>
  <c r="O348" i="2"/>
  <c r="P348" i="2" s="1" a="1"/>
  <c r="P348" i="2" s="1"/>
  <c r="O656" i="2"/>
  <c r="P656" i="2" s="1" a="1"/>
  <c r="P656" i="2" s="1"/>
  <c r="O734" i="2"/>
  <c r="P734" i="2" s="1" a="1"/>
  <c r="P734" i="2" s="1"/>
  <c r="O856" i="2"/>
  <c r="P856" i="2" s="1" a="1"/>
  <c r="P856" i="2" s="1"/>
  <c r="O998" i="2"/>
  <c r="O1129" i="2"/>
  <c r="P1129" i="2" s="1" a="1"/>
  <c r="P1129" i="2" s="1"/>
  <c r="O1242" i="2"/>
  <c r="P1242" i="2" s="1" a="1"/>
  <c r="P1242" i="2" s="1"/>
  <c r="O1246" i="2"/>
  <c r="P1246" i="2" s="1" a="1"/>
  <c r="P1246" i="2" s="1"/>
  <c r="O1250" i="2"/>
  <c r="P1250" i="2" s="1" a="1"/>
  <c r="P1250" i="2" s="1"/>
  <c r="O1254" i="2"/>
  <c r="P1254" i="2" s="1" a="1"/>
  <c r="P1254" i="2" s="1"/>
  <c r="O1258" i="2"/>
  <c r="P1258" i="2" s="1" a="1"/>
  <c r="P1258" i="2" s="1"/>
  <c r="O1262" i="2"/>
  <c r="P1262" i="2" s="1" a="1"/>
  <c r="P1262" i="2" s="1"/>
  <c r="O1266" i="2"/>
  <c r="P1266" i="2" s="1" a="1"/>
  <c r="P1266" i="2" s="1"/>
  <c r="O1309" i="2"/>
  <c r="V12" i="2"/>
  <c r="X12" i="2" s="1"/>
  <c r="Y12" i="2" s="1"/>
  <c r="Z12" i="2" s="1"/>
  <c r="V11" i="2"/>
  <c r="X11" i="2" s="1"/>
  <c r="Y11" i="2" s="1"/>
  <c r="O3" i="2"/>
  <c r="P3" i="2" s="1" a="1"/>
  <c r="P3" i="2" s="1"/>
  <c r="O240" i="2"/>
  <c r="P240" i="2" s="1" a="1"/>
  <c r="P240" i="2" s="1"/>
  <c r="O267" i="2"/>
  <c r="P267" i="2" s="1" a="1"/>
  <c r="P267" i="2" s="1"/>
  <c r="O370" i="2"/>
  <c r="P370" i="2" s="1" a="1"/>
  <c r="P370" i="2" s="1"/>
  <c r="O538" i="2"/>
  <c r="P538" i="2" s="1" a="1"/>
  <c r="P538" i="2" s="1"/>
  <c r="O542" i="2"/>
  <c r="P542" i="2" s="1" a="1"/>
  <c r="P542" i="2" s="1"/>
  <c r="O586" i="2"/>
  <c r="P586" i="2" s="1" a="1"/>
  <c r="P586" i="2" s="1"/>
  <c r="O643" i="2"/>
  <c r="P643" i="2" s="1" a="1"/>
  <c r="P643" i="2" s="1"/>
  <c r="O647" i="2"/>
  <c r="P647" i="2" s="1" a="1"/>
  <c r="P647" i="2" s="1"/>
  <c r="O775" i="2"/>
  <c r="P775" i="2" s="1" a="1"/>
  <c r="P775" i="2" s="1"/>
  <c r="O873" i="2"/>
  <c r="P873" i="2" s="1" a="1"/>
  <c r="P873" i="2" s="1"/>
  <c r="O1185" i="2"/>
  <c r="P1185" i="2" s="1" a="1"/>
  <c r="P1185" i="2" s="1"/>
  <c r="O1202" i="2"/>
  <c r="P1202" i="2" s="1" a="1"/>
  <c r="P1202" i="2" s="1"/>
  <c r="O1206" i="2"/>
  <c r="P1206" i="2" s="1" a="1"/>
  <c r="P1206" i="2" s="1"/>
  <c r="O1330" i="2"/>
  <c r="P1330" i="2" s="1" a="1"/>
  <c r="P1330" i="2" s="1"/>
  <c r="O1352" i="2"/>
  <c r="P1352" i="2" s="1" a="1"/>
  <c r="P1352" i="2" s="1"/>
  <c r="O1370" i="2"/>
  <c r="P1370" i="2" s="1" a="1"/>
  <c r="P1370" i="2" s="1"/>
  <c r="O1434" i="2"/>
  <c r="P1434" i="2" s="1" a="1"/>
  <c r="P1434" i="2" s="1"/>
  <c r="O1476" i="2"/>
  <c r="P1476" i="2" s="1" a="1"/>
  <c r="P1476" i="2" s="1"/>
  <c r="O1480" i="2"/>
  <c r="P1480" i="2" s="1" a="1"/>
  <c r="P1480" i="2" s="1"/>
  <c r="O1638" i="2"/>
  <c r="P1638" i="2" s="1" a="1"/>
  <c r="P1638" i="2" s="1"/>
  <c r="O1674" i="2"/>
  <c r="P1674" i="2" s="1" a="1"/>
  <c r="P1674" i="2" s="1"/>
  <c r="O1678" i="2"/>
  <c r="P1678" i="2" s="1" a="1"/>
  <c r="P1678" i="2" s="1"/>
  <c r="O1682" i="2"/>
  <c r="P1682" i="2" s="1" a="1"/>
  <c r="P1682" i="2" s="1"/>
  <c r="O1776" i="2"/>
  <c r="P1776" i="2" s="1" a="1"/>
  <c r="P1776" i="2" s="1"/>
  <c r="O1798" i="2"/>
  <c r="P1798" i="2" s="1" a="1"/>
  <c r="P1798" i="2" s="1"/>
  <c r="O366" i="2"/>
  <c r="P366" i="2" s="1" a="1"/>
  <c r="P366" i="2" s="1"/>
  <c r="O414" i="2"/>
  <c r="P414" i="2" s="1" a="1"/>
  <c r="P414" i="2" s="1"/>
  <c r="O811" i="2"/>
  <c r="P811" i="2" s="1" a="1"/>
  <c r="P811" i="2" s="1"/>
  <c r="O1054" i="2"/>
  <c r="P1054" i="2" s="1" a="1"/>
  <c r="P1054" i="2" s="1"/>
  <c r="O1181" i="2"/>
  <c r="P1181" i="2" s="1" a="1"/>
  <c r="P1181" i="2" s="1"/>
  <c r="O1198" i="2"/>
  <c r="P1198" i="2" s="1" a="1"/>
  <c r="P1198" i="2" s="1"/>
  <c r="O1401" i="2"/>
  <c r="P1401" i="2" s="1" a="1"/>
  <c r="P1401" i="2" s="1"/>
  <c r="O1405" i="2"/>
  <c r="P1405" i="2" s="1" a="1"/>
  <c r="P1405" i="2" s="1"/>
  <c r="O1558" i="2"/>
  <c r="P1558" i="2" s="1" a="1"/>
  <c r="P1558" i="2" s="1"/>
  <c r="O1562" i="2"/>
  <c r="O1661" i="2"/>
  <c r="P1661" i="2" s="1" a="1"/>
  <c r="P1661" i="2" s="1"/>
  <c r="O688" i="2"/>
  <c r="P688" i="2" s="1" a="1"/>
  <c r="P688" i="2" s="1"/>
  <c r="O807" i="2"/>
  <c r="P807" i="2" s="1" a="1"/>
  <c r="P807" i="2" s="1"/>
  <c r="O1137" i="2"/>
  <c r="P1137" i="2" s="1" a="1"/>
  <c r="P1137" i="2" s="1"/>
  <c r="O1274" i="2"/>
  <c r="P1274" i="2" s="1" a="1"/>
  <c r="P1274" i="2" s="1"/>
  <c r="O1622" i="2"/>
  <c r="P1622" i="2" s="1" a="1"/>
  <c r="P1622" i="2" s="1"/>
  <c r="O1626" i="2"/>
  <c r="P1626" i="2" s="1" a="1"/>
  <c r="P1626" i="2" s="1"/>
  <c r="O1691" i="2"/>
  <c r="P1691" i="2" s="1" a="1"/>
  <c r="P1691" i="2" s="1"/>
  <c r="O1695" i="2"/>
  <c r="P1695" i="2" s="1" a="1"/>
  <c r="P1695" i="2" s="1"/>
  <c r="O1826" i="2"/>
  <c r="P1826" i="2" s="1" a="1"/>
  <c r="P1826" i="2" s="1"/>
  <c r="O1817" i="2"/>
  <c r="P1817" i="2" s="1" a="1"/>
  <c r="P1817" i="2" s="1"/>
  <c r="O1808" i="2"/>
  <c r="P1808" i="2" s="1" a="1"/>
  <c r="P1808" i="2" s="1"/>
  <c r="O1787" i="2"/>
  <c r="P1787" i="2" s="1" a="1"/>
  <c r="P1787" i="2" s="1"/>
  <c r="O1765" i="2"/>
  <c r="P1765" i="2" s="1" a="1"/>
  <c r="P1765" i="2" s="1"/>
  <c r="O1752" i="2"/>
  <c r="P1752" i="2" s="1" a="1"/>
  <c r="P1752" i="2" s="1"/>
  <c r="O1727" i="2"/>
  <c r="P1727" i="2" s="1" a="1"/>
  <c r="P1727" i="2" s="1"/>
  <c r="O1718" i="2"/>
  <c r="P1718" i="2" s="1" a="1"/>
  <c r="P1718" i="2" s="1"/>
  <c r="O1709" i="2"/>
  <c r="P1709" i="2" s="1" a="1"/>
  <c r="P1709" i="2" s="1"/>
  <c r="O1673" i="2"/>
  <c r="P1673" i="2" s="1" a="1"/>
  <c r="P1673" i="2" s="1"/>
  <c r="O1659" i="2"/>
  <c r="P1659" i="2" s="1" a="1"/>
  <c r="P1659" i="2" s="1"/>
  <c r="O1636" i="2"/>
  <c r="P1636" i="2" s="1" a="1"/>
  <c r="P1636" i="2" s="1"/>
  <c r="O1614" i="2"/>
  <c r="P1614" i="2" s="1" a="1"/>
  <c r="P1614" i="2" s="1"/>
  <c r="O1505" i="2"/>
  <c r="P1505" i="2" s="1" a="1"/>
  <c r="P1505" i="2" s="1"/>
  <c r="O1492" i="2"/>
  <c r="P1492" i="2" s="1" a="1"/>
  <c r="P1492" i="2" s="1"/>
  <c r="O1483" i="2"/>
  <c r="P1483" i="2" s="1" a="1"/>
  <c r="P1483" i="2" s="1"/>
  <c r="O1474" i="2"/>
  <c r="P1474" i="2" s="1" a="1"/>
  <c r="P1474" i="2" s="1"/>
  <c r="O1466" i="2"/>
  <c r="P1466" i="2" s="1" a="1"/>
  <c r="P1466" i="2" s="1"/>
  <c r="O1369" i="2"/>
  <c r="P1369" i="2" s="1" a="1"/>
  <c r="P1369" i="2" s="1"/>
  <c r="O1342" i="2"/>
  <c r="P1342" i="2" s="1" a="1"/>
  <c r="P1342" i="2" s="1"/>
  <c r="O1324" i="2"/>
  <c r="P1324" i="2" s="1" a="1"/>
  <c r="P1324" i="2" s="1"/>
  <c r="O1270" i="2"/>
  <c r="P1270" i="2" s="1" a="1"/>
  <c r="P1270" i="2" s="1"/>
  <c r="O1253" i="2"/>
  <c r="P1253" i="2" s="1" a="1"/>
  <c r="P1253" i="2" s="1"/>
  <c r="O1235" i="2"/>
  <c r="P1235" i="2" s="1" a="1"/>
  <c r="P1235" i="2" s="1"/>
  <c r="O1226" i="2"/>
  <c r="P1226" i="2" s="1" a="1"/>
  <c r="P1226" i="2" s="1"/>
  <c r="O1208" i="2"/>
  <c r="P1208" i="2" s="1" a="1"/>
  <c r="P1208" i="2" s="1"/>
  <c r="O1195" i="2"/>
  <c r="P1195" i="2" s="1" a="1"/>
  <c r="P1195" i="2" s="1"/>
  <c r="O1008" i="2"/>
  <c r="P1008" i="2" s="1" a="1"/>
  <c r="P1008" i="2" s="1"/>
  <c r="O986" i="2"/>
  <c r="P986" i="2" s="1" a="1"/>
  <c r="P986" i="2" s="1"/>
  <c r="O964" i="2"/>
  <c r="P964" i="2" s="1" a="1"/>
  <c r="P964" i="2" s="1"/>
  <c r="O937" i="2"/>
  <c r="P937" i="2" s="1" a="1"/>
  <c r="P937" i="2" s="1"/>
  <c r="O810" i="2"/>
  <c r="P810" i="2" s="1" a="1"/>
  <c r="P810" i="2" s="1"/>
  <c r="O769" i="2"/>
  <c r="P769" i="2" s="1" a="1"/>
  <c r="P769" i="2" s="1"/>
  <c r="O755" i="2"/>
  <c r="P755" i="2" s="1" a="1"/>
  <c r="P755" i="2" s="1"/>
  <c r="O718" i="2"/>
  <c r="P718" i="2" s="1" a="1"/>
  <c r="P718" i="2" s="1"/>
  <c r="O690" i="2"/>
  <c r="P690" i="2" s="1" a="1"/>
  <c r="P690" i="2" s="1"/>
  <c r="O512" i="2"/>
  <c r="P512" i="2" s="1" a="1"/>
  <c r="P512" i="2" s="1"/>
  <c r="O503" i="2"/>
  <c r="P503" i="2" s="1" a="1"/>
  <c r="P503" i="2" s="1"/>
  <c r="O476" i="2"/>
  <c r="P476" i="2" s="1" a="1"/>
  <c r="P476" i="2" s="1"/>
  <c r="O462" i="2"/>
  <c r="P462" i="2" s="1" a="1"/>
  <c r="P462" i="2" s="1"/>
  <c r="O435" i="2"/>
  <c r="P435" i="2" s="1" a="1"/>
  <c r="P435" i="2" s="1"/>
  <c r="O426" i="2"/>
  <c r="P426" i="2" s="1" a="1"/>
  <c r="P426" i="2" s="1"/>
  <c r="O372" i="2"/>
  <c r="P372" i="2" s="1" a="1"/>
  <c r="P372" i="2" s="1"/>
  <c r="O244" i="2"/>
  <c r="P244" i="2" s="1" a="1"/>
  <c r="P244" i="2" s="1"/>
  <c r="O216" i="2"/>
  <c r="P216" i="2" s="1" a="1"/>
  <c r="P216" i="2" s="1"/>
  <c r="O203" i="2"/>
  <c r="P203" i="2" s="1" a="1"/>
  <c r="P203" i="2" s="1"/>
  <c r="O189" i="2"/>
  <c r="P189" i="2" s="1" a="1"/>
  <c r="P189" i="2" s="1"/>
  <c r="O162" i="2"/>
  <c r="P162" i="2" s="1" a="1"/>
  <c r="P162" i="2" s="1"/>
  <c r="O56" i="2"/>
  <c r="P56" i="2" s="1" a="1"/>
  <c r="P56" i="2" s="1"/>
  <c r="O33" i="2"/>
  <c r="P33" i="2" s="1" a="1"/>
  <c r="P33" i="2" s="1"/>
  <c r="O1773" i="2"/>
  <c r="P1773" i="2" s="1" a="1"/>
  <c r="P1773" i="2" s="1"/>
  <c r="O1769" i="2"/>
  <c r="P1769" i="2" s="1" a="1"/>
  <c r="P1769" i="2" s="1"/>
  <c r="O1760" i="2"/>
  <c r="P1760" i="2" s="1" a="1"/>
  <c r="P1760" i="2" s="1"/>
  <c r="O1756" i="2"/>
  <c r="P1756" i="2" s="1" a="1"/>
  <c r="P1756" i="2" s="1"/>
  <c r="O1743" i="2"/>
  <c r="P1743" i="2" s="1" a="1"/>
  <c r="P1743" i="2" s="1"/>
  <c r="O1735" i="2"/>
  <c r="P1735" i="2" s="1" a="1"/>
  <c r="P1735" i="2" s="1"/>
  <c r="O1731" i="2"/>
  <c r="P1731" i="2" s="1" a="1"/>
  <c r="P1731" i="2" s="1"/>
  <c r="O1686" i="2"/>
  <c r="P1686" i="2" s="1" a="1"/>
  <c r="P1686" i="2" s="1"/>
  <c r="O1668" i="2"/>
  <c r="P1668" i="2" s="1" a="1"/>
  <c r="P1668" i="2" s="1"/>
  <c r="O1645" i="2"/>
  <c r="P1645" i="2" s="1" a="1"/>
  <c r="P1645" i="2" s="1"/>
  <c r="O1627" i="2"/>
  <c r="P1627" i="2" s="1" a="1"/>
  <c r="P1627" i="2" s="1"/>
  <c r="O1534" i="2"/>
  <c r="P1534" i="2" s="1" a="1"/>
  <c r="P1534" i="2" s="1"/>
  <c r="O1509" i="2"/>
  <c r="P1509" i="2" s="1" a="1"/>
  <c r="P1509" i="2" s="1"/>
  <c r="O1496" i="2"/>
  <c r="P1496" i="2" s="1" a="1"/>
  <c r="P1496" i="2" s="1"/>
  <c r="O1453" i="2"/>
  <c r="P1453" i="2" s="1" a="1"/>
  <c r="P1453" i="2" s="1"/>
  <c r="O1413" i="2"/>
  <c r="P1413" i="2" s="1" a="1"/>
  <c r="P1413" i="2" s="1"/>
  <c r="O1404" i="2"/>
  <c r="P1404" i="2" s="1" a="1"/>
  <c r="P1404" i="2" s="1"/>
  <c r="O1391" i="2"/>
  <c r="P1391" i="2" s="1" a="1"/>
  <c r="P1391" i="2" s="1"/>
  <c r="O1382" i="2"/>
  <c r="P1382" i="2" s="1" a="1"/>
  <c r="P1382" i="2" s="1"/>
  <c r="O1328" i="2"/>
  <c r="P1328" i="2" s="1" a="1"/>
  <c r="P1328" i="2" s="1"/>
  <c r="O1301" i="2"/>
  <c r="P1301" i="2" s="1" a="1"/>
  <c r="P1301" i="2" s="1"/>
  <c r="O1288" i="2"/>
  <c r="P1288" i="2" s="1" a="1"/>
  <c r="P1288" i="2" s="1"/>
  <c r="O1230" i="2"/>
  <c r="P1230" i="2" s="1" a="1"/>
  <c r="P1230" i="2" s="1"/>
  <c r="O1221" i="2"/>
  <c r="P1221" i="2" s="1" a="1"/>
  <c r="P1221" i="2" s="1"/>
  <c r="O1199" i="2"/>
  <c r="O1093" i="2"/>
  <c r="P1093" i="2" s="1" a="1"/>
  <c r="P1093" i="2" s="1"/>
  <c r="O1035" i="2"/>
  <c r="P1035" i="2" s="1" a="1"/>
  <c r="P1035" i="2" s="1"/>
  <c r="O1026" i="2"/>
  <c r="P1026" i="2" s="1" a="1"/>
  <c r="P1026" i="2" s="1"/>
  <c r="O999" i="2"/>
  <c r="P999" i="2" s="1" a="1"/>
  <c r="P999" i="2" s="1"/>
  <c r="O955" i="2"/>
  <c r="P955" i="2" s="1" a="1"/>
  <c r="P955" i="2" s="1"/>
  <c r="O905" i="2"/>
  <c r="P905" i="2" s="1" a="1"/>
  <c r="P905" i="2" s="1"/>
  <c r="O864" i="2"/>
  <c r="P864" i="2" s="1" a="1"/>
  <c r="P864" i="2" s="1"/>
  <c r="O832" i="2"/>
  <c r="P832" i="2" s="1" a="1"/>
  <c r="P832" i="2" s="1"/>
  <c r="O764" i="2"/>
  <c r="P764" i="2" s="1" a="1"/>
  <c r="P764" i="2" s="1"/>
  <c r="O750" i="2"/>
  <c r="P750" i="2" s="1" a="1"/>
  <c r="P750" i="2" s="1"/>
  <c r="O713" i="2"/>
  <c r="P713" i="2" s="1" a="1"/>
  <c r="P713" i="2" s="1"/>
  <c r="O699" i="2"/>
  <c r="P699" i="2" s="1" a="1"/>
  <c r="P699" i="2" s="1"/>
  <c r="O671" i="2"/>
  <c r="P671" i="2" s="1" a="1"/>
  <c r="P671" i="2" s="1"/>
  <c r="O516" i="2"/>
  <c r="P516" i="2" s="1" a="1"/>
  <c r="P516" i="2" s="1"/>
  <c r="O457" i="2"/>
  <c r="P457" i="2" s="1" a="1"/>
  <c r="P457" i="2" s="1"/>
  <c r="O412" i="2"/>
  <c r="P412" i="2" s="1" a="1"/>
  <c r="P412" i="2" s="1"/>
  <c r="O239" i="2"/>
  <c r="P239" i="2" s="1" a="1"/>
  <c r="P239" i="2" s="1"/>
  <c r="O225" i="2"/>
  <c r="P225" i="2" s="1" a="1"/>
  <c r="P225" i="2" s="1"/>
  <c r="O198" i="2"/>
  <c r="P198" i="2" s="1" a="1"/>
  <c r="P198" i="2" s="1"/>
  <c r="O180" i="2"/>
  <c r="P180" i="2" s="1" a="1"/>
  <c r="P180" i="2" s="1"/>
  <c r="O134" i="2"/>
  <c r="P134" i="2" s="1" a="1"/>
  <c r="P134" i="2" s="1"/>
  <c r="O120" i="2"/>
  <c r="P120" i="2" s="1" a="1"/>
  <c r="P120" i="2" s="1"/>
  <c r="O65" i="2"/>
  <c r="P65" i="2" s="1" a="1"/>
  <c r="P65" i="2" s="1"/>
  <c r="O5" i="2"/>
  <c r="P5" i="2" s="1" a="1"/>
  <c r="P5" i="2" s="1"/>
  <c r="O466" i="2"/>
  <c r="P466" i="2" s="1" a="1"/>
  <c r="P466" i="2" s="1"/>
  <c r="O430" i="2"/>
  <c r="P430" i="2" s="1" a="1"/>
  <c r="P430" i="2" s="1"/>
  <c r="O407" i="2"/>
  <c r="P407" i="2" s="1" a="1"/>
  <c r="P407" i="2" s="1"/>
  <c r="O394" i="2"/>
  <c r="P394" i="2" s="1" a="1"/>
  <c r="P394" i="2" s="1"/>
  <c r="O385" i="2"/>
  <c r="P385" i="2" s="1" a="1"/>
  <c r="P385" i="2" s="1"/>
  <c r="O280" i="2"/>
  <c r="P280" i="2" s="1" a="1"/>
  <c r="P280" i="2" s="1"/>
  <c r="O234" i="2"/>
  <c r="P234" i="2" s="1" a="1"/>
  <c r="P234" i="2" s="1"/>
  <c r="O207" i="2"/>
  <c r="P207" i="2" s="1" a="1"/>
  <c r="P207" i="2" s="1"/>
  <c r="O101" i="2"/>
  <c r="P101" i="2" s="1" a="1"/>
  <c r="P101" i="2" s="1"/>
  <c r="O83" i="2"/>
  <c r="P83" i="2" s="1" a="1"/>
  <c r="P83" i="2" s="1"/>
  <c r="O14" i="2"/>
  <c r="P14" i="2" s="1" a="1"/>
  <c r="P14" i="2" s="1"/>
  <c r="O41" i="2"/>
  <c r="P41" i="2" s="1" a="1"/>
  <c r="P41" i="2" s="1"/>
  <c r="O1666" i="2"/>
  <c r="P1666" i="2" s="1" a="1"/>
  <c r="P1666" i="2" s="1"/>
  <c r="O1589" i="2"/>
  <c r="P1589" i="2" s="1" a="1"/>
  <c r="P1589" i="2" s="1"/>
  <c r="O1576" i="2"/>
  <c r="P1576" i="2" s="1" a="1"/>
  <c r="P1576" i="2" s="1"/>
  <c r="O1527" i="2"/>
  <c r="P1527" i="2" s="1" a="1"/>
  <c r="P1527" i="2" s="1"/>
  <c r="O1418" i="2"/>
  <c r="P1418" i="2" s="1" a="1"/>
  <c r="P1418" i="2" s="1"/>
  <c r="O1410" i="2"/>
  <c r="P1410" i="2" s="1" a="1"/>
  <c r="P1410" i="2" s="1"/>
  <c r="O1384" i="2"/>
  <c r="P1384" i="2" s="1" a="1"/>
  <c r="P1384" i="2" s="1"/>
  <c r="O1357" i="2"/>
  <c r="P1357" i="2" s="1" a="1"/>
  <c r="P1357" i="2" s="1"/>
  <c r="O1322" i="2"/>
  <c r="P1322" i="2" s="1" a="1"/>
  <c r="P1322" i="2" s="1"/>
  <c r="O1238" i="2"/>
  <c r="P1238" i="2" s="1" a="1"/>
  <c r="P1238" i="2" s="1"/>
  <c r="O1190" i="2"/>
  <c r="P1190" i="2" s="1" a="1"/>
  <c r="P1190" i="2" s="1"/>
  <c r="O1177" i="2"/>
  <c r="P1177" i="2" s="1" a="1"/>
  <c r="P1177" i="2" s="1"/>
  <c r="O1086" i="2"/>
  <c r="P1086" i="2" s="1" a="1"/>
  <c r="P1086" i="2" s="1"/>
  <c r="O1068" i="2"/>
  <c r="P1068" i="2" s="1" a="1"/>
  <c r="P1068" i="2" s="1"/>
  <c r="O900" i="2"/>
  <c r="P900" i="2" s="1" a="1"/>
  <c r="P900" i="2" s="1"/>
  <c r="O887" i="2"/>
  <c r="P887" i="2" s="1" a="1"/>
  <c r="P887" i="2" s="1"/>
  <c r="O865" i="2"/>
  <c r="P865" i="2" s="1" a="1"/>
  <c r="P865" i="2" s="1"/>
  <c r="O748" i="2"/>
  <c r="P748" i="2" s="1" a="1"/>
  <c r="P748" i="2" s="1"/>
  <c r="O665" i="2"/>
  <c r="P665" i="2" s="1" a="1"/>
  <c r="P665" i="2" s="1"/>
  <c r="O565" i="2"/>
  <c r="P565" i="2" s="1" a="1"/>
  <c r="P565" i="2" s="1"/>
  <c r="O1751" i="2"/>
  <c r="P1751" i="2" s="1" a="1"/>
  <c r="P1751" i="2" s="1"/>
  <c r="O1722" i="2"/>
  <c r="P1722" i="2" s="1" a="1"/>
  <c r="P1722" i="2" s="1"/>
  <c r="O1618" i="2"/>
  <c r="P1618" i="2" s="1" a="1"/>
  <c r="P1618" i="2" s="1"/>
  <c r="O1597" i="2"/>
  <c r="P1597" i="2" s="1" a="1"/>
  <c r="P1597" i="2" s="1"/>
  <c r="O1549" i="2"/>
  <c r="P1549" i="2" s="1" a="1"/>
  <c r="P1549" i="2" s="1"/>
  <c r="O1456" i="2"/>
  <c r="P1456" i="2" s="1" a="1"/>
  <c r="P1456" i="2" s="1"/>
  <c r="O1447" i="2"/>
  <c r="P1447" i="2" s="1" a="1"/>
  <c r="P1447" i="2" s="1"/>
  <c r="O1335" i="2"/>
  <c r="P1335" i="2" s="1" a="1"/>
  <c r="P1335" i="2" s="1"/>
  <c r="O1278" i="2"/>
  <c r="P1278" i="2" s="1" a="1"/>
  <c r="P1278" i="2" s="1"/>
  <c r="O1172" i="2"/>
  <c r="P1172" i="2" s="1" a="1"/>
  <c r="P1172" i="2" s="1"/>
  <c r="O1163" i="2"/>
  <c r="P1163" i="2" s="1" a="1"/>
  <c r="P1163" i="2" s="1"/>
  <c r="O1154" i="2"/>
  <c r="P1154" i="2" s="1" a="1"/>
  <c r="P1154" i="2" s="1"/>
  <c r="O1141" i="2"/>
  <c r="P1141" i="2" s="1" a="1"/>
  <c r="P1141" i="2" s="1"/>
  <c r="O1112" i="2"/>
  <c r="P1112" i="2" s="1" a="1"/>
  <c r="P1112" i="2" s="1"/>
  <c r="O1103" i="2"/>
  <c r="P1103" i="2" s="1" a="1"/>
  <c r="P1103" i="2" s="1"/>
  <c r="O1081" i="2"/>
  <c r="P1081" i="2" s="1" a="1"/>
  <c r="P1081" i="2" s="1"/>
  <c r="O1072" i="2"/>
  <c r="P1072" i="2" s="1" a="1"/>
  <c r="P1072" i="2" s="1"/>
  <c r="O1042" i="2"/>
  <c r="O1029" i="2"/>
  <c r="P1029" i="2" s="1" a="1"/>
  <c r="P1029" i="2" s="1"/>
  <c r="O922" i="2"/>
  <c r="P922" i="2" s="1" a="1"/>
  <c r="P922" i="2" s="1"/>
  <c r="O909" i="2"/>
  <c r="P909" i="2" s="1" a="1"/>
  <c r="P909" i="2" s="1"/>
  <c r="O838" i="2"/>
  <c r="P838" i="2" s="1" a="1"/>
  <c r="P838" i="2" s="1"/>
  <c r="O798" i="2"/>
  <c r="P798" i="2" s="1" a="1"/>
  <c r="P798" i="2" s="1"/>
  <c r="O595" i="2"/>
  <c r="P595" i="2" s="1" a="1"/>
  <c r="P595" i="2" s="1"/>
  <c r="O569" i="2"/>
  <c r="P569" i="2" s="1" a="1"/>
  <c r="P569" i="2" s="1"/>
  <c r="O473" i="2"/>
  <c r="P473" i="2" s="1" a="1"/>
  <c r="P473" i="2" s="1"/>
  <c r="O459" i="2"/>
  <c r="P459" i="2" s="1" a="1"/>
  <c r="P459" i="2" s="1"/>
  <c r="O182" i="2"/>
  <c r="P182" i="2" s="1" a="1"/>
  <c r="P182" i="2" s="1"/>
  <c r="O123" i="2"/>
  <c r="P123" i="2" s="1" a="1"/>
  <c r="P123" i="2" s="1"/>
  <c r="O109" i="2"/>
  <c r="P109" i="2" s="1" a="1"/>
  <c r="P109" i="2" s="1"/>
  <c r="O68" i="2"/>
  <c r="P68" i="2" s="1" a="1"/>
  <c r="P68" i="2" s="1"/>
  <c r="O8" i="2"/>
  <c r="P8" i="2" s="1" a="1"/>
  <c r="P8" i="2" s="1"/>
  <c r="O1835" i="2"/>
  <c r="P1835" i="2" s="1" a="1"/>
  <c r="P1835" i="2" s="1"/>
  <c r="O1827" i="2"/>
  <c r="P1827" i="2" s="1" a="1"/>
  <c r="P1827" i="2" s="1"/>
  <c r="O1806" i="2"/>
  <c r="P1806" i="2" s="1" a="1"/>
  <c r="P1806" i="2" s="1"/>
  <c r="O1794" i="2"/>
  <c r="P1794" i="2" s="1" a="1"/>
  <c r="P1794" i="2" s="1"/>
  <c r="O1790" i="2"/>
  <c r="P1790" i="2" s="1" a="1"/>
  <c r="P1790" i="2" s="1"/>
  <c r="O1768" i="2"/>
  <c r="P1768" i="2" s="1" a="1"/>
  <c r="P1768" i="2" s="1"/>
  <c r="O1738" i="2"/>
  <c r="P1738" i="2" s="1" a="1"/>
  <c r="P1738" i="2" s="1"/>
  <c r="O1734" i="2"/>
  <c r="P1734" i="2" s="1" a="1"/>
  <c r="P1734" i="2" s="1"/>
  <c r="O1730" i="2"/>
  <c r="P1730" i="2" s="1" a="1"/>
  <c r="P1730" i="2" s="1"/>
  <c r="O1717" i="2"/>
  <c r="P1717" i="2" s="1" a="1"/>
  <c r="P1717" i="2" s="1"/>
  <c r="O1708" i="2"/>
  <c r="P1708" i="2" s="1" a="1"/>
  <c r="P1708" i="2" s="1"/>
  <c r="O1652" i="2"/>
  <c r="P1652" i="2" s="1" a="1"/>
  <c r="P1652" i="2" s="1"/>
  <c r="O1634" i="2"/>
  <c r="P1634" i="2" s="1" a="1"/>
  <c r="P1634" i="2" s="1"/>
  <c r="O1609" i="2"/>
  <c r="P1609" i="2" s="1" a="1"/>
  <c r="P1609" i="2" s="1"/>
  <c r="O1601" i="2"/>
  <c r="P1601" i="2" s="1" a="1"/>
  <c r="P1601" i="2" s="1"/>
  <c r="O1544" i="2"/>
  <c r="P1544" i="2" s="1" a="1"/>
  <c r="P1544" i="2" s="1"/>
  <c r="O1510" i="2"/>
  <c r="P1510" i="2" s="1" a="1"/>
  <c r="P1510" i="2" s="1"/>
  <c r="O1468" i="2"/>
  <c r="P1468" i="2" s="1" a="1"/>
  <c r="P1468" i="2" s="1"/>
  <c r="O1361" i="2"/>
  <c r="P1361" i="2" s="1" a="1"/>
  <c r="P1361" i="2" s="1"/>
  <c r="O1348" i="2"/>
  <c r="P1348" i="2" s="1" a="1"/>
  <c r="P1348" i="2" s="1"/>
  <c r="O1339" i="2"/>
  <c r="P1339" i="2" s="1" a="1"/>
  <c r="P1339" i="2" s="1"/>
  <c r="O1304" i="2"/>
  <c r="P1304" i="2" s="1" a="1"/>
  <c r="P1304" i="2" s="1"/>
  <c r="O1295" i="2"/>
  <c r="P1295" i="2" s="1" a="1"/>
  <c r="P1295" i="2" s="1"/>
  <c r="O1228" i="2"/>
  <c r="P1228" i="2" s="1" a="1"/>
  <c r="P1228" i="2" s="1"/>
  <c r="O1219" i="2"/>
  <c r="P1219" i="2" s="1" a="1"/>
  <c r="P1219" i="2" s="1"/>
  <c r="O1145" i="2"/>
  <c r="P1145" i="2" s="1" a="1"/>
  <c r="P1145" i="2" s="1"/>
  <c r="O1116" i="2"/>
  <c r="P1116" i="2" s="1" a="1"/>
  <c r="P1116" i="2" s="1"/>
  <c r="O1094" i="2"/>
  <c r="P1094" i="2" s="1" a="1"/>
  <c r="P1094" i="2" s="1"/>
  <c r="O949" i="2"/>
  <c r="P949" i="2" s="1" a="1"/>
  <c r="P949" i="2" s="1"/>
  <c r="O940" i="2"/>
  <c r="P940" i="2" s="1" a="1"/>
  <c r="P940" i="2" s="1"/>
  <c r="O904" i="2"/>
  <c r="P904" i="2" s="1" a="1"/>
  <c r="P904" i="2" s="1"/>
  <c r="O895" i="2"/>
  <c r="P895" i="2" s="1" a="1"/>
  <c r="P895" i="2" s="1"/>
  <c r="O860" i="2"/>
  <c r="P860" i="2" s="1" a="1"/>
  <c r="P860" i="2" s="1"/>
  <c r="O851" i="2"/>
  <c r="P851" i="2" s="1" a="1"/>
  <c r="P851" i="2" s="1"/>
  <c r="O842" i="2"/>
  <c r="P842" i="2" s="1" a="1"/>
  <c r="P842" i="2" s="1"/>
  <c r="O824" i="2"/>
  <c r="P824" i="2" s="1" a="1"/>
  <c r="P824" i="2" s="1"/>
  <c r="O802" i="2"/>
  <c r="P802" i="2" s="1" a="1"/>
  <c r="P802" i="2" s="1"/>
  <c r="O784" i="2"/>
  <c r="P784" i="2" s="1" a="1"/>
  <c r="P784" i="2" s="1"/>
  <c r="O752" i="2"/>
  <c r="P752" i="2" s="1" a="1"/>
  <c r="P752" i="2" s="1"/>
  <c r="O738" i="2"/>
  <c r="P738" i="2" s="1" a="1"/>
  <c r="P738" i="2" s="1"/>
  <c r="O729" i="2"/>
  <c r="P729" i="2" s="1" a="1"/>
  <c r="P729" i="2" s="1"/>
  <c r="O692" i="2"/>
  <c r="P692" i="2" s="1" a="1"/>
  <c r="P692" i="2" s="1"/>
  <c r="O669" i="2"/>
  <c r="P669" i="2" s="1" a="1"/>
  <c r="P669" i="2" s="1"/>
  <c r="O660" i="2"/>
  <c r="P660" i="2" s="1" a="1"/>
  <c r="P660" i="2" s="1"/>
  <c r="O621" i="2"/>
  <c r="P621" i="2" s="1" a="1"/>
  <c r="P621" i="2" s="1"/>
  <c r="O599" i="2"/>
  <c r="P599" i="2" s="1" a="1"/>
  <c r="P599" i="2" s="1"/>
  <c r="O573" i="2"/>
  <c r="P573" i="2" s="1" a="1"/>
  <c r="P573" i="2" s="1"/>
  <c r="O560" i="2"/>
  <c r="P560" i="2" s="1" a="1"/>
  <c r="P560" i="2" s="1"/>
  <c r="O551" i="2"/>
  <c r="P551" i="2" s="1" a="1"/>
  <c r="P551" i="2" s="1"/>
  <c r="O534" i="2"/>
  <c r="P534" i="2" s="1" a="1"/>
  <c r="P534" i="2" s="1"/>
  <c r="O491" i="2"/>
  <c r="P491" i="2" s="1" a="1"/>
  <c r="P491" i="2" s="1"/>
  <c r="O454" i="2"/>
  <c r="P454" i="2" s="1" a="1"/>
  <c r="P454" i="2" s="1"/>
  <c r="O445" i="2"/>
  <c r="P445" i="2" s="1" a="1"/>
  <c r="P445" i="2" s="1"/>
  <c r="O441" i="2"/>
  <c r="P441" i="2" s="1" a="1"/>
  <c r="P441" i="2" s="1"/>
  <c r="O432" i="2"/>
  <c r="P432" i="2" s="1" a="1"/>
  <c r="P432" i="2" s="1"/>
  <c r="O405" i="2"/>
  <c r="P405" i="2" s="1" a="1"/>
  <c r="P405" i="2" s="1"/>
  <c r="O393" i="2"/>
  <c r="P393" i="2" s="1" a="1"/>
  <c r="P393" i="2" s="1"/>
  <c r="O379" i="2"/>
  <c r="P379" i="2" s="1" a="1"/>
  <c r="P379" i="2" s="1"/>
  <c r="O352" i="2"/>
  <c r="P352" i="2" s="1" a="1"/>
  <c r="P352" i="2" s="1"/>
  <c r="O321" i="2"/>
  <c r="P321" i="2" s="1" a="1"/>
  <c r="P321" i="2" s="1"/>
  <c r="O285" i="2"/>
  <c r="P285" i="2" s="1" a="1"/>
  <c r="P285" i="2" s="1"/>
  <c r="O276" i="2"/>
  <c r="P276" i="2" s="1" a="1"/>
  <c r="P276" i="2" s="1"/>
  <c r="O217" i="2"/>
  <c r="P217" i="2" s="1" a="1"/>
  <c r="P217" i="2" s="1"/>
  <c r="O195" i="2"/>
  <c r="P195" i="2" s="1" a="1"/>
  <c r="P195" i="2" s="1"/>
  <c r="O141" i="2"/>
  <c r="P141" i="2" s="1" a="1"/>
  <c r="P141" i="2" s="1"/>
  <c r="O118" i="2"/>
  <c r="P118" i="2" s="1" a="1"/>
  <c r="P118" i="2" s="1"/>
  <c r="O40" i="2"/>
  <c r="P40" i="2" s="1" a="1"/>
  <c r="P40" i="2" s="1"/>
  <c r="O31" i="2"/>
  <c r="P31" i="2" s="1" a="1"/>
  <c r="P31" i="2" s="1"/>
  <c r="O1815" i="2"/>
  <c r="P1815" i="2" s="1" a="1"/>
  <c r="P1815" i="2" s="1"/>
  <c r="O1747" i="2"/>
  <c r="P1747" i="2" s="1" a="1"/>
  <c r="P1747" i="2" s="1"/>
  <c r="O1657" i="2"/>
  <c r="P1657" i="2" s="1" a="1"/>
  <c r="P1657" i="2" s="1"/>
  <c r="O1567" i="2"/>
  <c r="P1567" i="2" s="1" a="1"/>
  <c r="P1567" i="2" s="1"/>
  <c r="O1426" i="2"/>
  <c r="P1426" i="2" s="1" a="1"/>
  <c r="P1426" i="2" s="1"/>
  <c r="O1375" i="2"/>
  <c r="P1375" i="2" s="1" a="1"/>
  <c r="P1375" i="2" s="1"/>
  <c r="O1300" i="2"/>
  <c r="P1300" i="2" s="1" a="1"/>
  <c r="P1300" i="2" s="1"/>
  <c r="O1287" i="2"/>
  <c r="P1287" i="2" s="1" a="1"/>
  <c r="P1287" i="2" s="1"/>
  <c r="O1150" i="2"/>
  <c r="P1150" i="2" s="1" a="1"/>
  <c r="P1150" i="2" s="1"/>
  <c r="O1133" i="2"/>
  <c r="P1133" i="2" s="1" a="1"/>
  <c r="P1133" i="2" s="1"/>
  <c r="O1108" i="2"/>
  <c r="P1108" i="2" s="1" a="1"/>
  <c r="P1108" i="2" s="1"/>
  <c r="O1038" i="2"/>
  <c r="P1038" i="2" s="1" a="1"/>
  <c r="P1038" i="2" s="1"/>
  <c r="O1020" i="2"/>
  <c r="P1020" i="2" s="1" a="1"/>
  <c r="P1020" i="2" s="1"/>
  <c r="O985" i="2"/>
  <c r="P985" i="2" s="1" a="1"/>
  <c r="P985" i="2" s="1"/>
  <c r="O829" i="2"/>
  <c r="P829" i="2" s="1" a="1"/>
  <c r="P829" i="2" s="1"/>
  <c r="O820" i="2"/>
  <c r="O725" i="2"/>
  <c r="P725" i="2" s="1" a="1"/>
  <c r="P725" i="2" s="1"/>
  <c r="O591" i="2"/>
  <c r="P591" i="2" s="1" a="1"/>
  <c r="P591" i="2" s="1"/>
  <c r="O547" i="2"/>
  <c r="P547" i="2" s="1" a="1"/>
  <c r="P547" i="2" s="1"/>
  <c r="O505" i="2"/>
  <c r="P505" i="2" s="1" a="1"/>
  <c r="P505" i="2" s="1"/>
  <c r="O496" i="2"/>
  <c r="P496" i="2" s="1" a="1"/>
  <c r="P496" i="2" s="1"/>
  <c r="O295" i="2"/>
  <c r="P295" i="2" s="1" a="1"/>
  <c r="P295" i="2" s="1"/>
  <c r="O245" i="2"/>
  <c r="P245" i="2" s="1" a="1"/>
  <c r="P245" i="2" s="1"/>
  <c r="O114" i="2"/>
  <c r="P114" i="2" s="1" a="1"/>
  <c r="P114" i="2" s="1"/>
  <c r="O100" i="2"/>
  <c r="P100" i="2" s="1" a="1"/>
  <c r="P100" i="2" s="1"/>
  <c r="O27" i="2"/>
  <c r="P27" i="2" s="1" a="1"/>
  <c r="P27" i="2" s="1"/>
  <c r="O1781" i="2"/>
  <c r="P1781" i="2" s="1" a="1"/>
  <c r="P1781" i="2" s="1"/>
  <c r="O1764" i="2"/>
  <c r="P1764" i="2" s="1" a="1"/>
  <c r="P1764" i="2" s="1"/>
  <c r="O1726" i="2"/>
  <c r="P1726" i="2" s="1" a="1"/>
  <c r="P1726" i="2" s="1"/>
  <c r="O1713" i="2"/>
  <c r="P1713" i="2" s="1" a="1"/>
  <c r="P1713" i="2" s="1"/>
  <c r="O1699" i="2"/>
  <c r="P1699" i="2" s="1" a="1"/>
  <c r="P1699" i="2" s="1"/>
  <c r="O1643" i="2"/>
  <c r="P1643" i="2" s="1" a="1"/>
  <c r="P1643" i="2" s="1"/>
  <c r="O1593" i="2"/>
  <c r="P1593" i="2" s="1" a="1"/>
  <c r="P1593" i="2" s="1"/>
  <c r="O1580" i="2"/>
  <c r="P1580" i="2" s="1" a="1"/>
  <c r="P1580" i="2" s="1"/>
  <c r="O1443" i="2"/>
  <c r="P1443" i="2" s="1" a="1"/>
  <c r="P1443" i="2" s="1"/>
  <c r="O1430" i="2"/>
  <c r="P1430" i="2" s="1" a="1"/>
  <c r="P1430" i="2" s="1"/>
  <c r="O1422" i="2"/>
  <c r="P1422" i="2" s="1" a="1"/>
  <c r="P1422" i="2" s="1"/>
  <c r="O1388" i="2"/>
  <c r="P1388" i="2" s="1" a="1"/>
  <c r="P1388" i="2" s="1"/>
  <c r="O1379" i="2"/>
  <c r="P1379" i="2" s="1" a="1"/>
  <c r="P1379" i="2" s="1"/>
  <c r="O1366" i="2"/>
  <c r="P1366" i="2" s="1" a="1"/>
  <c r="P1366" i="2" s="1"/>
  <c r="O1344" i="2"/>
  <c r="P1344" i="2" s="1" a="1"/>
  <c r="P1344" i="2" s="1"/>
  <c r="O1291" i="2"/>
  <c r="P1291" i="2" s="1" a="1"/>
  <c r="P1291" i="2" s="1"/>
  <c r="O1233" i="2"/>
  <c r="P1233" i="2" s="1" a="1"/>
  <c r="P1233" i="2" s="1"/>
  <c r="O1215" i="2"/>
  <c r="P1215" i="2" s="1" a="1"/>
  <c r="P1215" i="2" s="1"/>
  <c r="O1194" i="2"/>
  <c r="P1194" i="2" s="1" a="1"/>
  <c r="P1194" i="2" s="1"/>
  <c r="O1033" i="2"/>
  <c r="P1033" i="2" s="1" a="1"/>
  <c r="P1033" i="2" s="1"/>
  <c r="O847" i="2"/>
  <c r="P847" i="2" s="1" a="1"/>
  <c r="P847" i="2" s="1"/>
  <c r="O771" i="2"/>
  <c r="P771" i="2" s="1" a="1"/>
  <c r="P771" i="2" s="1"/>
  <c r="O757" i="2"/>
  <c r="P757" i="2" s="1" a="1"/>
  <c r="P757" i="2" s="1"/>
  <c r="O743" i="2"/>
  <c r="P743" i="2" s="1" a="1"/>
  <c r="P743" i="2" s="1"/>
  <c r="O617" i="2"/>
  <c r="P617" i="2" s="1" a="1"/>
  <c r="P617" i="2" s="1"/>
  <c r="O509" i="2"/>
  <c r="P509" i="2" s="1" a="1"/>
  <c r="P509" i="2" s="1"/>
  <c r="O375" i="2"/>
  <c r="P375" i="2" s="1" a="1"/>
  <c r="P375" i="2" s="1"/>
  <c r="O200" i="2"/>
  <c r="P200" i="2" s="1" a="1"/>
  <c r="P200" i="2" s="1"/>
  <c r="O164" i="2"/>
  <c r="P164" i="2" s="1" a="1"/>
  <c r="P164" i="2" s="1"/>
  <c r="O155" i="2"/>
  <c r="P155" i="2" s="1" a="1"/>
  <c r="P155" i="2" s="1"/>
  <c r="O1831" i="2"/>
  <c r="P1831" i="2" s="1" a="1"/>
  <c r="P1831" i="2" s="1"/>
  <c r="O1843" i="2"/>
  <c r="P1843" i="2" s="1" a="1"/>
  <c r="P1843" i="2" s="1"/>
  <c r="O1814" i="2"/>
  <c r="P1814" i="2" s="1" a="1"/>
  <c r="P1814" i="2" s="1"/>
  <c r="O1785" i="2"/>
  <c r="P1785" i="2" s="1" a="1"/>
  <c r="P1785" i="2" s="1"/>
  <c r="O1772" i="2"/>
  <c r="P1772" i="2" s="1" a="1"/>
  <c r="P1772" i="2" s="1"/>
  <c r="O1759" i="2"/>
  <c r="P1759" i="2" s="1" a="1"/>
  <c r="P1759" i="2" s="1"/>
  <c r="O1755" i="2"/>
  <c r="P1755" i="2" s="1" a="1"/>
  <c r="P1755" i="2" s="1"/>
  <c r="O1742" i="2"/>
  <c r="P1742" i="2" s="1" a="1"/>
  <c r="P1742" i="2" s="1"/>
  <c r="O1703" i="2"/>
  <c r="P1703" i="2" s="1" a="1"/>
  <c r="P1703" i="2" s="1"/>
  <c r="O1665" i="2"/>
  <c r="P1665" i="2" s="1" a="1"/>
  <c r="P1665" i="2" s="1"/>
  <c r="O1656" i="2"/>
  <c r="P1656" i="2" s="1" a="1"/>
  <c r="P1656" i="2" s="1"/>
  <c r="O1647" i="2"/>
  <c r="P1647" i="2" s="1" a="1"/>
  <c r="P1647" i="2" s="1"/>
  <c r="O1575" i="2"/>
  <c r="P1575" i="2" s="1" a="1"/>
  <c r="P1575" i="2" s="1"/>
  <c r="O1566" i="2"/>
  <c r="P1566" i="2" s="1" a="1"/>
  <c r="P1566" i="2" s="1"/>
  <c r="O1526" i="2"/>
  <c r="P1526" i="2" s="1" a="1"/>
  <c r="P1526" i="2" s="1"/>
  <c r="O1472" i="2"/>
  <c r="P1472" i="2" s="1" a="1"/>
  <c r="P1472" i="2" s="1"/>
  <c r="O1460" i="2"/>
  <c r="P1460" i="2" s="1" a="1"/>
  <c r="P1460" i="2" s="1"/>
  <c r="O1451" i="2"/>
  <c r="P1451" i="2" s="1" a="1"/>
  <c r="P1451" i="2" s="1"/>
  <c r="O1438" i="2"/>
  <c r="P1438" i="2" s="1" a="1"/>
  <c r="P1438" i="2" s="1"/>
  <c r="O1409" i="2"/>
  <c r="P1409" i="2" s="1" a="1"/>
  <c r="P1409" i="2" s="1"/>
  <c r="O1392" i="2"/>
  <c r="P1392" i="2" s="1" a="1"/>
  <c r="P1392" i="2" s="1"/>
  <c r="O1383" i="2"/>
  <c r="P1383" i="2" s="1" a="1"/>
  <c r="P1383" i="2" s="1"/>
  <c r="O1374" i="2"/>
  <c r="P1374" i="2" s="1" a="1"/>
  <c r="P1374" i="2" s="1"/>
  <c r="O1321" i="2"/>
  <c r="P1321" i="2" s="1" a="1"/>
  <c r="P1321" i="2" s="1"/>
  <c r="O1299" i="2"/>
  <c r="P1299" i="2" s="1" a="1"/>
  <c r="P1299" i="2" s="1"/>
  <c r="O1237" i="2"/>
  <c r="P1237" i="2" s="1" a="1"/>
  <c r="P1237" i="2" s="1"/>
  <c r="O962" i="2"/>
  <c r="P962" i="2" s="1" a="1"/>
  <c r="P962" i="2" s="1"/>
  <c r="O935" i="2"/>
  <c r="P935" i="2" s="1" a="1"/>
  <c r="P935" i="2" s="1"/>
  <c r="O926" i="2"/>
  <c r="P926" i="2" s="1" a="1"/>
  <c r="P926" i="2" s="1"/>
  <c r="O828" i="2"/>
  <c r="P828" i="2" s="1" a="1"/>
  <c r="P828" i="2" s="1"/>
  <c r="O761" i="2"/>
  <c r="P761" i="2" s="1" a="1"/>
  <c r="P761" i="2" s="1"/>
  <c r="O678" i="2"/>
  <c r="P678" i="2" s="1" a="1"/>
  <c r="P678" i="2" s="1"/>
  <c r="O495" i="2"/>
  <c r="P495" i="2" s="1" a="1"/>
  <c r="P495" i="2" s="1"/>
  <c r="O477" i="2"/>
  <c r="P477" i="2" s="1" a="1"/>
  <c r="P477" i="2" s="1"/>
  <c r="O463" i="2"/>
  <c r="P463" i="2" s="1" a="1"/>
  <c r="P463" i="2" s="1"/>
  <c r="O449" i="2"/>
  <c r="P449" i="2" s="1" a="1"/>
  <c r="P449" i="2" s="1"/>
  <c r="O427" i="2"/>
  <c r="P427" i="2" s="1" a="1"/>
  <c r="P427" i="2" s="1"/>
  <c r="O330" i="2"/>
  <c r="P330" i="2" s="1" a="1"/>
  <c r="P330" i="2" s="1"/>
  <c r="O303" i="2"/>
  <c r="P303" i="2" s="1" a="1"/>
  <c r="P303" i="2" s="1"/>
  <c r="O204" i="2"/>
  <c r="P204" i="2" s="1" a="1"/>
  <c r="P204" i="2" s="1"/>
  <c r="O168" i="2"/>
  <c r="P168" i="2" s="1" a="1"/>
  <c r="P168" i="2" s="1"/>
  <c r="O159" i="2"/>
  <c r="P159" i="2" s="1" a="1"/>
  <c r="P159" i="2" s="1"/>
  <c r="O127" i="2"/>
  <c r="P127" i="2" s="1" a="1"/>
  <c r="P127" i="2" s="1"/>
  <c r="O81" i="2"/>
  <c r="P81" i="2" s="1" a="1"/>
  <c r="P81" i="2" s="1"/>
  <c r="O26" i="2"/>
  <c r="P26" i="2" s="1" a="1"/>
  <c r="P26" i="2" s="1"/>
  <c r="O12" i="2"/>
  <c r="P12" i="2" s="1" a="1"/>
  <c r="P12" i="2" s="1"/>
  <c r="O1823" i="2"/>
  <c r="P1823" i="2" s="1" a="1"/>
  <c r="P1823" i="2" s="1"/>
  <c r="O1648" i="2"/>
  <c r="P1648" i="2" s="1" a="1"/>
  <c r="P1648" i="2" s="1"/>
  <c r="O1780" i="2"/>
  <c r="P1780" i="2" s="1" a="1"/>
  <c r="P1780" i="2" s="1"/>
  <c r="O1763" i="2"/>
  <c r="P1763" i="2" s="1" a="1"/>
  <c r="P1763" i="2" s="1"/>
  <c r="O1721" i="2"/>
  <c r="P1721" i="2" s="1" a="1"/>
  <c r="P1721" i="2" s="1"/>
  <c r="O1712" i="2"/>
  <c r="P1712" i="2" s="1" a="1"/>
  <c r="P1712" i="2" s="1"/>
  <c r="O1698" i="2"/>
  <c r="P1698" i="2" s="1" a="1"/>
  <c r="P1698" i="2" s="1"/>
  <c r="O1642" i="2"/>
  <c r="P1642" i="2" s="1" a="1"/>
  <c r="P1642" i="2" s="1"/>
  <c r="O1625" i="2"/>
  <c r="P1625" i="2" s="1" a="1"/>
  <c r="P1625" i="2" s="1"/>
  <c r="O1617" i="2"/>
  <c r="P1617" i="2" s="1" a="1"/>
  <c r="P1617" i="2" s="1"/>
  <c r="O1592" i="2"/>
  <c r="P1592" i="2" s="1" a="1"/>
  <c r="P1592" i="2" s="1"/>
  <c r="O1579" i="2"/>
  <c r="O1570" i="2"/>
  <c r="P1570" i="2" s="1" a="1"/>
  <c r="P1570" i="2" s="1"/>
  <c r="O1530" i="2"/>
  <c r="P1530" i="2" s="1" a="1"/>
  <c r="P1530" i="2" s="1"/>
  <c r="O1488" i="2"/>
  <c r="P1488" i="2" s="1" a="1"/>
  <c r="P1488" i="2" s="1"/>
  <c r="O1455" i="2"/>
  <c r="P1455" i="2" s="1" a="1"/>
  <c r="P1455" i="2" s="1"/>
  <c r="O1421" i="2"/>
  <c r="P1421" i="2" s="1" a="1"/>
  <c r="P1421" i="2" s="1"/>
  <c r="O1396" i="2"/>
  <c r="P1396" i="2" s="1" a="1"/>
  <c r="P1396" i="2" s="1"/>
  <c r="O1334" i="2"/>
  <c r="P1334" i="2" s="1" a="1"/>
  <c r="P1334" i="2" s="1"/>
  <c r="O1308" i="2"/>
  <c r="P1308" i="2" s="1" a="1"/>
  <c r="P1308" i="2" s="1"/>
  <c r="O1265" i="2"/>
  <c r="P1265" i="2" s="1" a="1"/>
  <c r="P1265" i="2" s="1"/>
  <c r="O1261" i="2"/>
  <c r="P1261" i="2" s="1" a="1"/>
  <c r="P1261" i="2" s="1"/>
  <c r="O1241" i="2"/>
  <c r="P1241" i="2" s="1" a="1"/>
  <c r="P1241" i="2" s="1"/>
  <c r="O1232" i="2"/>
  <c r="P1232" i="2" s="1" a="1"/>
  <c r="P1232" i="2" s="1"/>
  <c r="O1223" i="2"/>
  <c r="P1223" i="2" s="1" a="1"/>
  <c r="P1223" i="2" s="1"/>
  <c r="O1214" i="2"/>
  <c r="P1214" i="2" s="1" a="1"/>
  <c r="P1214" i="2" s="1"/>
  <c r="O1071" i="2"/>
  <c r="P1071" i="2" s="1" a="1"/>
  <c r="P1071" i="2" s="1"/>
  <c r="O993" i="2"/>
  <c r="P993" i="2" s="1" a="1"/>
  <c r="P993" i="2" s="1"/>
  <c r="O975" i="2"/>
  <c r="P975" i="2" s="1" a="1"/>
  <c r="P975" i="2" s="1"/>
  <c r="O953" i="2"/>
  <c r="P953" i="2" s="1" a="1"/>
  <c r="P953" i="2" s="1"/>
  <c r="O944" i="2"/>
  <c r="P944" i="2" s="1" a="1"/>
  <c r="P944" i="2" s="1"/>
  <c r="O908" i="2"/>
  <c r="P908" i="2" s="1" a="1"/>
  <c r="P908" i="2" s="1"/>
  <c r="O855" i="2"/>
  <c r="P855" i="2" s="1" a="1"/>
  <c r="P855" i="2" s="1"/>
  <c r="O846" i="2"/>
  <c r="P846" i="2" s="1" a="1"/>
  <c r="P846" i="2" s="1"/>
  <c r="O806" i="2"/>
  <c r="P806" i="2" s="1" a="1"/>
  <c r="P806" i="2" s="1"/>
  <c r="O788" i="2"/>
  <c r="P788" i="2" s="1" a="1"/>
  <c r="P788" i="2" s="1"/>
  <c r="O756" i="2"/>
  <c r="P756" i="2" s="1" a="1"/>
  <c r="P756" i="2" s="1"/>
  <c r="O742" i="2"/>
  <c r="P742" i="2" s="1" a="1"/>
  <c r="P742" i="2" s="1"/>
  <c r="O733" i="2"/>
  <c r="P733" i="2" s="1" a="1"/>
  <c r="P733" i="2" s="1"/>
  <c r="O710" i="2"/>
  <c r="P710" i="2" s="1" a="1"/>
  <c r="P710" i="2" s="1"/>
  <c r="O472" i="2"/>
  <c r="P472" i="2" s="1" a="1"/>
  <c r="P472" i="2" s="1"/>
  <c r="O458" i="2"/>
  <c r="P458" i="2" s="1" a="1"/>
  <c r="P458" i="2" s="1"/>
  <c r="O356" i="2"/>
  <c r="P356" i="2" s="1" a="1"/>
  <c r="P356" i="2" s="1"/>
  <c r="O347" i="2"/>
  <c r="P347" i="2" s="1" a="1"/>
  <c r="P347" i="2" s="1"/>
  <c r="O325" i="2"/>
  <c r="P325" i="2" s="1" a="1"/>
  <c r="P325" i="2" s="1"/>
  <c r="O271" i="2"/>
  <c r="P271" i="2" s="1" a="1"/>
  <c r="P271" i="2" s="1"/>
  <c r="O235" i="2"/>
  <c r="P235" i="2" s="1" a="1"/>
  <c r="P235" i="2" s="1"/>
  <c r="O221" i="2"/>
  <c r="P221" i="2" s="1" a="1"/>
  <c r="P221" i="2" s="1"/>
  <c r="O199" i="2"/>
  <c r="P199" i="2" s="1" a="1"/>
  <c r="P199" i="2" s="1"/>
  <c r="O122" i="2"/>
  <c r="P122" i="2" s="1" a="1"/>
  <c r="P122" i="2" s="1"/>
  <c r="O94" i="2"/>
  <c r="P94" i="2" s="1" a="1"/>
  <c r="P94" i="2" s="1"/>
  <c r="O90" i="2"/>
  <c r="P90" i="2" s="1" a="1"/>
  <c r="P90" i="2" s="1"/>
  <c r="O67" i="2"/>
  <c r="P67" i="2" s="1" a="1"/>
  <c r="P67" i="2" s="1"/>
  <c r="O53" i="2"/>
  <c r="P53" i="2" s="1" a="1"/>
  <c r="P53" i="2" s="1"/>
  <c r="O1561" i="2"/>
  <c r="P1561" i="2" s="1" a="1"/>
  <c r="P1561" i="2" s="1"/>
  <c r="O1557" i="2"/>
  <c r="P1557" i="2" s="1" a="1"/>
  <c r="P1557" i="2" s="1"/>
  <c r="O1531" i="2"/>
  <c r="P1531" i="2" s="1" a="1"/>
  <c r="P1531" i="2" s="1"/>
  <c r="O1485" i="2"/>
  <c r="P1485" i="2" s="1" a="1"/>
  <c r="P1485" i="2" s="1"/>
  <c r="O1435" i="2"/>
  <c r="P1435" i="2" s="1" a="1"/>
  <c r="P1435" i="2" s="1"/>
  <c r="O1406" i="2"/>
  <c r="P1406" i="2" s="1" a="1"/>
  <c r="P1406" i="2" s="1"/>
  <c r="O1372" i="2"/>
  <c r="P1372" i="2" s="1" a="1"/>
  <c r="P1372" i="2" s="1"/>
  <c r="O1363" i="2"/>
  <c r="P1363" i="2" s="1" a="1"/>
  <c r="P1363" i="2" s="1"/>
  <c r="O1354" i="2"/>
  <c r="P1354" i="2" s="1" a="1"/>
  <c r="P1354" i="2" s="1"/>
  <c r="O1350" i="2"/>
  <c r="P1350" i="2" s="1" a="1"/>
  <c r="P1350" i="2" s="1"/>
  <c r="O1341" i="2"/>
  <c r="P1341" i="2" s="1" a="1"/>
  <c r="P1341" i="2" s="1"/>
  <c r="O1332" i="2"/>
  <c r="P1332" i="2" s="1" a="1"/>
  <c r="P1332" i="2" s="1"/>
  <c r="O1319" i="2"/>
  <c r="P1319" i="2" s="1" a="1"/>
  <c r="P1319" i="2" s="1"/>
  <c r="O1315" i="2"/>
  <c r="P1315" i="2" s="1" a="1"/>
  <c r="P1315" i="2" s="1"/>
  <c r="O1297" i="2"/>
  <c r="P1297" i="2" s="1" a="1"/>
  <c r="P1297" i="2" s="1"/>
  <c r="O1276" i="2"/>
  <c r="P1276" i="2" s="1" a="1"/>
  <c r="P1276" i="2" s="1"/>
  <c r="O1256" i="2"/>
  <c r="P1256" i="2" s="1" a="1"/>
  <c r="P1256" i="2" s="1"/>
  <c r="O1248" i="2"/>
  <c r="P1248" i="2" s="1" a="1"/>
  <c r="P1248" i="2" s="1"/>
  <c r="O1231" i="2"/>
  <c r="P1231" i="2" s="1" a="1"/>
  <c r="P1231" i="2" s="1"/>
  <c r="O1222" i="2"/>
  <c r="P1222" i="2" s="1" a="1"/>
  <c r="P1222" i="2" s="1"/>
  <c r="O1209" i="2"/>
  <c r="P1209" i="2" s="1" a="1"/>
  <c r="P1209" i="2" s="1"/>
  <c r="O1205" i="2"/>
  <c r="P1205" i="2" s="1" a="1"/>
  <c r="P1205" i="2" s="1"/>
  <c r="O1167" i="2"/>
  <c r="P1167" i="2" s="1" a="1"/>
  <c r="P1167" i="2" s="1"/>
  <c r="O1158" i="2"/>
  <c r="P1158" i="2" s="1" a="1"/>
  <c r="P1158" i="2" s="1"/>
  <c r="O1149" i="2"/>
  <c r="P1149" i="2" s="1" a="1"/>
  <c r="P1149" i="2" s="1"/>
  <c r="O1132" i="2"/>
  <c r="P1132" i="2" s="1" a="1"/>
  <c r="P1132" i="2" s="1"/>
  <c r="O1124" i="2"/>
  <c r="P1124" i="2" s="1" a="1"/>
  <c r="P1124" i="2" s="1"/>
  <c r="O1120" i="2"/>
  <c r="P1120" i="2" s="1" a="1"/>
  <c r="P1120" i="2" s="1"/>
  <c r="O1107" i="2"/>
  <c r="P1107" i="2" s="1" a="1"/>
  <c r="P1107" i="2" s="1"/>
  <c r="O1098" i="2"/>
  <c r="P1098" i="2" s="1" a="1"/>
  <c r="P1098" i="2" s="1"/>
  <c r="O1063" i="2"/>
  <c r="P1063" i="2" s="1" a="1"/>
  <c r="P1063" i="2" s="1"/>
  <c r="O1011" i="2"/>
  <c r="P1011" i="2" s="1" a="1"/>
  <c r="P1011" i="2" s="1"/>
  <c r="O1002" i="2"/>
  <c r="P1002" i="2" s="1" a="1"/>
  <c r="P1002" i="2" s="1"/>
  <c r="O994" i="2"/>
  <c r="P994" i="2" s="1" a="1"/>
  <c r="P994" i="2" s="1"/>
  <c r="O950" i="2"/>
  <c r="P950" i="2" s="1" a="1"/>
  <c r="P950" i="2" s="1"/>
  <c r="O941" i="2"/>
  <c r="P941" i="2" s="1" a="1"/>
  <c r="P941" i="2" s="1"/>
  <c r="O919" i="2"/>
  <c r="P919" i="2" s="1" a="1"/>
  <c r="P919" i="2" s="1"/>
  <c r="O915" i="2"/>
  <c r="P915" i="2" s="1" a="1"/>
  <c r="P915" i="2" s="1"/>
  <c r="O884" i="2"/>
  <c r="P884" i="2" s="1" a="1"/>
  <c r="P884" i="2" s="1"/>
  <c r="O849" i="2"/>
  <c r="P849" i="2" s="1" a="1"/>
  <c r="P849" i="2" s="1"/>
  <c r="O840" i="2"/>
  <c r="P840" i="2" s="1" a="1"/>
  <c r="P840" i="2" s="1"/>
  <c r="O831" i="2"/>
  <c r="P831" i="2" s="1" a="1"/>
  <c r="P831" i="2" s="1"/>
  <c r="O822" i="2"/>
  <c r="P822" i="2" s="1" a="1"/>
  <c r="P822" i="2" s="1"/>
  <c r="O765" i="2"/>
  <c r="P765" i="2" s="1" a="1"/>
  <c r="P765" i="2" s="1"/>
  <c r="O737" i="2"/>
  <c r="P737" i="2" s="1" a="1"/>
  <c r="P737" i="2" s="1"/>
  <c r="O705" i="2"/>
  <c r="P705" i="2" s="1" a="1"/>
  <c r="P705" i="2" s="1"/>
  <c r="O655" i="2"/>
  <c r="P655" i="2" s="1" a="1"/>
  <c r="P655" i="2" s="1"/>
  <c r="O634" i="2"/>
  <c r="P634" i="2" s="1" a="1"/>
  <c r="P634" i="2" s="1"/>
  <c r="O625" i="2"/>
  <c r="P625" i="2" s="1" a="1"/>
  <c r="P625" i="2" s="1"/>
  <c r="O590" i="2"/>
  <c r="P590" i="2" s="1" a="1"/>
  <c r="P590" i="2" s="1"/>
  <c r="O577" i="2"/>
  <c r="P577" i="2" s="1" a="1"/>
  <c r="P577" i="2" s="1"/>
  <c r="O564" i="2"/>
  <c r="P564" i="2" s="1" a="1"/>
  <c r="P564" i="2" s="1"/>
  <c r="O500" i="2"/>
  <c r="O469" i="2"/>
  <c r="P469" i="2" s="1" a="1"/>
  <c r="P469" i="2" s="1"/>
  <c r="O455" i="2"/>
  <c r="P455" i="2" s="1" a="1"/>
  <c r="P455" i="2" s="1"/>
  <c r="O424" i="2"/>
  <c r="P424" i="2" s="1" a="1"/>
  <c r="P424" i="2" s="1"/>
  <c r="O380" i="2"/>
  <c r="P380" i="2" s="1" a="1"/>
  <c r="P380" i="2" s="1"/>
  <c r="O340" i="2"/>
  <c r="P340" i="2" s="1" a="1"/>
  <c r="P340" i="2" s="1"/>
  <c r="O255" i="2"/>
  <c r="P255" i="2" s="1" a="1"/>
  <c r="P255" i="2" s="1"/>
  <c r="O215" i="2"/>
  <c r="P215" i="2" s="1" a="1"/>
  <c r="P215" i="2" s="1"/>
  <c r="O175" i="2"/>
  <c r="P175" i="2" s="1" a="1"/>
  <c r="P175" i="2" s="1"/>
  <c r="O166" i="2"/>
  <c r="P166" i="2" s="1" a="1"/>
  <c r="P166" i="2" s="1"/>
  <c r="O139" i="2"/>
  <c r="P139" i="2" s="1" a="1"/>
  <c r="P139" i="2" s="1"/>
  <c r="O116" i="2"/>
  <c r="P116" i="2" s="1" a="1"/>
  <c r="P116" i="2" s="1"/>
  <c r="O1697" i="2"/>
  <c r="P1697" i="2" s="1" a="1"/>
  <c r="P1697" i="2" s="1"/>
  <c r="O1689" i="2"/>
  <c r="P1689" i="2" s="1" a="1"/>
  <c r="P1689" i="2" s="1"/>
  <c r="O1685" i="2"/>
  <c r="P1685" i="2" s="1" a="1"/>
  <c r="P1685" i="2" s="1"/>
  <c r="O1641" i="2"/>
  <c r="P1641" i="2" s="1" a="1"/>
  <c r="P1641" i="2" s="1"/>
  <c r="O1624" i="2"/>
  <c r="P1624" i="2" s="1" a="1"/>
  <c r="P1624" i="2" s="1"/>
  <c r="O1574" i="2"/>
  <c r="P1574" i="2" s="1" a="1"/>
  <c r="P1574" i="2" s="1"/>
  <c r="O1565" i="2"/>
  <c r="P1565" i="2" s="1" a="1"/>
  <c r="P1565" i="2" s="1"/>
  <c r="O1522" i="2"/>
  <c r="P1522" i="2" s="1" a="1"/>
  <c r="P1522" i="2" s="1"/>
  <c r="O1518" i="2"/>
  <c r="P1518" i="2" s="1" a="1"/>
  <c r="P1518" i="2" s="1"/>
  <c r="O1514" i="2"/>
  <c r="P1514" i="2" s="1" a="1"/>
  <c r="P1514" i="2" s="1"/>
  <c r="O1506" i="2"/>
  <c r="P1506" i="2" s="1" a="1"/>
  <c r="P1506" i="2" s="1"/>
  <c r="O1502" i="2"/>
  <c r="P1502" i="2" s="1" a="1"/>
  <c r="P1502" i="2" s="1"/>
  <c r="O1498" i="2"/>
  <c r="P1498" i="2" s="1" a="1"/>
  <c r="P1498" i="2" s="1"/>
  <c r="O1489" i="2"/>
  <c r="P1489" i="2" s="1" a="1"/>
  <c r="P1489" i="2" s="1"/>
  <c r="O1452" i="2"/>
  <c r="P1452" i="2" s="1" a="1"/>
  <c r="P1452" i="2" s="1"/>
  <c r="O1439" i="2"/>
  <c r="P1439" i="2" s="1" a="1"/>
  <c r="P1439" i="2" s="1"/>
  <c r="O1385" i="2"/>
  <c r="P1385" i="2" s="1" a="1"/>
  <c r="P1385" i="2" s="1"/>
  <c r="O1376" i="2"/>
  <c r="P1376" i="2" s="1" a="1"/>
  <c r="P1376" i="2" s="1"/>
  <c r="O1358" i="2"/>
  <c r="P1358" i="2" s="1" a="1"/>
  <c r="P1358" i="2" s="1"/>
  <c r="O1306" i="2"/>
  <c r="P1306" i="2" s="1" a="1"/>
  <c r="P1306" i="2" s="1"/>
  <c r="O1280" i="2"/>
  <c r="P1280" i="2" s="1" a="1"/>
  <c r="P1280" i="2" s="1"/>
  <c r="O1162" i="2"/>
  <c r="P1162" i="2" s="1" a="1"/>
  <c r="P1162" i="2" s="1"/>
  <c r="O1153" i="2"/>
  <c r="P1153" i="2" s="1" a="1"/>
  <c r="P1153" i="2" s="1"/>
  <c r="O1140" i="2"/>
  <c r="P1140" i="2" s="1" a="1"/>
  <c r="P1140" i="2" s="1"/>
  <c r="O1136" i="2"/>
  <c r="P1136" i="2" s="1" a="1"/>
  <c r="P1136" i="2" s="1"/>
  <c r="O1128" i="2"/>
  <c r="P1128" i="2" s="1" a="1"/>
  <c r="P1128" i="2" s="1"/>
  <c r="O1102" i="2"/>
  <c r="P1102" i="2" s="1" a="1"/>
  <c r="P1102" i="2" s="1"/>
  <c r="O1089" i="2"/>
  <c r="P1089" i="2" s="1" a="1"/>
  <c r="P1089" i="2" s="1"/>
  <c r="O1080" i="2"/>
  <c r="P1080" i="2" s="1" a="1"/>
  <c r="P1080" i="2" s="1"/>
  <c r="O1067" i="2"/>
  <c r="P1067" i="2" s="1" a="1"/>
  <c r="P1067" i="2" s="1"/>
  <c r="O1058" i="2"/>
  <c r="O1037" i="2"/>
  <c r="P1037" i="2" s="1" a="1"/>
  <c r="P1037" i="2" s="1"/>
  <c r="O989" i="2"/>
  <c r="P989" i="2" s="1" a="1"/>
  <c r="P989" i="2" s="1"/>
  <c r="O897" i="2"/>
  <c r="P897" i="2" s="1" a="1"/>
  <c r="P897" i="2" s="1"/>
  <c r="O875" i="2"/>
  <c r="P875" i="2" s="1" a="1"/>
  <c r="P875" i="2" s="1"/>
  <c r="O862" i="2"/>
  <c r="P862" i="2" s="1" a="1"/>
  <c r="P862" i="2" s="1"/>
  <c r="O817" i="2"/>
  <c r="P817" i="2" s="1" a="1"/>
  <c r="P817" i="2" s="1"/>
  <c r="O805" i="2"/>
  <c r="P805" i="2" s="1" a="1"/>
  <c r="P805" i="2" s="1"/>
  <c r="O787" i="2"/>
  <c r="P787" i="2" s="1" a="1"/>
  <c r="P787" i="2" s="1"/>
  <c r="O746" i="2"/>
  <c r="P746" i="2" s="1" a="1"/>
  <c r="P746" i="2" s="1"/>
  <c r="O714" i="2"/>
  <c r="P714" i="2" s="1" a="1"/>
  <c r="P714" i="2" s="1"/>
  <c r="O682" i="2"/>
  <c r="P682" i="2" s="1" a="1"/>
  <c r="P682" i="2" s="1"/>
  <c r="O659" i="2"/>
  <c r="P659" i="2" s="1" a="1"/>
  <c r="P659" i="2" s="1"/>
  <c r="O638" i="2"/>
  <c r="P638" i="2" s="1" a="1"/>
  <c r="P638" i="2" s="1"/>
  <c r="O620" i="2"/>
  <c r="P620" i="2" s="1" a="1"/>
  <c r="P620" i="2" s="1"/>
  <c r="O607" i="2"/>
  <c r="P607" i="2" s="1" a="1"/>
  <c r="P607" i="2" s="1"/>
  <c r="O594" i="2"/>
  <c r="P594" i="2" s="1" a="1"/>
  <c r="P594" i="2" s="1"/>
  <c r="O555" i="2"/>
  <c r="P555" i="2" s="1" a="1"/>
  <c r="P555" i="2" s="1"/>
  <c r="O504" i="2"/>
  <c r="P504" i="2" s="1" a="1"/>
  <c r="P504" i="2" s="1"/>
  <c r="O464" i="2"/>
  <c r="P464" i="2" s="1" a="1"/>
  <c r="P464" i="2" s="1"/>
  <c r="O428" i="2"/>
  <c r="P428" i="2" s="1" a="1"/>
  <c r="P428" i="2" s="1"/>
  <c r="O419" i="2"/>
  <c r="P419" i="2" s="1" a="1"/>
  <c r="P419" i="2" s="1"/>
  <c r="O389" i="2"/>
  <c r="P389" i="2" s="1" a="1"/>
  <c r="P389" i="2" s="1"/>
  <c r="O362" i="2"/>
  <c r="P362" i="2" s="1" a="1"/>
  <c r="P362" i="2" s="1"/>
  <c r="O277" i="2"/>
  <c r="P277" i="2" s="1" a="1"/>
  <c r="P277" i="2" s="1"/>
  <c r="O268" i="2"/>
  <c r="P268" i="2" s="1" a="1"/>
  <c r="P268" i="2" s="1"/>
  <c r="O259" i="2"/>
  <c r="P259" i="2" s="1" a="1"/>
  <c r="P259" i="2" s="1"/>
  <c r="O250" i="2"/>
  <c r="O188" i="2"/>
  <c r="O1545" i="2"/>
  <c r="O1495" i="2"/>
  <c r="O1482" i="2"/>
  <c r="P1482" i="2" s="1" a="1"/>
  <c r="P1482" i="2" s="1"/>
  <c r="O1478" i="2"/>
  <c r="P1478" i="2" s="1" a="1"/>
  <c r="P1478" i="2" s="1"/>
  <c r="O1470" i="2"/>
  <c r="P1470" i="2" s="1" a="1"/>
  <c r="P1470" i="2" s="1"/>
  <c r="O1408" i="2"/>
  <c r="P1408" i="2" s="1" a="1"/>
  <c r="P1408" i="2" s="1"/>
  <c r="O1387" i="2"/>
  <c r="P1387" i="2" s="1" a="1"/>
  <c r="P1387" i="2" s="1"/>
  <c r="O1365" i="2"/>
  <c r="P1365" i="2" s="1" a="1"/>
  <c r="P1365" i="2" s="1"/>
  <c r="O1313" i="2"/>
  <c r="O1279" i="2"/>
  <c r="P1279" i="2" s="1" a="1"/>
  <c r="P1279" i="2" s="1"/>
  <c r="O1212" i="2"/>
  <c r="P1212" i="2" s="1" a="1"/>
  <c r="P1212" i="2" s="1"/>
  <c r="O1200" i="2"/>
  <c r="P1200" i="2" s="1" a="1"/>
  <c r="P1200" i="2" s="1"/>
  <c r="O1170" i="2"/>
  <c r="O1139" i="2"/>
  <c r="O1135" i="2"/>
  <c r="P1135" i="2" s="1" a="1"/>
  <c r="P1135" i="2" s="1"/>
  <c r="O1127" i="2"/>
  <c r="O1106" i="2"/>
  <c r="O1097" i="2"/>
  <c r="P1097" i="2" s="1" a="1"/>
  <c r="P1097" i="2" s="1"/>
  <c r="O1084" i="2"/>
  <c r="P1084" i="2" s="1" a="1"/>
  <c r="P1084" i="2" s="1"/>
  <c r="O1062" i="2"/>
  <c r="P1062" i="2" s="1" a="1"/>
  <c r="P1062" i="2" s="1"/>
  <c r="O1053" i="2"/>
  <c r="P1053" i="2" s="1" a="1"/>
  <c r="P1053" i="2" s="1"/>
  <c r="O1045" i="2"/>
  <c r="P1045" i="2" s="1" a="1"/>
  <c r="P1045" i="2" s="1"/>
  <c r="O1010" i="2"/>
  <c r="P1010" i="2" s="1" a="1"/>
  <c r="P1010" i="2" s="1"/>
  <c r="O1001" i="2"/>
  <c r="P1001" i="2" s="1" a="1"/>
  <c r="P1001" i="2" s="1"/>
  <c r="O984" i="2"/>
  <c r="P984" i="2" s="1" a="1"/>
  <c r="P984" i="2" s="1"/>
  <c r="O971" i="2"/>
  <c r="P971" i="2" s="1" a="1"/>
  <c r="P971" i="2" s="1"/>
  <c r="O954" i="2"/>
  <c r="O945" i="2"/>
  <c r="O923" i="2"/>
  <c r="P923" i="2" s="1" a="1"/>
  <c r="P923" i="2" s="1"/>
  <c r="O901" i="2"/>
  <c r="P901" i="2" s="1" a="1"/>
  <c r="P901" i="2" s="1"/>
  <c r="O888" i="2"/>
  <c r="P888" i="2" s="1" a="1"/>
  <c r="P888" i="2" s="1"/>
  <c r="O879" i="2"/>
  <c r="P879" i="2" s="1" a="1"/>
  <c r="P879" i="2" s="1"/>
  <c r="O866" i="2"/>
  <c r="O857" i="2"/>
  <c r="P857" i="2" s="1" a="1"/>
  <c r="P857" i="2" s="1"/>
  <c r="O701" i="2"/>
  <c r="P701" i="2" s="1" a="1"/>
  <c r="P701" i="2" s="1"/>
  <c r="O587" i="2"/>
  <c r="P587" i="2" s="1" a="1"/>
  <c r="P587" i="2" s="1"/>
  <c r="O540" i="2"/>
  <c r="P540" i="2" s="1" a="1"/>
  <c r="P540" i="2" s="1"/>
  <c r="O536" i="2"/>
  <c r="P536" i="2" s="1" a="1"/>
  <c r="P536" i="2" s="1"/>
  <c r="O485" i="2"/>
  <c r="P485" i="2" s="1" a="1"/>
  <c r="P485" i="2" s="1"/>
  <c r="O453" i="2"/>
  <c r="P453" i="2" s="1" a="1"/>
  <c r="P453" i="2" s="1"/>
  <c r="O440" i="2"/>
  <c r="P440" i="2" s="1" a="1"/>
  <c r="P440" i="2" s="1"/>
  <c r="O431" i="2"/>
  <c r="O383" i="2"/>
  <c r="O374" i="2"/>
  <c r="P374" i="2" s="1" a="1"/>
  <c r="P374" i="2" s="1"/>
  <c r="O317" i="2"/>
  <c r="P317" i="2" s="1" a="1"/>
  <c r="P317" i="2" s="1"/>
  <c r="O290" i="2"/>
  <c r="P290" i="2" s="1" a="1"/>
  <c r="P290" i="2" s="1"/>
  <c r="O272" i="2"/>
  <c r="P272" i="2" s="1" a="1"/>
  <c r="P272" i="2" s="1"/>
  <c r="O263" i="2"/>
  <c r="P263" i="2" s="1" a="1"/>
  <c r="P263" i="2" s="1"/>
  <c r="O254" i="2"/>
  <c r="P254" i="2" s="1" a="1"/>
  <c r="P254" i="2" s="1"/>
  <c r="O236" i="2"/>
  <c r="P236" i="2" s="1" a="1"/>
  <c r="P236" i="2" s="1"/>
  <c r="O227" i="2"/>
  <c r="P227" i="2" s="1" a="1"/>
  <c r="P227" i="2" s="1"/>
  <c r="O147" i="2"/>
  <c r="P147" i="2" s="1" a="1"/>
  <c r="P147" i="2" s="1"/>
  <c r="O138" i="2"/>
  <c r="P138" i="2" s="1" a="1"/>
  <c r="P138" i="2" s="1"/>
  <c r="O129" i="2"/>
  <c r="P129" i="2" s="1" a="1"/>
  <c r="P129" i="2" s="1"/>
  <c r="O61" i="2"/>
  <c r="O43" i="2"/>
  <c r="O20" i="2"/>
  <c r="O11" i="2"/>
  <c r="P1144" i="2" a="1"/>
  <c r="P1144" i="2" s="1"/>
  <c r="P1030" i="2" a="1"/>
  <c r="P1030" i="2" s="1"/>
  <c r="M4" i="2"/>
  <c r="O403" i="2"/>
  <c r="P403" i="2" s="1" a="1"/>
  <c r="P403" i="2" s="1"/>
  <c r="O399" i="2"/>
  <c r="P399" i="2" s="1" a="1"/>
  <c r="P399" i="2" s="1"/>
  <c r="O387" i="2"/>
  <c r="P387" i="2" s="1" a="1"/>
  <c r="P387" i="2" s="1"/>
  <c r="O365" i="2"/>
  <c r="P365" i="2" s="1" a="1"/>
  <c r="P365" i="2" s="1"/>
  <c r="O344" i="2"/>
  <c r="P344" i="2" s="1" a="1"/>
  <c r="P344" i="2" s="1"/>
  <c r="O309" i="2"/>
  <c r="P309" i="2" s="1" a="1"/>
  <c r="P309" i="2" s="1"/>
  <c r="O282" i="2"/>
  <c r="P282" i="2" s="1" a="1"/>
  <c r="P282" i="2" s="1"/>
  <c r="O230" i="2"/>
  <c r="P230" i="2" s="1" a="1"/>
  <c r="P230" i="2" s="1"/>
  <c r="O174" i="2"/>
  <c r="P174" i="2" s="1" a="1"/>
  <c r="P174" i="2" s="1"/>
  <c r="O170" i="2"/>
  <c r="P170" i="2" s="1" a="1"/>
  <c r="P170" i="2" s="1"/>
  <c r="O161" i="2"/>
  <c r="P161" i="2" s="1" a="1"/>
  <c r="P161" i="2" s="1"/>
  <c r="O121" i="2"/>
  <c r="P121" i="2" s="1" a="1"/>
  <c r="P121" i="2" s="1"/>
  <c r="O73" i="2"/>
  <c r="P73" i="2" s="1" a="1"/>
  <c r="P73" i="2" s="1"/>
  <c r="O46" i="2"/>
  <c r="P46" i="2" s="1" a="1"/>
  <c r="P46" i="2" s="1"/>
  <c r="O37" i="2"/>
  <c r="P37" i="2" s="1" a="1"/>
  <c r="P37" i="2" s="1"/>
  <c r="O10" i="2"/>
  <c r="P10" i="2" s="1" a="1"/>
  <c r="P10" i="2" s="1"/>
  <c r="O326" i="2"/>
  <c r="P326" i="2" s="1" a="1"/>
  <c r="P326" i="2" s="1"/>
  <c r="O300" i="2"/>
  <c r="P300" i="2" s="1" a="1"/>
  <c r="P300" i="2" s="1"/>
  <c r="O291" i="2"/>
  <c r="P291" i="2" s="1" a="1"/>
  <c r="P291" i="2" s="1"/>
  <c r="O273" i="2"/>
  <c r="P273" i="2" s="1" a="1"/>
  <c r="P273" i="2" s="1"/>
  <c r="O196" i="2"/>
  <c r="O178" i="2"/>
  <c r="P178" i="2" s="1" a="1"/>
  <c r="P178" i="2" s="1"/>
  <c r="P783" i="2" a="1"/>
  <c r="P783" i="2" s="1"/>
  <c r="P1840" i="2" a="1"/>
  <c r="P1840" i="2" s="1"/>
  <c r="P1169" i="2" a="1"/>
  <c r="P1169" i="2" s="1"/>
  <c r="P1118" i="2" a="1"/>
  <c r="P1118" i="2" s="1"/>
  <c r="P1313" i="2" a="1"/>
  <c r="P1313" i="2" s="1"/>
  <c r="P1723" i="2" a="1"/>
  <c r="P1723" i="2" s="1"/>
  <c r="P1074" i="2" a="1"/>
  <c r="P1074" i="2" s="1"/>
  <c r="P1664" i="2" a="1"/>
  <c r="P1664" i="2" s="1"/>
  <c r="P1577" i="2" a="1"/>
  <c r="P1577" i="2" s="1"/>
  <c r="P1825" i="2" a="1"/>
  <c r="P1825" i="2" s="1"/>
  <c r="P1714" i="2" a="1"/>
  <c r="P1714" i="2" s="1"/>
  <c r="P918" i="2" a="1"/>
  <c r="P918" i="2" s="1"/>
  <c r="P1559" i="2" a="1"/>
  <c r="P1559" i="2" s="1"/>
  <c r="P1807" i="2" a="1"/>
  <c r="P1807" i="2" s="1"/>
  <c r="P1748" i="2" a="1"/>
  <c r="P1748" i="2" s="1"/>
  <c r="P1528" i="2" a="1"/>
  <c r="P1528" i="2" s="1"/>
  <c r="P945" i="2" a="1"/>
  <c r="P945" i="2" s="1"/>
  <c r="P1423" i="2" a="1"/>
  <c r="P1423" i="2" s="1"/>
  <c r="P1635" i="2" a="1"/>
  <c r="P1635" i="2" s="1"/>
  <c r="P1218" i="2" a="1"/>
  <c r="P1218" i="2" s="1"/>
  <c r="P576" i="2" a="1"/>
  <c r="P576" i="2" s="1"/>
  <c r="P1758" i="2" a="1"/>
  <c r="P1758" i="2" s="1"/>
  <c r="P1669" i="2" a="1"/>
  <c r="P1669" i="2" s="1"/>
  <c r="P1508" i="2" a="1"/>
  <c r="P1508" i="2" s="1"/>
  <c r="P1399" i="2" a="1"/>
  <c r="P1399" i="2" s="1"/>
  <c r="P350" i="2" a="1"/>
  <c r="P350" i="2" s="1"/>
  <c r="P1552" i="2" a="1"/>
  <c r="P1552" i="2" s="1"/>
  <c r="P1411" i="2" a="1"/>
  <c r="P1411" i="2" s="1"/>
  <c r="P1191" i="2" a="1"/>
  <c r="P1191" i="2" s="1"/>
  <c r="P868" i="2" a="1"/>
  <c r="P868" i="2" s="1"/>
  <c r="P825" i="2" a="1"/>
  <c r="P825" i="2" s="1"/>
  <c r="P800" i="2" a="1"/>
  <c r="P800" i="2" s="1"/>
  <c r="P1745" i="2" a="1"/>
  <c r="P1745" i="2" s="1"/>
  <c r="P1100" i="2" a="1"/>
  <c r="P1100" i="2" s="1"/>
  <c r="P991" i="2" a="1"/>
  <c r="P991" i="2" s="1"/>
  <c r="P602" i="2" a="1"/>
  <c r="P602" i="2" s="1"/>
  <c r="P442" i="2" a="1"/>
  <c r="P442" i="2" s="1"/>
  <c r="P404" i="2" a="1"/>
  <c r="P404" i="2" s="1"/>
  <c r="P1812" i="2" a="1"/>
  <c r="P1812" i="2" s="1"/>
  <c r="P1741" i="2" a="1"/>
  <c r="P1741" i="2" s="1"/>
  <c r="P1842" i="2" a="1"/>
  <c r="P1842" i="2" s="1"/>
  <c r="P1499" i="2" a="1"/>
  <c r="P1499" i="2" s="1"/>
  <c r="P1331" i="2" a="1"/>
  <c r="P1331" i="2" s="1"/>
  <c r="P1182" i="2" a="1"/>
  <c r="P1182" i="2" s="1"/>
  <c r="P1157" i="2" a="1"/>
  <c r="P1157" i="2" s="1"/>
  <c r="P1603" i="2" a="1"/>
  <c r="P1603" i="2" s="1"/>
  <c r="P1077" i="2" a="1"/>
  <c r="P1077" i="2" s="1"/>
  <c r="P1048" i="2" a="1"/>
  <c r="P1048" i="2" s="1"/>
  <c r="P970" i="2" a="1"/>
  <c r="P970" i="2" s="1"/>
  <c r="P1457" i="2" a="1"/>
  <c r="P1457" i="2" s="1"/>
  <c r="P1437" i="2" a="1"/>
  <c r="P1437" i="2" s="1"/>
  <c r="P1164" i="2" a="1"/>
  <c r="P1164" i="2" s="1"/>
  <c r="P1711" i="2" a="1"/>
  <c r="P1711" i="2" s="1"/>
  <c r="P1606" i="2" a="1"/>
  <c r="P1606" i="2" s="1"/>
  <c r="P1582" i="2" a="1"/>
  <c r="P1582" i="2" s="1"/>
  <c r="P1147" i="2" a="1"/>
  <c r="P1147" i="2" s="1"/>
  <c r="P382" i="2" a="1"/>
  <c r="P382" i="2" s="1"/>
  <c r="P1586" i="2" a="1"/>
  <c r="P1586" i="2" s="1"/>
  <c r="P1501" i="2" a="1"/>
  <c r="P1501" i="2" s="1"/>
  <c r="P1803" i="2" a="1"/>
  <c r="P1803" i="2" s="1"/>
  <c r="P1792" i="2" a="1"/>
  <c r="P1792" i="2" s="1"/>
  <c r="P1724" i="2" a="1"/>
  <c r="P1724" i="2" s="1"/>
  <c r="P1611" i="2" a="1"/>
  <c r="P1611" i="2" s="1"/>
  <c r="P1599" i="2" a="1"/>
  <c r="P1599" i="2" s="1"/>
  <c r="P1360" i="2" a="1"/>
  <c r="P1360" i="2" s="1"/>
  <c r="P43" i="2" a="1"/>
  <c r="P43" i="2" s="1"/>
  <c r="P592" i="2" a="1"/>
  <c r="P592" i="2" s="1"/>
  <c r="P1646" i="2" a="1"/>
  <c r="P1646" i="2" s="1"/>
  <c r="P1225" i="2" a="1"/>
  <c r="P1225" i="2" s="1"/>
  <c r="P545" i="2" a="1"/>
  <c r="P545" i="2" s="1"/>
  <c r="P288" i="2" a="1"/>
  <c r="P288" i="2" s="1"/>
  <c r="P624" i="2" a="1"/>
  <c r="P624" i="2" s="1"/>
  <c r="P794" i="2" a="1"/>
  <c r="P794" i="2" s="1"/>
  <c r="P1284" i="2" a="1"/>
  <c r="P1284" i="2" s="1"/>
  <c r="P1720" i="2" a="1"/>
  <c r="P1720" i="2" s="1"/>
  <c r="P1809" i="2" a="1"/>
  <c r="P1809" i="2" s="1"/>
  <c r="P1845" i="2" a="1"/>
  <c r="P1845" i="2" s="1"/>
  <c r="P1545" i="2" a="1"/>
  <c r="P1545" i="2" s="1"/>
  <c r="P813" i="2" a="1"/>
  <c r="P813" i="2" s="1"/>
  <c r="P968" i="2" a="1"/>
  <c r="P968" i="2" s="1"/>
  <c r="P1286" i="2" a="1"/>
  <c r="P1286" i="2" s="1"/>
  <c r="P1393" i="2" a="1"/>
  <c r="P1393" i="2" s="1"/>
  <c r="P1151" i="2" a="1"/>
  <c r="P1151" i="2" s="1"/>
  <c r="P1051" i="2" a="1"/>
  <c r="P1051" i="2" s="1"/>
  <c r="P558" i="2" a="1"/>
  <c r="P558" i="2" s="1"/>
  <c r="P1281" i="2" a="1"/>
  <c r="P1281" i="2" s="1"/>
  <c r="P1155" i="2" a="1"/>
  <c r="P1155" i="2" s="1"/>
  <c r="P852" i="2" a="1"/>
  <c r="P852" i="2" s="1"/>
  <c r="P398" i="2" a="1"/>
  <c r="P398" i="2" s="1"/>
  <c r="P1837" i="2" a="1"/>
  <c r="P1837" i="2" s="1"/>
  <c r="P1706" i="2" a="1"/>
  <c r="P1706" i="2" s="1"/>
  <c r="P1658" i="2" a="1"/>
  <c r="P1658" i="2" s="1"/>
  <c r="P1525" i="2" a="1"/>
  <c r="P1525" i="2" s="1"/>
  <c r="P1484" i="2" a="1"/>
  <c r="P1484" i="2" s="1"/>
  <c r="P1240" i="2" a="1"/>
  <c r="P1240" i="2" s="1"/>
  <c r="P1207" i="2" a="1"/>
  <c r="P1207" i="2" s="1"/>
  <c r="P1184" i="2" a="1"/>
  <c r="P1184" i="2" s="1"/>
  <c r="P1134" i="2" a="1"/>
  <c r="P1134" i="2" s="1"/>
  <c r="P988" i="2" a="1"/>
  <c r="P988" i="2" s="1"/>
  <c r="P570" i="2" a="1"/>
  <c r="P570" i="2" s="1"/>
  <c r="P1829" i="2" a="1"/>
  <c r="P1829" i="2" s="1"/>
  <c r="P1777" i="2" a="1"/>
  <c r="P1777" i="2" s="1"/>
  <c r="P1621" i="2" a="1"/>
  <c r="P1621" i="2" s="1"/>
  <c r="P1432" i="2" a="1"/>
  <c r="P1432" i="2" s="1"/>
  <c r="P1325" i="2" a="1"/>
  <c r="P1325" i="2" s="1"/>
  <c r="P1211" i="2" a="1"/>
  <c r="P1211" i="2" s="1"/>
  <c r="P1585" i="2" a="1"/>
  <c r="P1585" i="2" s="1"/>
  <c r="P717" i="2" a="1"/>
  <c r="P717" i="2" s="1"/>
  <c r="P584" i="2" a="1"/>
  <c r="P584" i="2" s="1"/>
  <c r="P518" i="2" a="1"/>
  <c r="P518" i="2" s="1"/>
  <c r="P256" i="2" a="1"/>
  <c r="P256" i="2" s="1"/>
  <c r="P1494" i="2" a="1"/>
  <c r="P1494" i="2" s="1"/>
  <c r="P1450" i="2" a="1"/>
  <c r="P1450" i="2" s="1"/>
  <c r="P1188" i="2" a="1"/>
  <c r="P1188" i="2" s="1"/>
  <c r="P960" i="2" a="1"/>
  <c r="P960" i="2" s="1"/>
  <c r="M1721" i="2"/>
  <c r="P1675" i="2" a="1"/>
  <c r="P1675" i="2" s="1"/>
  <c r="P1655" i="2" a="1"/>
  <c r="P1655" i="2" s="1"/>
  <c r="P1043" i="2" a="1"/>
  <c r="P1043" i="2" s="1"/>
  <c r="P934" i="2" a="1"/>
  <c r="P934" i="2" s="1"/>
  <c r="P1778" i="2" a="1"/>
  <c r="P1778" i="2" s="1"/>
  <c r="P1774" i="2" a="1"/>
  <c r="P1774" i="2" s="1"/>
  <c r="P1479" i="2" a="1"/>
  <c r="P1479" i="2" s="1"/>
  <c r="P1007" i="2" a="1"/>
  <c r="P1007" i="2" s="1"/>
  <c r="P85" i="2" a="1"/>
  <c r="P85" i="2" s="1"/>
  <c r="P1511" i="2" a="1"/>
  <c r="P1511" i="2" s="1"/>
  <c r="P1491" i="2" a="1"/>
  <c r="P1491" i="2" s="1"/>
  <c r="P1692" i="2" a="1"/>
  <c r="P1692" i="2" s="1"/>
  <c r="P1640" i="2" a="1"/>
  <c r="P1640" i="2" s="1"/>
  <c r="P1519" i="2" a="1"/>
  <c r="P1519" i="2" s="1"/>
  <c r="P1797" i="2" a="1"/>
  <c r="P1797" i="2" s="1"/>
  <c r="P1789" i="2" a="1"/>
  <c r="P1789" i="2" s="1"/>
  <c r="P1761" i="2" a="1"/>
  <c r="P1761" i="2" s="1"/>
  <c r="O314" i="2"/>
  <c r="P314" i="2" s="1" a="1"/>
  <c r="P314" i="2" s="1"/>
  <c r="O226" i="2"/>
  <c r="P226" i="2" s="1" a="1"/>
  <c r="P226" i="2" s="1"/>
  <c r="O222" i="2"/>
  <c r="P222" i="2" s="1" a="1"/>
  <c r="P222" i="2" s="1"/>
  <c r="O214" i="2"/>
  <c r="P214" i="2" s="1" a="1"/>
  <c r="P214" i="2" s="1"/>
  <c r="O202" i="2"/>
  <c r="P202" i="2" s="1" a="1"/>
  <c r="P202" i="2" s="1"/>
  <c r="O115" i="2"/>
  <c r="P115" i="2" s="1" a="1"/>
  <c r="P115" i="2" s="1"/>
  <c r="O97" i="2"/>
  <c r="P97" i="2" s="1" a="1"/>
  <c r="P97" i="2" s="1"/>
  <c r="O72" i="2"/>
  <c r="P72" i="2" s="1" a="1"/>
  <c r="P72" i="2" s="1"/>
  <c r="O36" i="2"/>
  <c r="P36" i="2" s="1" a="1"/>
  <c r="P36" i="2" s="1"/>
  <c r="P650" i="2" a="1"/>
  <c r="P650" i="2" s="1"/>
  <c r="P1259" i="2" a="1"/>
  <c r="P1259" i="2" s="1"/>
  <c r="P1255" i="2" a="1"/>
  <c r="P1255" i="2" s="1"/>
  <c r="P1039" i="2" a="1"/>
  <c r="P1039" i="2" s="1"/>
  <c r="P1027" i="2" a="1"/>
  <c r="P1027" i="2" s="1"/>
  <c r="M642" i="2"/>
  <c r="M1767" i="2"/>
  <c r="M438" i="2"/>
  <c r="M697" i="2"/>
  <c r="M310" i="2"/>
  <c r="M1353" i="2"/>
  <c r="M1044" i="2"/>
  <c r="M256" i="2"/>
  <c r="P1469" i="2" a="1"/>
  <c r="P1469" i="2" s="1"/>
  <c r="M1179" i="2"/>
  <c r="P1092" i="2" a="1"/>
  <c r="P1092" i="2" s="1"/>
  <c r="M208" i="2"/>
  <c r="P1702" i="2" a="1"/>
  <c r="P1702" i="2" s="1"/>
  <c r="P1569" i="2" a="1"/>
  <c r="P1569" i="2" s="1"/>
  <c r="P1349" i="2" a="1"/>
  <c r="P1349" i="2" s="1"/>
  <c r="P1289" i="2" a="1"/>
  <c r="P1289" i="2" s="1"/>
  <c r="P1257" i="2" a="1"/>
  <c r="P1257" i="2" s="1"/>
  <c r="P1087" i="2" a="1"/>
  <c r="P1087" i="2" s="1"/>
  <c r="P1069" i="2" a="1"/>
  <c r="P1069" i="2" s="1"/>
  <c r="P990" i="2" a="1"/>
  <c r="P990" i="2" s="1"/>
  <c r="P1513" i="2" a="1"/>
  <c r="P1513" i="2" s="1"/>
  <c r="P1464" i="2" a="1"/>
  <c r="P1464" i="2" s="1"/>
  <c r="P1323" i="2" a="1"/>
  <c r="P1323" i="2" s="1"/>
  <c r="P1196" i="2" a="1"/>
  <c r="P1196" i="2" s="1"/>
  <c r="P1106" i="2" a="1"/>
  <c r="P1106" i="2" s="1"/>
  <c r="P974" i="2" a="1"/>
  <c r="P974" i="2" s="1"/>
  <c r="P1838" i="2" a="1"/>
  <c r="P1838" i="2" s="1"/>
  <c r="P1801" i="2" a="1"/>
  <c r="P1801" i="2" s="1"/>
  <c r="P1725" i="2" a="1"/>
  <c r="P1725" i="2" s="1"/>
  <c r="P1296" i="2" a="1"/>
  <c r="P1296" i="2" s="1"/>
  <c r="M1098" i="2"/>
  <c r="P1036" i="2" a="1"/>
  <c r="P1036" i="2" s="1"/>
  <c r="P948" i="2" a="1"/>
  <c r="P948" i="2" s="1"/>
  <c r="P912" i="2" a="1"/>
  <c r="P912" i="2" s="1"/>
  <c r="P515" i="2" a="1"/>
  <c r="P515" i="2" s="1"/>
  <c r="M280" i="2"/>
  <c r="M527" i="2"/>
  <c r="M565" i="2"/>
  <c r="M1080" i="2"/>
  <c r="M2" i="2"/>
  <c r="M396" i="2"/>
  <c r="M435" i="2"/>
  <c r="M1159" i="2"/>
  <c r="M1633" i="2"/>
  <c r="M1391" i="2"/>
  <c r="P1821" i="2" a="1"/>
  <c r="P1821" i="2" s="1"/>
  <c r="P1572" i="2" a="1"/>
  <c r="P1572" i="2" s="1"/>
  <c r="P1337" i="2" a="1"/>
  <c r="P1337" i="2" s="1"/>
  <c r="P1277" i="2" a="1"/>
  <c r="P1277" i="2" s="1"/>
  <c r="P1216" i="2" a="1"/>
  <c r="P1216" i="2" s="1"/>
  <c r="P1113" i="2" a="1"/>
  <c r="P1113" i="2" s="1"/>
  <c r="P1105" i="2" a="1"/>
  <c r="P1105" i="2" s="1"/>
  <c r="M1004" i="2"/>
  <c r="P996" i="2" a="1"/>
  <c r="P996" i="2" s="1"/>
  <c r="P866" i="2" a="1"/>
  <c r="P866" i="2" s="1"/>
  <c r="P672" i="2" a="1"/>
  <c r="P672" i="2" s="1"/>
  <c r="P663" i="2" a="1"/>
  <c r="P663" i="2" s="1"/>
  <c r="P618" i="2" a="1"/>
  <c r="P618" i="2" s="1"/>
  <c r="W13" i="2"/>
  <c r="W12" i="2"/>
  <c r="V9" i="2"/>
  <c r="X9" i="2" s="1"/>
  <c r="Y9" i="2" s="1"/>
  <c r="Z9" i="2" s="1"/>
  <c r="O13" i="2"/>
  <c r="P13" i="2" s="1" a="1"/>
  <c r="P13" i="2" s="1"/>
  <c r="O24" i="2"/>
  <c r="P24" i="2" s="1" a="1"/>
  <c r="P24" i="2" s="1"/>
  <c r="O28" i="2"/>
  <c r="P28" i="2" s="1" a="1"/>
  <c r="P28" i="2" s="1"/>
  <c r="O58" i="2"/>
  <c r="P58" i="2" s="1" a="1"/>
  <c r="P58" i="2" s="1"/>
  <c r="O62" i="2"/>
  <c r="P62" i="2" s="1" a="1"/>
  <c r="P62" i="2" s="1"/>
  <c r="O77" i="2"/>
  <c r="P77" i="2" s="1" a="1"/>
  <c r="P77" i="2" s="1"/>
  <c r="O88" i="2"/>
  <c r="P88" i="2" s="1" a="1"/>
  <c r="P88" i="2" s="1"/>
  <c r="O102" i="2"/>
  <c r="P102" i="2" s="1" a="1"/>
  <c r="P102" i="2" s="1"/>
  <c r="O128" i="2"/>
  <c r="P128" i="2" s="1" a="1"/>
  <c r="P128" i="2" s="1"/>
  <c r="O132" i="2"/>
  <c r="P132" i="2" s="1" a="1"/>
  <c r="P132" i="2" s="1"/>
  <c r="O154" i="2"/>
  <c r="P154" i="2" s="1" a="1"/>
  <c r="P154" i="2" s="1"/>
  <c r="O173" i="2"/>
  <c r="P173" i="2" s="1" a="1"/>
  <c r="P173" i="2" s="1"/>
  <c r="O184" i="2"/>
  <c r="P184" i="2" s="1" a="1"/>
  <c r="P184" i="2" s="1"/>
  <c r="O187" i="2"/>
  <c r="P187" i="2" s="1" a="1"/>
  <c r="P187" i="2" s="1"/>
  <c r="O364" i="2"/>
  <c r="P364" i="2" s="1" a="1"/>
  <c r="P364" i="2" s="1"/>
  <c r="O371" i="2"/>
  <c r="P371" i="2" s="1" a="1"/>
  <c r="P371" i="2" s="1"/>
  <c r="O378" i="2"/>
  <c r="P378" i="2" s="1" a="1"/>
  <c r="P378" i="2" s="1"/>
  <c r="O392" i="2"/>
  <c r="P392" i="2" s="1" a="1"/>
  <c r="P392" i="2" s="1"/>
  <c r="O674" i="2"/>
  <c r="W11" i="2"/>
  <c r="O252" i="2"/>
  <c r="P252" i="2" s="1" a="1"/>
  <c r="P252" i="2" s="1"/>
  <c r="O451" i="2"/>
  <c r="P451" i="2" s="1" a="1"/>
  <c r="P451" i="2" s="1"/>
  <c r="V13" i="2"/>
  <c r="X13" i="2" s="1"/>
  <c r="Y13" i="2" s="1"/>
  <c r="O142" i="2"/>
  <c r="P142" i="2" s="1" a="1"/>
  <c r="P142" i="2" s="1"/>
  <c r="O359" i="2"/>
  <c r="P359" i="2" s="1" a="1"/>
  <c r="P359" i="2" s="1"/>
  <c r="O363" i="2"/>
  <c r="P363" i="2" s="1" a="1"/>
  <c r="P363" i="2" s="1"/>
  <c r="O417" i="2"/>
  <c r="P417" i="2" s="1" a="1"/>
  <c r="P417" i="2" s="1"/>
  <c r="O600" i="2"/>
  <c r="P600" i="2" s="1" a="1"/>
  <c r="P600" i="2" s="1"/>
  <c r="O883" i="2"/>
  <c r="P883" i="2" s="1" a="1"/>
  <c r="P883" i="2" s="1"/>
  <c r="O886" i="2"/>
  <c r="P886" i="2" s="1" a="1"/>
  <c r="P886" i="2" s="1"/>
  <c r="O899" i="2"/>
  <c r="P899" i="2" s="1" a="1"/>
  <c r="P899" i="2" s="1"/>
  <c r="W9" i="2"/>
  <c r="O19" i="2"/>
  <c r="P19" i="2" s="1" a="1"/>
  <c r="P19" i="2" s="1"/>
  <c r="O23" i="2"/>
  <c r="P23" i="2" s="1" a="1"/>
  <c r="P23" i="2" s="1"/>
  <c r="O48" i="2"/>
  <c r="P48" i="2" s="1" a="1"/>
  <c r="P48" i="2" s="1"/>
  <c r="O64" i="2"/>
  <c r="P64" i="2" s="1" a="1"/>
  <c r="P64" i="2" s="1"/>
  <c r="O99" i="2"/>
  <c r="P99" i="2" s="1" a="1"/>
  <c r="P99" i="2" s="1"/>
  <c r="O111" i="2"/>
  <c r="P111" i="2" s="1" a="1"/>
  <c r="P111" i="2" s="1"/>
  <c r="O146" i="2"/>
  <c r="P146" i="2" s="1" a="1"/>
  <c r="P146" i="2" s="1"/>
  <c r="O171" i="2"/>
  <c r="P171" i="2" s="1" a="1"/>
  <c r="P171" i="2" s="1"/>
  <c r="O190" i="2"/>
  <c r="P190" i="2" s="1" a="1"/>
  <c r="P190" i="2" s="1"/>
  <c r="O206" i="2"/>
  <c r="P206" i="2" s="1" a="1"/>
  <c r="P206" i="2" s="1"/>
  <c r="O213" i="2"/>
  <c r="P213" i="2" s="1" a="1"/>
  <c r="P213" i="2" s="1"/>
  <c r="O257" i="2"/>
  <c r="P257" i="2" s="1" a="1"/>
  <c r="P257" i="2" s="1"/>
  <c r="O264" i="2"/>
  <c r="P264" i="2" s="1" a="1"/>
  <c r="P264" i="2" s="1"/>
  <c r="O287" i="2"/>
  <c r="P287" i="2" s="1" a="1"/>
  <c r="P287" i="2" s="1"/>
  <c r="O294" i="2"/>
  <c r="P294" i="2" s="1" a="1"/>
  <c r="P294" i="2" s="1"/>
  <c r="O298" i="2"/>
  <c r="P298" i="2" s="1" a="1"/>
  <c r="P298" i="2" s="1"/>
  <c r="O313" i="2"/>
  <c r="P313" i="2" s="1" a="1"/>
  <c r="P313" i="2" s="1"/>
  <c r="O349" i="2"/>
  <c r="P349" i="2" s="1" a="1"/>
  <c r="P349" i="2" s="1"/>
  <c r="O367" i="2"/>
  <c r="P367" i="2" s="1" a="1"/>
  <c r="P367" i="2" s="1"/>
  <c r="O406" i="2"/>
  <c r="P406" i="2" s="1" a="1"/>
  <c r="P406" i="2" s="1"/>
  <c r="O421" i="2"/>
  <c r="P421" i="2" s="1" a="1"/>
  <c r="P421" i="2" s="1"/>
  <c r="O436" i="2"/>
  <c r="P436" i="2" s="1" a="1"/>
  <c r="P436" i="2" s="1"/>
  <c r="O461" i="2"/>
  <c r="P461" i="2" s="1" a="1"/>
  <c r="P461" i="2" s="1"/>
  <c r="O506" i="2"/>
  <c r="P506" i="2" s="1" a="1"/>
  <c r="P506" i="2" s="1"/>
  <c r="O539" i="2"/>
  <c r="P539" i="2" s="1" a="1"/>
  <c r="P539" i="2" s="1"/>
  <c r="O546" i="2"/>
  <c r="P546" i="2" s="1" a="1"/>
  <c r="P546" i="2" s="1"/>
  <c r="O553" i="2"/>
  <c r="P553" i="2" s="1" a="1"/>
  <c r="P553" i="2" s="1"/>
  <c r="O589" i="2"/>
  <c r="P589" i="2" s="1" a="1"/>
  <c r="P589" i="2" s="1"/>
  <c r="O622" i="2"/>
  <c r="P622" i="2" s="1" a="1"/>
  <c r="P622" i="2" s="1"/>
  <c r="O768" i="2"/>
  <c r="P768" i="2" s="1" a="1"/>
  <c r="P768" i="2" s="1"/>
  <c r="O779" i="2"/>
  <c r="P779" i="2" s="1" a="1"/>
  <c r="P779" i="2" s="1"/>
  <c r="O786" i="2"/>
  <c r="P786" i="2" s="1" a="1"/>
  <c r="P786" i="2" s="1"/>
  <c r="O804" i="2"/>
  <c r="P804" i="2" s="1" a="1"/>
  <c r="P804" i="2" s="1"/>
  <c r="O808" i="2"/>
  <c r="P808" i="2" s="1" a="1"/>
  <c r="P808" i="2" s="1"/>
  <c r="O890" i="2"/>
  <c r="P890" i="2" s="1" a="1"/>
  <c r="P890" i="2" s="1"/>
  <c r="O893" i="2"/>
  <c r="P893" i="2" s="1" a="1"/>
  <c r="P893" i="2" s="1"/>
  <c r="O896" i="2"/>
  <c r="P896" i="2" s="1" a="1"/>
  <c r="P896" i="2" s="1"/>
  <c r="O903" i="2"/>
  <c r="P903" i="2" s="1" a="1"/>
  <c r="P903" i="2" s="1"/>
  <c r="O910" i="2"/>
  <c r="P910" i="2" s="1" a="1"/>
  <c r="P910" i="2" s="1"/>
  <c r="O913" i="2"/>
  <c r="P913" i="2" s="1" a="1"/>
  <c r="P913" i="2" s="1"/>
  <c r="O920" i="2"/>
  <c r="P920" i="2" s="1" a="1"/>
  <c r="P920" i="2" s="1"/>
  <c r="O927" i="2"/>
  <c r="P927" i="2" s="1" a="1"/>
  <c r="P927" i="2" s="1"/>
  <c r="O938" i="2"/>
  <c r="P938" i="2" s="1" a="1"/>
  <c r="P938" i="2" s="1"/>
  <c r="O946" i="2"/>
  <c r="P946" i="2" s="1" a="1"/>
  <c r="P946" i="2" s="1"/>
  <c r="O963" i="2"/>
  <c r="P963" i="2" s="1" a="1"/>
  <c r="P963" i="2" s="1"/>
  <c r="O969" i="2"/>
  <c r="P969" i="2" s="1" a="1"/>
  <c r="P969" i="2" s="1"/>
  <c r="O997" i="2"/>
  <c r="P997" i="2" s="1" a="1"/>
  <c r="P997" i="2" s="1"/>
  <c r="O1015" i="2"/>
  <c r="P1015" i="2" s="1" a="1"/>
  <c r="P1015" i="2" s="1"/>
  <c r="O1022" i="2"/>
  <c r="P1022" i="2" s="1" a="1"/>
  <c r="P1022" i="2" s="1"/>
  <c r="O1040" i="2"/>
  <c r="P1040" i="2" s="1" a="1"/>
  <c r="P1040" i="2" s="1"/>
  <c r="O1056" i="2"/>
  <c r="P1056" i="2" s="1" a="1"/>
  <c r="P1056" i="2" s="1"/>
  <c r="O1059" i="2"/>
  <c r="P1059" i="2" s="1" a="1"/>
  <c r="P1059" i="2" s="1"/>
  <c r="O66" i="2"/>
  <c r="P66" i="2" s="1" a="1"/>
  <c r="P66" i="2" s="1"/>
  <c r="O270" i="2"/>
  <c r="P270" i="2" s="1" a="1"/>
  <c r="P270" i="2" s="1"/>
  <c r="O315" i="2"/>
  <c r="P315" i="2" s="1" a="1"/>
  <c r="P315" i="2" s="1"/>
  <c r="O318" i="2"/>
  <c r="P318" i="2" s="1" a="1"/>
  <c r="P318" i="2" s="1"/>
  <c r="O666" i="2"/>
  <c r="P666" i="2" s="1" a="1"/>
  <c r="P666" i="2" s="1"/>
  <c r="O770" i="2"/>
  <c r="P770" i="2" s="1" a="1"/>
  <c r="P770" i="2" s="1"/>
  <c r="O792" i="2"/>
  <c r="P792" i="2" s="1" a="1"/>
  <c r="P792" i="2" s="1"/>
  <c r="O119" i="2"/>
  <c r="P119" i="2" s="1" a="1"/>
  <c r="P119" i="2" s="1"/>
  <c r="O160" i="2"/>
  <c r="P160" i="2" s="1" a="1"/>
  <c r="P160" i="2" s="1"/>
  <c r="O281" i="2"/>
  <c r="P281" i="2" s="1" a="1"/>
  <c r="P281" i="2" s="1"/>
  <c r="O425" i="2"/>
  <c r="P425" i="2" s="1" a="1"/>
  <c r="P425" i="2" s="1"/>
  <c r="O732" i="2"/>
  <c r="P732" i="2" s="1" a="1"/>
  <c r="P732" i="2" s="1"/>
  <c r="O1006" i="2"/>
  <c r="P1006" i="2" s="1" a="1"/>
  <c r="P1006" i="2" s="1"/>
  <c r="O1009" i="2"/>
  <c r="P1009" i="2" s="1" a="1"/>
  <c r="P1009" i="2" s="1"/>
  <c r="O1333" i="2"/>
  <c r="P1333" i="2" s="1" a="1"/>
  <c r="P1333" i="2" s="1"/>
  <c r="O1340" i="2"/>
  <c r="P1340" i="2" s="1" a="1"/>
  <c r="P1340" i="2" s="1"/>
  <c r="O1650" i="2"/>
  <c r="P1650" i="2" s="1" a="1"/>
  <c r="P1650" i="2" s="1"/>
  <c r="O1660" i="2"/>
  <c r="P1660" i="2" s="1" a="1"/>
  <c r="P1660" i="2" s="1"/>
  <c r="O1667" i="2"/>
  <c r="P1667" i="2" s="1" a="1"/>
  <c r="P1667" i="2" s="1"/>
  <c r="O1670" i="2"/>
  <c r="P1670" i="2" s="1" a="1"/>
  <c r="P1670" i="2" s="1"/>
  <c r="O1746" i="2"/>
  <c r="P1746" i="2" s="1" a="1"/>
  <c r="P1746" i="2" s="1"/>
  <c r="O1775" i="2"/>
  <c r="P1775" i="2" s="1" a="1"/>
  <c r="P1775" i="2" s="1"/>
  <c r="O1782" i="2"/>
  <c r="P1782" i="2" s="1" a="1"/>
  <c r="P1782" i="2" s="1"/>
  <c r="O1786" i="2"/>
  <c r="P1786" i="2" s="1" a="1"/>
  <c r="P1786" i="2" s="1"/>
  <c r="O21" i="2"/>
  <c r="P21" i="2" s="1" a="1"/>
  <c r="P21" i="2" s="1"/>
  <c r="O38" i="2"/>
  <c r="P38" i="2" s="1" a="1"/>
  <c r="P38" i="2" s="1"/>
  <c r="O108" i="2"/>
  <c r="P108" i="2" s="1" a="1"/>
  <c r="P108" i="2" s="1"/>
  <c r="O112" i="2"/>
  <c r="P112" i="2" s="1" a="1"/>
  <c r="P112" i="2" s="1"/>
  <c r="O136" i="2"/>
  <c r="P136" i="2" s="1" a="1"/>
  <c r="P136" i="2" s="1"/>
  <c r="O177" i="2"/>
  <c r="P177" i="2" s="1" a="1"/>
  <c r="P177" i="2" s="1"/>
  <c r="O181" i="2"/>
  <c r="P181" i="2" s="1" a="1"/>
  <c r="P181" i="2" s="1"/>
  <c r="O228" i="2"/>
  <c r="P228" i="2" s="1" a="1"/>
  <c r="P228" i="2" s="1"/>
  <c r="O289" i="2"/>
  <c r="P289" i="2" s="1" a="1"/>
  <c r="P289" i="2" s="1"/>
  <c r="O301" i="2"/>
  <c r="P301" i="2" s="1" a="1"/>
  <c r="P301" i="2" s="1"/>
  <c r="O324" i="2"/>
  <c r="P324" i="2" s="1" a="1"/>
  <c r="P324" i="2" s="1"/>
  <c r="O377" i="2"/>
  <c r="P377" i="2" s="1" a="1"/>
  <c r="P377" i="2" s="1"/>
  <c r="O381" i="2"/>
  <c r="P381" i="2" s="1" a="1"/>
  <c r="P381" i="2" s="1"/>
  <c r="O410" i="2"/>
  <c r="P410" i="2" s="1" a="1"/>
  <c r="P410" i="2" s="1"/>
  <c r="O471" i="2"/>
  <c r="P471" i="2" s="1" a="1"/>
  <c r="P471" i="2" s="1"/>
  <c r="O478" i="2"/>
  <c r="P478" i="2" s="1" a="1"/>
  <c r="P478" i="2" s="1"/>
  <c r="O521" i="2"/>
  <c r="P521" i="2" s="1" a="1"/>
  <c r="P521" i="2" s="1"/>
  <c r="O571" i="2"/>
  <c r="P571" i="2" s="1" a="1"/>
  <c r="P571" i="2" s="1"/>
  <c r="O608" i="2"/>
  <c r="P608" i="2" s="1" a="1"/>
  <c r="P608" i="2" s="1"/>
  <c r="O646" i="2"/>
  <c r="P646" i="2" s="1" a="1"/>
  <c r="P646" i="2" s="1"/>
  <c r="O859" i="2"/>
  <c r="P859" i="2" s="1" a="1"/>
  <c r="P859" i="2" s="1"/>
  <c r="O863" i="2"/>
  <c r="P863" i="2" s="1" a="1"/>
  <c r="P863" i="2" s="1"/>
  <c r="O867" i="2"/>
  <c r="P867" i="2" s="1" a="1"/>
  <c r="P867" i="2" s="1"/>
  <c r="O882" i="2"/>
  <c r="P882" i="2" s="1" a="1"/>
  <c r="P882" i="2" s="1"/>
  <c r="O889" i="2"/>
  <c r="P889" i="2" s="1" a="1"/>
  <c r="P889" i="2" s="1"/>
  <c r="O140" i="2"/>
  <c r="P140" i="2" s="1" a="1"/>
  <c r="P140" i="2" s="1"/>
  <c r="O144" i="2"/>
  <c r="P144" i="2" s="1" a="1"/>
  <c r="P144" i="2" s="1"/>
  <c r="O197" i="2"/>
  <c r="P197" i="2" s="1" a="1"/>
  <c r="P197" i="2" s="1"/>
  <c r="O201" i="2"/>
  <c r="P201" i="2" s="1" a="1"/>
  <c r="P201" i="2" s="1"/>
  <c r="O243" i="2"/>
  <c r="P243" i="2" s="1" a="1"/>
  <c r="P243" i="2" s="1"/>
  <c r="O258" i="2"/>
  <c r="P258" i="2" s="1" a="1"/>
  <c r="P258" i="2" s="1"/>
  <c r="O312" i="2"/>
  <c r="P312" i="2" s="1" a="1"/>
  <c r="P312" i="2" s="1"/>
  <c r="O316" i="2"/>
  <c r="P316" i="2" s="1" a="1"/>
  <c r="P316" i="2" s="1"/>
  <c r="O331" i="2"/>
  <c r="P331" i="2" s="1" a="1"/>
  <c r="P331" i="2" s="1"/>
  <c r="O335" i="2"/>
  <c r="P335" i="2" s="1" a="1"/>
  <c r="P335" i="2" s="1"/>
  <c r="O354" i="2"/>
  <c r="P354" i="2" s="1" a="1"/>
  <c r="P354" i="2" s="1"/>
  <c r="O357" i="2"/>
  <c r="P357" i="2" s="1" a="1"/>
  <c r="P357" i="2" s="1"/>
  <c r="O361" i="2"/>
  <c r="P361" i="2" s="1" a="1"/>
  <c r="P361" i="2" s="1"/>
  <c r="O373" i="2"/>
  <c r="P373" i="2" s="1" a="1"/>
  <c r="P373" i="2" s="1"/>
  <c r="O384" i="2"/>
  <c r="P384" i="2" s="1" a="1"/>
  <c r="P384" i="2" s="1"/>
  <c r="O429" i="2"/>
  <c r="P429" i="2" s="1" a="1"/>
  <c r="P429" i="2" s="1"/>
  <c r="O433" i="2"/>
  <c r="P433" i="2" s="1" a="1"/>
  <c r="P433" i="2" s="1"/>
  <c r="O437" i="2"/>
  <c r="P437" i="2" s="1" a="1"/>
  <c r="P437" i="2" s="1"/>
  <c r="O448" i="2"/>
  <c r="P448" i="2" s="1" a="1"/>
  <c r="P448" i="2" s="1"/>
  <c r="O486" i="2"/>
  <c r="P486" i="2" s="1" a="1"/>
  <c r="P486" i="2" s="1"/>
  <c r="O490" i="2"/>
  <c r="P490" i="2" s="1" a="1"/>
  <c r="P490" i="2" s="1"/>
  <c r="O517" i="2"/>
  <c r="P517" i="2" s="1" a="1"/>
  <c r="P517" i="2" s="1"/>
  <c r="O567" i="2"/>
  <c r="P567" i="2" s="1" a="1"/>
  <c r="P567" i="2" s="1"/>
  <c r="O578" i="2"/>
  <c r="P578" i="2" s="1" a="1"/>
  <c r="P578" i="2" s="1"/>
  <c r="O619" i="2"/>
  <c r="P619" i="2" s="1" a="1"/>
  <c r="P619" i="2" s="1"/>
  <c r="O627" i="2"/>
  <c r="P627" i="2" s="1" a="1"/>
  <c r="P627" i="2" s="1"/>
  <c r="O653" i="2"/>
  <c r="P653" i="2" s="1" a="1"/>
  <c r="P653" i="2" s="1"/>
  <c r="O728" i="2"/>
  <c r="P728" i="2" s="1" a="1"/>
  <c r="P728" i="2" s="1"/>
  <c r="O736" i="2"/>
  <c r="P736" i="2" s="1" a="1"/>
  <c r="P736" i="2" s="1"/>
  <c r="O762" i="2"/>
  <c r="P762" i="2" s="1" a="1"/>
  <c r="P762" i="2" s="1"/>
  <c r="O778" i="2"/>
  <c r="P778" i="2" s="1" a="1"/>
  <c r="P778" i="2" s="1"/>
  <c r="O785" i="2"/>
  <c r="P785" i="2" s="1" a="1"/>
  <c r="P785" i="2" s="1"/>
  <c r="O789" i="2"/>
  <c r="P789" i="2" s="1" a="1"/>
  <c r="P789" i="2" s="1"/>
  <c r="O793" i="2"/>
  <c r="P793" i="2" s="1" a="1"/>
  <c r="P793" i="2" s="1"/>
  <c r="O812" i="2"/>
  <c r="P812" i="2" s="1" a="1"/>
  <c r="P812" i="2" s="1"/>
  <c r="O815" i="2"/>
  <c r="P815" i="2" s="1" a="1"/>
  <c r="P815" i="2" s="1"/>
  <c r="O826" i="2"/>
  <c r="P826" i="2" s="1" a="1"/>
  <c r="P826" i="2" s="1"/>
  <c r="O837" i="2"/>
  <c r="P837" i="2" s="1" a="1"/>
  <c r="P837" i="2" s="1"/>
  <c r="O841" i="2"/>
  <c r="P841" i="2" s="1" a="1"/>
  <c r="P841" i="2" s="1"/>
  <c r="O878" i="2"/>
  <c r="P878" i="2" s="1" a="1"/>
  <c r="P878" i="2" s="1"/>
  <c r="O892" i="2"/>
  <c r="P892" i="2" s="1" a="1"/>
  <c r="P892" i="2" s="1"/>
  <c r="O921" i="2"/>
  <c r="P921" i="2" s="1" a="1"/>
  <c r="P921" i="2" s="1"/>
  <c r="O925" i="2"/>
  <c r="P925" i="2" s="1" a="1"/>
  <c r="P925" i="2" s="1"/>
  <c r="O952" i="2"/>
  <c r="P952" i="2" s="1" a="1"/>
  <c r="P952" i="2" s="1"/>
  <c r="O959" i="2"/>
  <c r="P959" i="2" s="1" a="1"/>
  <c r="P959" i="2" s="1"/>
  <c r="O973" i="2"/>
  <c r="P973" i="2" s="1" a="1"/>
  <c r="P973" i="2" s="1"/>
  <c r="O977" i="2"/>
  <c r="P977" i="2" s="1" a="1"/>
  <c r="P977" i="2" s="1"/>
  <c r="O1013" i="2"/>
  <c r="P1013" i="2" s="1" a="1"/>
  <c r="P1013" i="2" s="1"/>
  <c r="O1017" i="2"/>
  <c r="P1017" i="2" s="1" a="1"/>
  <c r="P1017" i="2" s="1"/>
  <c r="O1050" i="2"/>
  <c r="P1050" i="2" s="1" a="1"/>
  <c r="P1050" i="2" s="1"/>
  <c r="O1082" i="2"/>
  <c r="P1082" i="2" s="1" a="1"/>
  <c r="P1082" i="2" s="1"/>
  <c r="O1096" i="2"/>
  <c r="P1096" i="2" s="1" a="1"/>
  <c r="P1096" i="2" s="1"/>
  <c r="O1156" i="2"/>
  <c r="P1156" i="2" s="1" a="1"/>
  <c r="P1156" i="2" s="1"/>
  <c r="O1166" i="2"/>
  <c r="P1166" i="2" s="1" a="1"/>
  <c r="P1166" i="2" s="1"/>
  <c r="O1179" i="2"/>
  <c r="P1179" i="2" s="1" a="1"/>
  <c r="P1179" i="2" s="1"/>
  <c r="O1183" i="2"/>
  <c r="P1183" i="2" s="1" a="1"/>
  <c r="P1183" i="2" s="1"/>
  <c r="O1197" i="2"/>
  <c r="P1197" i="2" s="1" a="1"/>
  <c r="P1197" i="2" s="1"/>
  <c r="O1210" i="2"/>
  <c r="P1210" i="2" s="1" a="1"/>
  <c r="P1210" i="2" s="1"/>
  <c r="O1224" i="2"/>
  <c r="P1224" i="2" s="1" a="1"/>
  <c r="P1224" i="2" s="1"/>
  <c r="O1234" i="2"/>
  <c r="P1234" i="2" s="1" a="1"/>
  <c r="P1234" i="2" s="1"/>
  <c r="O1245" i="2"/>
  <c r="P1245" i="2" s="1" a="1"/>
  <c r="P1245" i="2" s="1"/>
  <c r="O1269" i="2"/>
  <c r="P1269" i="2" s="1" a="1"/>
  <c r="P1269" i="2" s="1"/>
  <c r="O1272" i="2"/>
  <c r="P1272" i="2" s="1" a="1"/>
  <c r="P1272" i="2" s="1"/>
  <c r="O1343" i="2"/>
  <c r="P1343" i="2" s="1" a="1"/>
  <c r="P1343" i="2" s="1"/>
  <c r="O1364" i="2"/>
  <c r="P1364" i="2" s="1" a="1"/>
  <c r="P1364" i="2" s="1"/>
  <c r="O1367" i="2"/>
  <c r="P1367" i="2" s="1" a="1"/>
  <c r="P1367" i="2" s="1"/>
  <c r="O1378" i="2"/>
  <c r="P1378" i="2" s="1" a="1"/>
  <c r="P1378" i="2" s="1"/>
  <c r="O1394" i="2"/>
  <c r="P1394" i="2" s="1" a="1"/>
  <c r="P1394" i="2" s="1"/>
  <c r="O1400" i="2"/>
  <c r="P1400" i="2" s="1" a="1"/>
  <c r="P1400" i="2" s="1"/>
  <c r="O1540" i="2"/>
  <c r="P1540" i="2" s="1" a="1"/>
  <c r="P1540" i="2" s="1"/>
  <c r="O1554" i="2"/>
  <c r="P1554" i="2" s="1" a="1"/>
  <c r="P1554" i="2" s="1"/>
  <c r="O1571" i="2"/>
  <c r="P1571" i="2" s="1" a="1"/>
  <c r="P1571" i="2" s="1"/>
  <c r="O1584" i="2"/>
  <c r="P1584" i="2" s="1" a="1"/>
  <c r="P1584" i="2" s="1"/>
  <c r="O1591" i="2"/>
  <c r="P1591" i="2" s="1" a="1"/>
  <c r="P1591" i="2" s="1"/>
  <c r="O1677" i="2"/>
  <c r="P1677" i="2" s="1" a="1"/>
  <c r="P1677" i="2" s="1"/>
  <c r="O1779" i="2"/>
  <c r="P1779" i="2" s="1" a="1"/>
  <c r="P1779" i="2" s="1"/>
  <c r="O1805" i="2"/>
  <c r="P1805" i="2" s="1" a="1"/>
  <c r="P1805" i="2" s="1"/>
  <c r="O1844" i="2"/>
  <c r="P1844" i="2" s="1" a="1"/>
  <c r="P1844" i="2" s="1"/>
  <c r="O193" i="2"/>
  <c r="P193" i="2" s="1" a="1"/>
  <c r="P193" i="2" s="1"/>
  <c r="O467" i="2"/>
  <c r="P467" i="2" s="1" a="1"/>
  <c r="P467" i="2" s="1"/>
  <c r="O616" i="2"/>
  <c r="P616" i="2" s="1" a="1"/>
  <c r="P616" i="2" s="1"/>
  <c r="O631" i="2"/>
  <c r="P631" i="2" s="1" a="1"/>
  <c r="P631" i="2" s="1"/>
  <c r="O639" i="2"/>
  <c r="P639" i="2" s="1" a="1"/>
  <c r="P639" i="2" s="1"/>
  <c r="O704" i="2"/>
  <c r="P704" i="2" s="1" a="1"/>
  <c r="P704" i="2" s="1"/>
  <c r="O716" i="2"/>
  <c r="P716" i="2" s="1" a="1"/>
  <c r="P716" i="2" s="1"/>
  <c r="O819" i="2"/>
  <c r="P819" i="2" s="1" a="1"/>
  <c r="P819" i="2" s="1"/>
  <c r="O823" i="2"/>
  <c r="P823" i="2" s="1" a="1"/>
  <c r="P823" i="2" s="1"/>
  <c r="O830" i="2"/>
  <c r="P830" i="2" s="1" a="1"/>
  <c r="P830" i="2" s="1"/>
  <c r="O885" i="2"/>
  <c r="P885" i="2" s="1" a="1"/>
  <c r="P885" i="2" s="1"/>
  <c r="O907" i="2"/>
  <c r="P907" i="2" s="1" a="1"/>
  <c r="P907" i="2" s="1"/>
  <c r="O914" i="2"/>
  <c r="P914" i="2" s="1" a="1"/>
  <c r="P914" i="2" s="1"/>
  <c r="O32" i="2"/>
  <c r="P32" i="2" s="1" a="1"/>
  <c r="P32" i="2" s="1"/>
  <c r="O49" i="2"/>
  <c r="P49" i="2" s="1" a="1"/>
  <c r="P49" i="2" s="1"/>
  <c r="O167" i="2"/>
  <c r="P167" i="2" s="1" a="1"/>
  <c r="P167" i="2" s="1"/>
  <c r="O179" i="2"/>
  <c r="P179" i="2" s="1" a="1"/>
  <c r="P179" i="2" s="1"/>
  <c r="O183" i="2"/>
  <c r="P183" i="2" s="1" a="1"/>
  <c r="P183" i="2" s="1"/>
  <c r="O299" i="2"/>
  <c r="P299" i="2" s="1" a="1"/>
  <c r="P299" i="2" s="1"/>
  <c r="O322" i="2"/>
  <c r="P322" i="2" s="1" a="1"/>
  <c r="P322" i="2" s="1"/>
  <c r="O439" i="2"/>
  <c r="P439" i="2" s="1" a="1"/>
  <c r="P439" i="2" s="1"/>
  <c r="O450" i="2"/>
  <c r="P450" i="2" s="1" a="1"/>
  <c r="P450" i="2" s="1"/>
  <c r="O580" i="2"/>
  <c r="P580" i="2" s="1" a="1"/>
  <c r="P580" i="2" s="1"/>
  <c r="O606" i="2"/>
  <c r="P606" i="2" s="1" a="1"/>
  <c r="P606" i="2" s="1"/>
  <c r="O629" i="2"/>
  <c r="P629" i="2" s="1" a="1"/>
  <c r="P629" i="2" s="1"/>
  <c r="O780" i="2"/>
  <c r="P780" i="2" s="1" a="1"/>
  <c r="P780" i="2" s="1"/>
  <c r="P1681" i="2" a="1"/>
  <c r="P1681" i="2" s="1"/>
  <c r="P1631" i="2" a="1"/>
  <c r="P1631" i="2" s="1"/>
  <c r="P1562" i="2" a="1"/>
  <c r="P1562" i="2" s="1"/>
  <c r="P1475" i="2" a="1"/>
  <c r="P1475" i="2" s="1"/>
  <c r="P1345" i="2" a="1"/>
  <c r="P1345" i="2" s="1"/>
  <c r="P1338" i="2" a="1"/>
  <c r="P1338" i="2" s="1"/>
  <c r="P1293" i="2" a="1"/>
  <c r="P1293" i="2" s="1"/>
  <c r="P1178" i="2" a="1"/>
  <c r="P1178" i="2" s="1"/>
  <c r="P1114" i="2" a="1"/>
  <c r="P1114" i="2" s="1"/>
  <c r="P1110" i="2" a="1"/>
  <c r="P1110" i="2" s="1"/>
  <c r="P703" i="2" a="1"/>
  <c r="P703" i="2" s="1"/>
  <c r="P1828" i="2" a="1"/>
  <c r="P1828" i="2" s="1"/>
  <c r="P1555" i="2" a="1"/>
  <c r="P1555" i="2" s="1"/>
  <c r="P1520" i="2" a="1"/>
  <c r="P1520" i="2" s="1"/>
  <c r="P1389" i="2" a="1"/>
  <c r="P1389" i="2" s="1"/>
  <c r="M1203" i="2"/>
  <c r="P644" i="2" a="1"/>
  <c r="P644" i="2" s="1"/>
  <c r="P500" i="2" a="1"/>
  <c r="P500" i="2" s="1"/>
  <c r="M50" i="2"/>
  <c r="P1684" i="2" a="1"/>
  <c r="P1684" i="2" s="1"/>
  <c r="P1594" i="2" a="1"/>
  <c r="P1594" i="2" s="1"/>
  <c r="P1467" i="2" a="1"/>
  <c r="P1467" i="2" s="1"/>
  <c r="P1424" i="2" a="1"/>
  <c r="P1424" i="2" s="1"/>
  <c r="P1058" i="2" a="1"/>
  <c r="P1058" i="2" s="1"/>
  <c r="P820" i="2" a="1"/>
  <c r="P820" i="2" s="1"/>
  <c r="P1804" i="2" a="1"/>
  <c r="P1804" i="2" s="1"/>
  <c r="P1694" i="2" a="1"/>
  <c r="P1694" i="2" s="1"/>
  <c r="P1623" i="2" a="1"/>
  <c r="P1623" i="2" s="1"/>
  <c r="P1579" i="2" a="1"/>
  <c r="P1579" i="2" s="1"/>
  <c r="P1355" i="2" a="1"/>
  <c r="P1355" i="2" s="1"/>
  <c r="P1220" i="2" a="1"/>
  <c r="P1220" i="2" s="1"/>
  <c r="P1199" i="2" a="1"/>
  <c r="P1199" i="2" s="1"/>
  <c r="P1061" i="2" a="1"/>
  <c r="P1061" i="2" s="1"/>
  <c r="P1680" i="2" a="1"/>
  <c r="P1680" i="2" s="1"/>
  <c r="M1409" i="2"/>
  <c r="P1381" i="2" a="1"/>
  <c r="P1381" i="2" s="1"/>
  <c r="P1311" i="2" a="1"/>
  <c r="P1311" i="2" s="1"/>
  <c r="P1101" i="2" a="1"/>
  <c r="P1101" i="2" s="1"/>
  <c r="O358" i="2"/>
  <c r="P358" i="2" s="1" a="1"/>
  <c r="P358" i="2" s="1"/>
  <c r="O265" i="2"/>
  <c r="P265" i="2" s="1" a="1"/>
  <c r="P265" i="2" s="1"/>
  <c r="O253" i="2"/>
  <c r="P253" i="2" s="1" a="1"/>
  <c r="P253" i="2" s="1"/>
  <c r="O249" i="2"/>
  <c r="P249" i="2" s="1" a="1"/>
  <c r="P249" i="2" s="1"/>
  <c r="O241" i="2"/>
  <c r="P241" i="2" s="1" a="1"/>
  <c r="P241" i="2" s="1"/>
  <c r="O233" i="2"/>
  <c r="P233" i="2" s="1" a="1"/>
  <c r="P233" i="2" s="1"/>
  <c r="O137" i="2"/>
  <c r="P137" i="2" s="1" a="1"/>
  <c r="P137" i="2" s="1"/>
  <c r="O87" i="2"/>
  <c r="P87" i="2" s="1" a="1"/>
  <c r="P87" i="2" s="1"/>
  <c r="O35" i="2"/>
  <c r="P35" i="2" s="1" a="1"/>
  <c r="P35" i="2" s="1"/>
  <c r="O17" i="2"/>
  <c r="P17" i="2" s="1" a="1"/>
  <c r="P17" i="2" s="1"/>
  <c r="O9" i="2"/>
  <c r="P9" i="2" s="1" a="1"/>
  <c r="P9" i="2" s="1"/>
  <c r="O706" i="2"/>
  <c r="P706" i="2" s="1" a="1"/>
  <c r="P706" i="2" s="1"/>
  <c r="O702" i="2"/>
  <c r="P702" i="2" s="1" a="1"/>
  <c r="P702" i="2" s="1"/>
  <c r="O698" i="2"/>
  <c r="P698" i="2" s="1" a="1"/>
  <c r="P698" i="2" s="1"/>
  <c r="O677" i="2"/>
  <c r="P677" i="2" s="1" a="1"/>
  <c r="P677" i="2" s="1"/>
  <c r="O673" i="2"/>
  <c r="P673" i="2" s="1" a="1"/>
  <c r="P673" i="2" s="1"/>
  <c r="O614" i="2"/>
  <c r="P614" i="2" s="1" a="1"/>
  <c r="P614" i="2" s="1"/>
  <c r="O480" i="2"/>
  <c r="P480" i="2" s="1" a="1"/>
  <c r="P480" i="2" s="1"/>
  <c r="O390" i="2"/>
  <c r="P390" i="2" s="1" a="1"/>
  <c r="P390" i="2" s="1"/>
  <c r="O260" i="2"/>
  <c r="P260" i="2" s="1" a="1"/>
  <c r="P260" i="2" s="1"/>
  <c r="O191" i="2"/>
  <c r="P191" i="2" s="1" a="1"/>
  <c r="P191" i="2" s="1"/>
  <c r="O126" i="2"/>
  <c r="P126" i="2" s="1" a="1"/>
  <c r="P126" i="2" s="1"/>
  <c r="O110" i="2"/>
  <c r="P110" i="2" s="1" a="1"/>
  <c r="P110" i="2" s="1"/>
  <c r="O86" i="2"/>
  <c r="P86" i="2" s="1" a="1"/>
  <c r="P86" i="2" s="1"/>
  <c r="O82" i="2"/>
  <c r="P82" i="2" s="1" a="1"/>
  <c r="P82" i="2" s="1"/>
  <c r="O74" i="2"/>
  <c r="P74" i="2" s="1" a="1"/>
  <c r="P74" i="2" s="1"/>
  <c r="O57" i="2"/>
  <c r="P57" i="2" s="1" a="1"/>
  <c r="P57" i="2" s="1"/>
  <c r="O45" i="2"/>
  <c r="P45" i="2" s="1" a="1"/>
  <c r="P45" i="2" s="1"/>
  <c r="O15" i="2"/>
  <c r="P15" i="2" s="1" a="1"/>
  <c r="P15" i="2" s="1"/>
  <c r="O679" i="2"/>
  <c r="P679" i="2" s="1" a="1"/>
  <c r="P679" i="2" s="1"/>
  <c r="O556" i="2"/>
  <c r="P556" i="2" s="1" a="1"/>
  <c r="P556" i="2" s="1"/>
  <c r="O297" i="2"/>
  <c r="P297" i="2" s="1" a="1"/>
  <c r="P297" i="2" s="1"/>
  <c r="O1653" i="2"/>
  <c r="P1653" i="2" s="1" a="1"/>
  <c r="P1653" i="2" s="1"/>
  <c r="O1612" i="2"/>
  <c r="P1612" i="2" s="1" a="1"/>
  <c r="P1612" i="2" s="1"/>
  <c r="O1605" i="2"/>
  <c r="P1605" i="2" s="1" a="1"/>
  <c r="P1605" i="2" s="1"/>
  <c r="O1503" i="2"/>
  <c r="P1503" i="2" s="1" a="1"/>
  <c r="P1503" i="2" s="1"/>
  <c r="O1493" i="2"/>
  <c r="P1493" i="2" s="1" a="1"/>
  <c r="P1493" i="2" s="1"/>
  <c r="O1326" i="2"/>
  <c r="P1326" i="2" s="1" a="1"/>
  <c r="P1326" i="2" s="1"/>
  <c r="O1290" i="2"/>
  <c r="P1290" i="2" s="1" a="1"/>
  <c r="P1290" i="2" s="1"/>
  <c r="O1085" i="2"/>
  <c r="P1085" i="2" s="1" a="1"/>
  <c r="P1085" i="2" s="1"/>
  <c r="O1047" i="2"/>
  <c r="P1047" i="2" s="1" a="1"/>
  <c r="P1047" i="2" s="1"/>
  <c r="O845" i="2"/>
  <c r="P845" i="2" s="1" a="1"/>
  <c r="P845" i="2" s="1"/>
  <c r="O766" i="2"/>
  <c r="P766" i="2" s="1" a="1"/>
  <c r="P766" i="2" s="1"/>
  <c r="O749" i="2"/>
  <c r="P749" i="2" s="1" a="1"/>
  <c r="P749" i="2" s="1"/>
  <c r="O745" i="2"/>
  <c r="P745" i="2" s="1" a="1"/>
  <c r="P745" i="2" s="1"/>
  <c r="O712" i="2"/>
  <c r="P712" i="2" s="1" a="1"/>
  <c r="P712" i="2" s="1"/>
  <c r="O708" i="2"/>
  <c r="P708" i="2" s="1" a="1"/>
  <c r="P708" i="2" s="1"/>
  <c r="O687" i="2"/>
  <c r="P687" i="2" s="1" a="1"/>
  <c r="P687" i="2" s="1"/>
  <c r="O683" i="2"/>
  <c r="P683" i="2" s="1" a="1"/>
  <c r="P683" i="2" s="1"/>
  <c r="O675" i="2"/>
  <c r="P675" i="2" s="1" a="1"/>
  <c r="P675" i="2" s="1"/>
  <c r="O635" i="2"/>
  <c r="P635" i="2" s="1" a="1"/>
  <c r="P635" i="2" s="1"/>
  <c r="O623" i="2"/>
  <c r="P623" i="2" s="1" a="1"/>
  <c r="P623" i="2" s="1"/>
  <c r="O604" i="2"/>
  <c r="P604" i="2" s="1" a="1"/>
  <c r="P604" i="2" s="1"/>
  <c r="O544" i="2"/>
  <c r="P544" i="2" s="1" a="1"/>
  <c r="P544" i="2" s="1"/>
  <c r="O502" i="2"/>
  <c r="P502" i="2" s="1" a="1"/>
  <c r="P502" i="2" s="1"/>
  <c r="O494" i="2"/>
  <c r="O482" i="2"/>
  <c r="P482" i="2" s="1" a="1"/>
  <c r="P482" i="2" s="1"/>
  <c r="O452" i="2"/>
  <c r="P452" i="2" s="1" a="1"/>
  <c r="P452" i="2" s="1"/>
  <c r="O444" i="2"/>
  <c r="P444" i="2" s="1" a="1"/>
  <c r="P444" i="2" s="1"/>
  <c r="O320" i="2"/>
  <c r="P320" i="2" s="1" a="1"/>
  <c r="P320" i="2" s="1"/>
  <c r="O169" i="2"/>
  <c r="P169" i="2" s="1" a="1"/>
  <c r="P169" i="2" s="1"/>
  <c r="O59" i="2"/>
  <c r="P59" i="2" s="1" a="1"/>
  <c r="P59" i="2" s="1"/>
  <c r="O30" i="2"/>
  <c r="P30" i="2" s="1" a="1"/>
  <c r="P30" i="2" s="1"/>
  <c r="O758" i="2"/>
  <c r="P758" i="2" s="1" a="1"/>
  <c r="P758" i="2" s="1"/>
  <c r="O741" i="2"/>
  <c r="P741" i="2" s="1" a="1"/>
  <c r="P741" i="2" s="1"/>
  <c r="O612" i="2"/>
  <c r="P612" i="2" s="1" a="1"/>
  <c r="P612" i="2" s="1"/>
  <c r="O510" i="2"/>
  <c r="P510" i="2" s="1" a="1"/>
  <c r="P510" i="2" s="1"/>
  <c r="O418" i="2"/>
  <c r="P418" i="2" s="1" a="1"/>
  <c r="P418" i="2" s="1"/>
  <c r="O339" i="2"/>
  <c r="P339" i="2" s="1" a="1"/>
  <c r="P339" i="2" s="1"/>
  <c r="O328" i="2"/>
  <c r="P328" i="2" s="1" a="1"/>
  <c r="P328" i="2" s="1"/>
  <c r="O262" i="2"/>
  <c r="P262" i="2" s="1" a="1"/>
  <c r="P262" i="2" s="1"/>
  <c r="O209" i="2"/>
  <c r="P209" i="2" s="1" a="1"/>
  <c r="P209" i="2" s="1"/>
  <c r="O104" i="2"/>
  <c r="P104" i="2" s="1" a="1"/>
  <c r="P104" i="2" s="1"/>
  <c r="O1841" i="2"/>
  <c r="P1841" i="2" s="1" a="1"/>
  <c r="P1841" i="2" s="1"/>
  <c r="O1750" i="2"/>
  <c r="P1750" i="2" s="1" a="1"/>
  <c r="P1750" i="2" s="1"/>
  <c r="O1707" i="2"/>
  <c r="P1707" i="2" s="1" a="1"/>
  <c r="P1707" i="2" s="1"/>
  <c r="O1690" i="2"/>
  <c r="P1690" i="2" s="1" a="1"/>
  <c r="P1690" i="2" s="1"/>
  <c r="O1740" i="2"/>
  <c r="P1740" i="2" s="1" a="1"/>
  <c r="P1740" i="2" s="1"/>
  <c r="O1704" i="2"/>
  <c r="P1704" i="2" s="1" a="1"/>
  <c r="P1704" i="2" s="1"/>
  <c r="O1700" i="2"/>
  <c r="P1700" i="2" s="1" a="1"/>
  <c r="P1700" i="2" s="1"/>
  <c r="O1608" i="2"/>
  <c r="P1608" i="2" s="1" a="1"/>
  <c r="P1608" i="2" s="1"/>
  <c r="O1462" i="2"/>
  <c r="P1462" i="2" s="1" a="1"/>
  <c r="P1462" i="2" s="1"/>
  <c r="O1428" i="2"/>
  <c r="P1428" i="2" s="1" a="1"/>
  <c r="P1428" i="2" s="1"/>
  <c r="O1397" i="2"/>
  <c r="P1397" i="2" s="1" a="1"/>
  <c r="P1397" i="2" s="1"/>
  <c r="O1252" i="2"/>
  <c r="P1252" i="2" s="1" a="1"/>
  <c r="P1252" i="2" s="1"/>
  <c r="O1217" i="2"/>
  <c r="P1217" i="2" s="1" a="1"/>
  <c r="P1217" i="2" s="1"/>
  <c r="O1176" i="2"/>
  <c r="P1176" i="2" s="1" a="1"/>
  <c r="P1176" i="2" s="1"/>
  <c r="O1152" i="2"/>
  <c r="P1152" i="2" s="1" a="1"/>
  <c r="P1152" i="2" s="1"/>
  <c r="O1121" i="2"/>
  <c r="P1121" i="2" s="1" a="1"/>
  <c r="P1121" i="2" s="1"/>
  <c r="O1028" i="2"/>
  <c r="P1028" i="2" s="1" a="1"/>
  <c r="P1028" i="2" s="1"/>
  <c r="O966" i="2"/>
  <c r="P966" i="2" s="1" a="1"/>
  <c r="P966" i="2" s="1"/>
  <c r="O874" i="2"/>
  <c r="P874" i="2" s="1" a="1"/>
  <c r="P874" i="2" s="1"/>
  <c r="O833" i="2"/>
  <c r="P833" i="2" s="1" a="1"/>
  <c r="P833" i="2" s="1"/>
  <c r="O797" i="2"/>
  <c r="P797" i="2" s="1" a="1"/>
  <c r="P797" i="2" s="1"/>
  <c r="O774" i="2"/>
  <c r="P774" i="2" s="1" a="1"/>
  <c r="P774" i="2" s="1"/>
  <c r="O753" i="2"/>
  <c r="P753" i="2" s="1" a="1"/>
  <c r="P753" i="2" s="1"/>
  <c r="O720" i="2"/>
  <c r="P720" i="2" s="1" a="1"/>
  <c r="P720" i="2" s="1"/>
  <c r="O691" i="2"/>
  <c r="P691" i="2" s="1" a="1"/>
  <c r="P691" i="2" s="1"/>
  <c r="O670" i="2"/>
  <c r="P670" i="2" s="1" a="1"/>
  <c r="P670" i="2" s="1"/>
  <c r="O657" i="2"/>
  <c r="P657" i="2" s="1" a="1"/>
  <c r="P657" i="2" s="1"/>
  <c r="O596" i="2"/>
  <c r="P596" i="2" s="1" a="1"/>
  <c r="P596" i="2" s="1"/>
  <c r="O402" i="2"/>
  <c r="P402" i="2" s="1" a="1"/>
  <c r="P402" i="2" s="1"/>
  <c r="O369" i="2"/>
  <c r="P369" i="2" s="1" a="1"/>
  <c r="P369" i="2" s="1"/>
  <c r="O269" i="2"/>
  <c r="P269" i="2" s="1" a="1"/>
  <c r="P269" i="2" s="1"/>
  <c r="O148" i="2"/>
  <c r="P148" i="2" s="1" a="1"/>
  <c r="P148" i="2" s="1"/>
  <c r="O63" i="2"/>
  <c r="P63" i="2" s="1" a="1"/>
  <c r="P63" i="2" s="1"/>
  <c r="O54" i="2"/>
  <c r="P54" i="2" s="1" a="1"/>
  <c r="P54" i="2" s="1"/>
  <c r="O25" i="2"/>
  <c r="P25" i="2" s="1" a="1"/>
  <c r="P25" i="2" s="1"/>
  <c r="O4" i="2"/>
  <c r="P4" i="2" s="1" a="1"/>
  <c r="P4" i="2" s="1"/>
  <c r="O958" i="2"/>
  <c r="P958" i="2" s="1" a="1"/>
  <c r="P958" i="2" s="1"/>
  <c r="O871" i="2"/>
  <c r="P871" i="2" s="1" a="1"/>
  <c r="P871" i="2" s="1"/>
  <c r="O850" i="2"/>
  <c r="P850" i="2" s="1" a="1"/>
  <c r="P850" i="2" s="1"/>
  <c r="O796" i="2"/>
  <c r="P796" i="2" s="1" a="1"/>
  <c r="P796" i="2" s="1"/>
  <c r="O781" i="2"/>
  <c r="P781" i="2" s="1" a="1"/>
  <c r="P781" i="2" s="1"/>
  <c r="O686" i="2"/>
  <c r="P686" i="2" s="1" a="1"/>
  <c r="P686" i="2" s="1"/>
  <c r="O658" i="2"/>
  <c r="P658" i="2" s="1" a="1"/>
  <c r="P658" i="2" s="1"/>
  <c r="O530" i="2"/>
  <c r="P530" i="2" s="1" a="1"/>
  <c r="P530" i="2" s="1"/>
  <c r="O526" i="2"/>
  <c r="P526" i="2" s="1" a="1"/>
  <c r="P526" i="2" s="1"/>
  <c r="O489" i="2"/>
  <c r="P489" i="2" s="1" a="1"/>
  <c r="P489" i="2" s="1"/>
  <c r="O474" i="2"/>
  <c r="P474" i="2" s="1" a="1"/>
  <c r="P474" i="2" s="1"/>
  <c r="O456" i="2"/>
  <c r="P456" i="2" s="1" a="1"/>
  <c r="P456" i="2" s="1"/>
  <c r="O438" i="2"/>
  <c r="P438" i="2" s="1" a="1"/>
  <c r="P438" i="2" s="1"/>
  <c r="O308" i="2"/>
  <c r="P308" i="2" s="1" a="1"/>
  <c r="P308" i="2" s="1"/>
  <c r="O304" i="2"/>
  <c r="P304" i="2" s="1" a="1"/>
  <c r="P304" i="2" s="1"/>
  <c r="O278" i="2"/>
  <c r="P278" i="2" s="1" a="1"/>
  <c r="P278" i="2" s="1"/>
  <c r="O237" i="2"/>
  <c r="P237" i="2" s="1" a="1"/>
  <c r="P237" i="2" s="1"/>
  <c r="O165" i="2"/>
  <c r="P165" i="2" s="1" a="1"/>
  <c r="P165" i="2" s="1"/>
  <c r="O133" i="2"/>
  <c r="P133" i="2" s="1" a="1"/>
  <c r="P133" i="2" s="1"/>
  <c r="O70" i="2"/>
  <c r="P70" i="2" s="1" a="1"/>
  <c r="P70" i="2" s="1"/>
  <c r="O42" i="2"/>
  <c r="P42" i="2" s="1" a="1"/>
  <c r="P42" i="2" s="1"/>
  <c r="O6" i="2"/>
  <c r="P6" i="2" s="1" a="1"/>
  <c r="P6" i="2" s="1"/>
  <c r="O942" i="2"/>
  <c r="P942" i="2" s="1" a="1"/>
  <c r="P942" i="2" s="1"/>
  <c r="O931" i="2"/>
  <c r="P931" i="2" s="1" a="1"/>
  <c r="P931" i="2" s="1"/>
  <c r="O844" i="2"/>
  <c r="P844" i="2" s="1" a="1"/>
  <c r="P844" i="2" s="1"/>
  <c r="O772" i="2"/>
  <c r="P772" i="2" s="1" a="1"/>
  <c r="P772" i="2" s="1"/>
  <c r="O739" i="2"/>
  <c r="P739" i="2" s="1" a="1"/>
  <c r="P739" i="2" s="1"/>
  <c r="O735" i="2"/>
  <c r="P735" i="2" s="1" a="1"/>
  <c r="P735" i="2" s="1"/>
  <c r="O715" i="2"/>
  <c r="P715" i="2" s="1" a="1"/>
  <c r="P715" i="2" s="1"/>
  <c r="O711" i="2"/>
  <c r="P711" i="2" s="1" a="1"/>
  <c r="P711" i="2" s="1"/>
  <c r="O676" i="2"/>
  <c r="P676" i="2" s="1" a="1"/>
  <c r="P676" i="2" s="1"/>
  <c r="O668" i="2"/>
  <c r="P668" i="2" s="1" a="1"/>
  <c r="P668" i="2" s="1"/>
  <c r="O630" i="2"/>
  <c r="P630" i="2" s="1" a="1"/>
  <c r="P630" i="2" s="1"/>
  <c r="O611" i="2"/>
  <c r="P611" i="2" s="1" a="1"/>
  <c r="P611" i="2" s="1"/>
  <c r="O561" i="2"/>
  <c r="P561" i="2" s="1" a="1"/>
  <c r="P561" i="2" s="1"/>
  <c r="O513" i="2"/>
  <c r="P513" i="2" s="1" a="1"/>
  <c r="P513" i="2" s="1"/>
  <c r="O327" i="2"/>
  <c r="O231" i="2"/>
  <c r="P231" i="2" s="1" a="1"/>
  <c r="P231" i="2" s="1"/>
  <c r="O224" i="2"/>
  <c r="P224" i="2" s="1" a="1"/>
  <c r="P224" i="2" s="1"/>
  <c r="O220" i="2"/>
  <c r="P220" i="2" s="1" a="1"/>
  <c r="P220" i="2" s="1"/>
  <c r="O95" i="2"/>
  <c r="P95" i="2" s="1" a="1"/>
  <c r="P95" i="2" s="1"/>
  <c r="O76" i="2"/>
  <c r="P76" i="2" s="1" a="1"/>
  <c r="P76" i="2" s="1"/>
  <c r="O60" i="2"/>
  <c r="P60" i="2" s="1" a="1"/>
  <c r="P60" i="2" s="1"/>
  <c r="O44" i="2"/>
  <c r="P44" i="2" s="1" a="1"/>
  <c r="P44" i="2" s="1"/>
  <c r="O1543" i="2"/>
  <c r="P1543" i="2" s="1" a="1"/>
  <c r="P1543" i="2" s="1"/>
  <c r="O1523" i="2"/>
  <c r="P1523" i="2" s="1" a="1"/>
  <c r="P1523" i="2" s="1"/>
  <c r="O1516" i="2"/>
  <c r="P1516" i="2" s="1" a="1"/>
  <c r="P1516" i="2" s="1"/>
  <c r="O1433" i="2"/>
  <c r="P1433" i="2" s="1" a="1"/>
  <c r="P1433" i="2" s="1"/>
  <c r="O1359" i="2"/>
  <c r="P1359" i="2" s="1" a="1"/>
  <c r="P1359" i="2" s="1"/>
  <c r="O1273" i="2"/>
  <c r="P1273" i="2" s="1" a="1"/>
  <c r="P1273" i="2" s="1"/>
  <c r="O1126" i="2"/>
  <c r="P1126" i="2" s="1" a="1"/>
  <c r="P1126" i="2" s="1"/>
  <c r="O1090" i="2"/>
  <c r="P1090" i="2" s="1" a="1"/>
  <c r="P1090" i="2" s="1"/>
  <c r="O1083" i="2"/>
  <c r="P1083" i="2" s="1" a="1"/>
  <c r="P1083" i="2" s="1"/>
  <c r="O1073" i="2"/>
  <c r="P1073" i="2" s="1" a="1"/>
  <c r="P1073" i="2" s="1"/>
  <c r="O976" i="2"/>
  <c r="P976" i="2" s="1" a="1"/>
  <c r="P976" i="2" s="1"/>
  <c r="O880" i="2"/>
  <c r="P880" i="2" s="1" a="1"/>
  <c r="P880" i="2" s="1"/>
  <c r="O719" i="2"/>
  <c r="P719" i="2" s="1" a="1"/>
  <c r="P719" i="2" s="1"/>
  <c r="O648" i="2"/>
  <c r="P648" i="2" s="1" a="1"/>
  <c r="P648" i="2" s="1"/>
  <c r="O626" i="2"/>
  <c r="P626" i="2" s="1" a="1"/>
  <c r="P626" i="2" s="1"/>
  <c r="O615" i="2"/>
  <c r="P615" i="2" s="1" a="1"/>
  <c r="P615" i="2" s="1"/>
  <c r="O575" i="2"/>
  <c r="P575" i="2" s="1" a="1"/>
  <c r="P575" i="2" s="1"/>
  <c r="O568" i="2"/>
  <c r="P568" i="2" s="1" a="1"/>
  <c r="P568" i="2" s="1"/>
  <c r="O520" i="2"/>
  <c r="P520" i="2" s="1" a="1"/>
  <c r="P520" i="2" s="1"/>
  <c r="O498" i="2"/>
  <c r="P498" i="2" s="1" a="1"/>
  <c r="P498" i="2" s="1"/>
  <c r="O468" i="2"/>
  <c r="P468" i="2" s="1" a="1"/>
  <c r="P468" i="2" s="1"/>
  <c r="O446" i="2"/>
  <c r="P446" i="2" s="1" a="1"/>
  <c r="P446" i="2" s="1"/>
  <c r="O334" i="2"/>
  <c r="P334" i="2" s="1" a="1"/>
  <c r="P334" i="2" s="1"/>
  <c r="O242" i="2"/>
  <c r="P242" i="2" s="1" a="1"/>
  <c r="P242" i="2" s="1"/>
  <c r="O194" i="2"/>
  <c r="P194" i="2" s="1" a="1"/>
  <c r="P194" i="2" s="1"/>
  <c r="O186" i="2"/>
  <c r="P186" i="2" s="1" a="1"/>
  <c r="P186" i="2" s="1"/>
  <c r="O150" i="2"/>
  <c r="P150" i="2" s="1" a="1"/>
  <c r="P150" i="2" s="1"/>
  <c r="O130" i="2"/>
  <c r="P130" i="2" s="1" a="1"/>
  <c r="P130" i="2" s="1"/>
  <c r="O103" i="2"/>
  <c r="P103" i="2" s="1" a="1"/>
  <c r="P103" i="2" s="1"/>
  <c r="O39" i="2"/>
  <c r="P39" i="2" s="1" a="1"/>
  <c r="P39" i="2" s="1"/>
  <c r="O818" i="2"/>
  <c r="P818" i="2" s="1" a="1"/>
  <c r="P818" i="2" s="1"/>
  <c r="O754" i="2"/>
  <c r="P754" i="2" s="1" a="1"/>
  <c r="P754" i="2" s="1"/>
  <c r="O707" i="2"/>
  <c r="P707" i="2" s="1" a="1"/>
  <c r="P707" i="2" s="1"/>
  <c r="O696" i="2"/>
  <c r="P696" i="2" s="1" a="1"/>
  <c r="P696" i="2" s="1"/>
  <c r="O423" i="2"/>
  <c r="P423" i="2" s="1" a="1"/>
  <c r="P423" i="2" s="1"/>
  <c r="O310" i="2"/>
  <c r="P310" i="2" s="1" a="1"/>
  <c r="P310" i="2" s="1"/>
  <c r="O266" i="2"/>
  <c r="P266" i="2" s="1" a="1"/>
  <c r="P266" i="2" s="1"/>
  <c r="O205" i="2"/>
  <c r="P205" i="2" s="1" a="1"/>
  <c r="P205" i="2" s="1"/>
  <c r="O152" i="2"/>
  <c r="P152" i="2" s="1" a="1"/>
  <c r="P152" i="2" s="1"/>
  <c r="O125" i="2"/>
  <c r="P125" i="2" s="1" a="1"/>
  <c r="P125" i="2" s="1"/>
  <c r="O84" i="2"/>
  <c r="P84" i="2" s="1" a="1"/>
  <c r="P84" i="2" s="1"/>
  <c r="M144" i="2"/>
  <c r="O29" i="2"/>
  <c r="P29" i="2" s="1" a="1"/>
  <c r="P29" i="2" s="1"/>
  <c r="O1687" i="2"/>
  <c r="P1687" i="2" s="1" a="1"/>
  <c r="P1687" i="2" s="1"/>
  <c r="O1615" i="2"/>
  <c r="P1615" i="2" s="1" a="1"/>
  <c r="P1615" i="2" s="1"/>
  <c r="O1563" i="2"/>
  <c r="P1563" i="2" s="1" a="1"/>
  <c r="P1563" i="2" s="1"/>
  <c r="O1553" i="2"/>
  <c r="P1553" i="2" s="1" a="1"/>
  <c r="P1553" i="2" s="1"/>
  <c r="O1497" i="2"/>
  <c r="P1497" i="2" s="1" a="1"/>
  <c r="P1497" i="2" s="1"/>
  <c r="O1414" i="2"/>
  <c r="P1414" i="2" s="1" a="1"/>
  <c r="P1414" i="2" s="1"/>
  <c r="O1356" i="2"/>
  <c r="P1356" i="2" s="1" a="1"/>
  <c r="P1356" i="2" s="1"/>
  <c r="O1329" i="2"/>
  <c r="P1329" i="2" s="1" a="1"/>
  <c r="P1329" i="2" s="1"/>
  <c r="O1282" i="2"/>
  <c r="P1282" i="2" s="1" a="1"/>
  <c r="P1282" i="2" s="1"/>
  <c r="O1180" i="2"/>
  <c r="P1180" i="2" s="1" a="1"/>
  <c r="P1180" i="2" s="1"/>
  <c r="O1161" i="2"/>
  <c r="P1161" i="2" s="1" a="1"/>
  <c r="P1161" i="2" s="1"/>
  <c r="O1111" i="2"/>
  <c r="P1111" i="2" s="1" a="1"/>
  <c r="P1111" i="2" s="1"/>
  <c r="O1016" i="2"/>
  <c r="P1016" i="2" s="1" a="1"/>
  <c r="P1016" i="2" s="1"/>
  <c r="O951" i="2"/>
  <c r="P951" i="2" s="1" a="1"/>
  <c r="P951" i="2" s="1"/>
  <c r="O858" i="2"/>
  <c r="P858" i="2" s="1" a="1"/>
  <c r="P858" i="2" s="1"/>
  <c r="O760" i="2"/>
  <c r="P760" i="2" s="1" a="1"/>
  <c r="P760" i="2" s="1"/>
  <c r="O751" i="2"/>
  <c r="P751" i="2" s="1" a="1"/>
  <c r="P751" i="2" s="1"/>
  <c r="O747" i="2"/>
  <c r="P747" i="2" s="1" a="1"/>
  <c r="P747" i="2" s="1"/>
  <c r="O724" i="2"/>
  <c r="P724" i="2" s="1" a="1"/>
  <c r="P724" i="2" s="1"/>
  <c r="O685" i="2"/>
  <c r="P685" i="2" s="1" a="1"/>
  <c r="P685" i="2" s="1"/>
  <c r="O662" i="2"/>
  <c r="P662" i="2" s="1" a="1"/>
  <c r="P662" i="2" s="1"/>
  <c r="O640" i="2"/>
  <c r="P640" i="2" s="1" a="1"/>
  <c r="P640" i="2" s="1"/>
  <c r="O523" i="2"/>
  <c r="P523" i="2" s="1" a="1"/>
  <c r="P523" i="2" s="1"/>
  <c r="O470" i="2"/>
  <c r="P470" i="2" s="1" a="1"/>
  <c r="P470" i="2" s="1"/>
  <c r="O343" i="2"/>
  <c r="P343" i="2" s="1" a="1"/>
  <c r="P343" i="2" s="1"/>
  <c r="O286" i="2"/>
  <c r="P286" i="2" s="1" a="1"/>
  <c r="P286" i="2" s="1"/>
  <c r="O50" i="2"/>
  <c r="P50" i="2" s="1" a="1"/>
  <c r="P50" i="2" s="1"/>
  <c r="O34" i="2"/>
  <c r="P34" i="2" s="1" a="1"/>
  <c r="P34" i="2" s="1"/>
  <c r="O22" i="2"/>
  <c r="P22" i="2" s="1" a="1"/>
  <c r="P22" i="2" s="1"/>
  <c r="O18" i="2"/>
  <c r="P18" i="2" s="1" a="1"/>
  <c r="P18" i="2" s="1"/>
  <c r="O158" i="2"/>
  <c r="P158" i="2" s="1" a="1"/>
  <c r="P158" i="2" s="1"/>
  <c r="O143" i="2"/>
  <c r="P143" i="2" s="1" a="1"/>
  <c r="P143" i="2" s="1"/>
  <c r="O113" i="2"/>
  <c r="P113" i="2" s="1" a="1"/>
  <c r="P113" i="2" s="1"/>
  <c r="O106" i="2"/>
  <c r="P106" i="2" s="1" a="1"/>
  <c r="P106" i="2" s="1"/>
  <c r="M268" i="2"/>
  <c r="O869" i="2"/>
  <c r="P869" i="2" s="1" a="1"/>
  <c r="P869" i="2" s="1"/>
  <c r="O790" i="2"/>
  <c r="P790" i="2" s="1" a="1"/>
  <c r="P790" i="2" s="1"/>
  <c r="O731" i="2"/>
  <c r="P731" i="2" s="1" a="1"/>
  <c r="P731" i="2" s="1"/>
  <c r="O727" i="2"/>
  <c r="P727" i="2" s="1" a="1"/>
  <c r="P727" i="2" s="1"/>
  <c r="O723" i="2"/>
  <c r="P723" i="2" s="1" a="1"/>
  <c r="P723" i="2" s="1"/>
  <c r="O697" i="2"/>
  <c r="P697" i="2" s="1" a="1"/>
  <c r="P697" i="2" s="1"/>
  <c r="O693" i="2"/>
  <c r="P693" i="2" s="1" a="1"/>
  <c r="P693" i="2" s="1"/>
  <c r="O689" i="2"/>
  <c r="P689" i="2" s="1" a="1"/>
  <c r="P689" i="2" s="1"/>
  <c r="O681" i="2"/>
  <c r="P681" i="2" s="1" a="1"/>
  <c r="P681" i="2" s="1"/>
  <c r="O582" i="2"/>
  <c r="P582" i="2" s="1" a="1"/>
  <c r="P582" i="2" s="1"/>
  <c r="O434" i="2"/>
  <c r="P434" i="2" s="1" a="1"/>
  <c r="P434" i="2" s="1"/>
  <c r="O388" i="2"/>
  <c r="P388" i="2" s="1" a="1"/>
  <c r="P388" i="2" s="1"/>
  <c r="O360" i="2"/>
  <c r="P360" i="2" s="1" a="1"/>
  <c r="P360" i="2" s="1"/>
  <c r="O332" i="2"/>
  <c r="P332" i="2" s="1" a="1"/>
  <c r="P332" i="2" s="1"/>
  <c r="O248" i="2"/>
  <c r="P248" i="2" s="1" a="1"/>
  <c r="P248" i="2" s="1"/>
  <c r="O212" i="2"/>
  <c r="P212" i="2" s="1" a="1"/>
  <c r="P212" i="2" s="1"/>
  <c r="O124" i="2"/>
  <c r="P124" i="2" s="1" a="1"/>
  <c r="P124" i="2" s="1"/>
  <c r="O91" i="2"/>
  <c r="P91" i="2" s="1" a="1"/>
  <c r="P91" i="2" s="1"/>
  <c r="O47" i="2"/>
  <c r="P47" i="2" s="1" a="1"/>
  <c r="P47" i="2" s="1"/>
  <c r="M1821" i="2"/>
  <c r="M1741" i="2"/>
  <c r="M1687" i="2"/>
  <c r="M1609" i="2"/>
  <c r="M1447" i="2"/>
  <c r="M1421" i="2"/>
  <c r="M1335" i="2"/>
  <c r="M1311" i="2"/>
  <c r="M1255" i="2"/>
  <c r="M1126" i="2"/>
  <c r="M751" i="2"/>
  <c r="M182" i="2"/>
  <c r="M1114" i="2"/>
  <c r="M1022" i="2"/>
  <c r="M816" i="2"/>
  <c r="M616" i="2"/>
  <c r="M590" i="2"/>
  <c r="M1635" i="2"/>
  <c r="M1543" i="2"/>
  <c r="M988" i="2"/>
  <c r="M966" i="2"/>
  <c r="M1843" i="2"/>
  <c r="M1829" i="2"/>
  <c r="M1823" i="2"/>
  <c r="M1689" i="2"/>
  <c r="M1355" i="2"/>
  <c r="M1082" i="2"/>
  <c r="M882" i="2"/>
  <c r="M731" i="2"/>
  <c r="M621" i="2"/>
  <c r="M434" i="2"/>
  <c r="M348" i="2"/>
  <c r="M82" i="2"/>
  <c r="M1563" i="2"/>
  <c r="M1046" i="2"/>
  <c r="M928" i="2"/>
  <c r="M910" i="2"/>
  <c r="M872" i="2"/>
  <c r="M800" i="2"/>
  <c r="M758" i="2"/>
  <c r="M653" i="2"/>
  <c r="M545" i="2"/>
  <c r="M501" i="2"/>
  <c r="M279" i="2"/>
  <c r="M223" i="2"/>
  <c r="M197" i="2"/>
  <c r="M1577" i="2"/>
  <c r="M1487" i="2"/>
  <c r="M1423" i="2"/>
  <c r="M1519" i="2"/>
  <c r="M1225" i="2"/>
  <c r="M667" i="2"/>
  <c r="M1817" i="2"/>
  <c r="M1707" i="2"/>
  <c r="M1601" i="2"/>
  <c r="M1433" i="2"/>
  <c r="M1108" i="2"/>
  <c r="M759" i="2"/>
  <c r="M613" i="2"/>
  <c r="M536" i="2"/>
  <c r="M485" i="2"/>
  <c r="M283" i="2"/>
  <c r="M214" i="2"/>
  <c r="M179" i="2"/>
  <c r="M1775" i="2"/>
  <c r="M1589" i="2"/>
  <c r="M1575" i="2"/>
  <c r="M1523" i="2"/>
  <c r="M1367" i="2"/>
  <c r="M1299" i="2"/>
  <c r="M1281" i="2"/>
  <c r="M1223" i="2"/>
  <c r="M1167" i="2"/>
  <c r="M772" i="2"/>
  <c r="M681" i="2"/>
  <c r="M495" i="2"/>
  <c r="M488" i="2"/>
  <c r="M469" i="2"/>
  <c r="M286" i="2"/>
  <c r="M1787" i="2"/>
  <c r="M1761" i="2"/>
  <c r="M1034" i="2"/>
  <c r="M888" i="2"/>
  <c r="M826" i="2"/>
  <c r="M706" i="2"/>
  <c r="M703" i="2"/>
  <c r="M678" i="2"/>
  <c r="M539" i="2"/>
  <c r="M513" i="2"/>
  <c r="M510" i="2"/>
  <c r="M325" i="2"/>
  <c r="M319" i="2"/>
  <c r="M292" i="2"/>
  <c r="M247" i="2"/>
  <c r="M187" i="2"/>
  <c r="M1729" i="2"/>
  <c r="M1655" i="2"/>
  <c r="M1467" i="2"/>
  <c r="M1243" i="2"/>
  <c r="M1237" i="2"/>
  <c r="M850" i="2"/>
  <c r="M647" i="2"/>
  <c r="M600" i="2"/>
  <c r="M491" i="2"/>
  <c r="M475" i="2"/>
  <c r="M443" i="2"/>
  <c r="M322" i="2"/>
  <c r="M1709" i="2"/>
  <c r="M1597" i="2"/>
  <c r="M1411" i="2"/>
  <c r="M1149" i="2"/>
  <c r="M806" i="2"/>
  <c r="M778" i="2"/>
  <c r="M737" i="2"/>
  <c r="M388" i="2"/>
  <c r="M253" i="2"/>
  <c r="M1777" i="2"/>
  <c r="M1675" i="2"/>
  <c r="M1663" i="2"/>
  <c r="M1557" i="2"/>
  <c r="M1257" i="2"/>
  <c r="M1199" i="2"/>
  <c r="M1181" i="2"/>
  <c r="M828" i="2"/>
  <c r="M634" i="2"/>
  <c r="M449" i="2"/>
  <c r="M357" i="2"/>
  <c r="M229" i="2"/>
  <c r="M219" i="2"/>
  <c r="M200" i="2"/>
  <c r="M1763" i="2"/>
  <c r="M1743" i="2"/>
  <c r="M1140" i="2"/>
  <c r="M1116" i="2"/>
  <c r="M1054" i="2"/>
  <c r="M1018" i="2"/>
  <c r="M1012" i="2"/>
  <c r="M996" i="2"/>
  <c r="M968" i="2"/>
  <c r="M956" i="2"/>
  <c r="M846" i="2"/>
  <c r="M734" i="2"/>
  <c r="M627" i="2"/>
  <c r="M557" i="2"/>
  <c r="M497" i="2"/>
  <c r="M420" i="2"/>
  <c r="M404" i="2"/>
  <c r="M375" i="2"/>
  <c r="M360" i="2"/>
  <c r="M298" i="2"/>
  <c r="M126" i="2"/>
  <c r="M56" i="2"/>
  <c r="M1797" i="2"/>
  <c r="M1277" i="2"/>
  <c r="M1169" i="2"/>
  <c r="M761" i="2"/>
  <c r="M687" i="2"/>
  <c r="M656" i="2"/>
  <c r="M579" i="2"/>
  <c r="M573" i="2"/>
  <c r="M480" i="2"/>
  <c r="M474" i="2"/>
  <c r="M423" i="2"/>
  <c r="M413" i="2"/>
  <c r="M372" i="2"/>
  <c r="M301" i="2"/>
  <c r="M178" i="2"/>
  <c r="M189" i="2"/>
  <c r="M234" i="2"/>
  <c r="M258" i="2"/>
  <c r="M270" i="2"/>
  <c r="M374" i="2"/>
  <c r="M445" i="2"/>
  <c r="M521" i="2"/>
  <c r="M683" i="2"/>
  <c r="M686" i="2"/>
  <c r="M739" i="2"/>
  <c r="M754" i="2"/>
  <c r="M802" i="2"/>
  <c r="M1205" i="2"/>
  <c r="M1259" i="2"/>
  <c r="M1337" i="2"/>
  <c r="M1413" i="2"/>
  <c r="M1503" i="2"/>
  <c r="M482" i="2"/>
  <c r="M544" i="2"/>
  <c r="M717" i="2"/>
  <c r="M832" i="2"/>
  <c r="M1030" i="2"/>
  <c r="M1161" i="2"/>
  <c r="M1271" i="2"/>
  <c r="M1293" i="2"/>
  <c r="M1313" i="2"/>
  <c r="M1459" i="2"/>
  <c r="M1479" i="2"/>
  <c r="M1845" i="2"/>
  <c r="M1831" i="2"/>
  <c r="P1811" i="2" a="1"/>
  <c r="P1811" i="2" s="1"/>
  <c r="P1791" i="2" a="1"/>
  <c r="P1791" i="2" s="1"/>
  <c r="M1731" i="2"/>
  <c r="M1711" i="2"/>
  <c r="M1665" i="2"/>
  <c r="M1657" i="2"/>
  <c r="P1628" i="2" a="1"/>
  <c r="P1628" i="2" s="1"/>
  <c r="M1599" i="2"/>
  <c r="P1596" i="2" a="1"/>
  <c r="P1596" i="2" s="1"/>
  <c r="M1579" i="2"/>
  <c r="P1536" i="2" a="1"/>
  <c r="P1536" i="2" s="1"/>
  <c r="M1533" i="2"/>
  <c r="P1521" i="2" a="1"/>
  <c r="P1521" i="2" s="1"/>
  <c r="M1463" i="2"/>
  <c r="P1445" i="2" a="1"/>
  <c r="P1445" i="2" s="1"/>
  <c r="P1425" i="2" a="1"/>
  <c r="P1425" i="2" s="1"/>
  <c r="P1416" i="2" a="1"/>
  <c r="P1416" i="2" s="1"/>
  <c r="P1386" i="2" a="1"/>
  <c r="P1386" i="2" s="1"/>
  <c r="M1301" i="2"/>
  <c r="M1265" i="2"/>
  <c r="P1227" i="2" a="1"/>
  <c r="P1227" i="2" s="1"/>
  <c r="P1142" i="2" a="1"/>
  <c r="P1142" i="2" s="1"/>
  <c r="M1106" i="2"/>
  <c r="P998" i="2" a="1"/>
  <c r="P998" i="2" s="1"/>
  <c r="M934" i="2"/>
  <c r="M902" i="2"/>
  <c r="M836" i="2"/>
  <c r="M749" i="2"/>
  <c r="M746" i="2"/>
  <c r="M715" i="2"/>
  <c r="M611" i="2"/>
  <c r="M605" i="2"/>
  <c r="M553" i="2"/>
  <c r="M547" i="2"/>
  <c r="M528" i="2"/>
  <c r="M503" i="2"/>
  <c r="M369" i="2"/>
  <c r="M366" i="2"/>
  <c r="P336" i="2" a="1"/>
  <c r="P336" i="2" s="1"/>
  <c r="M304" i="2"/>
  <c r="M192" i="2"/>
  <c r="M167" i="2"/>
  <c r="M104" i="2"/>
  <c r="P163" i="2" a="1"/>
  <c r="P163" i="2" s="1"/>
  <c r="P185" i="2" a="1"/>
  <c r="P185" i="2" s="1"/>
  <c r="P211" i="2" a="1"/>
  <c r="P211" i="2" s="1"/>
  <c r="P223" i="2" a="1"/>
  <c r="P223" i="2" s="1"/>
  <c r="P229" i="2" a="1"/>
  <c r="P229" i="2" s="1"/>
  <c r="P247" i="2" a="1"/>
  <c r="P247" i="2" s="1"/>
  <c r="P251" i="2" a="1"/>
  <c r="P251" i="2" s="1"/>
  <c r="P261" i="2" a="1"/>
  <c r="P261" i="2" s="1"/>
  <c r="P275" i="2" a="1"/>
  <c r="P275" i="2" s="1"/>
  <c r="P279" i="2" a="1"/>
  <c r="P279" i="2" s="1"/>
  <c r="P283" i="2" a="1"/>
  <c r="P283" i="2" s="1"/>
  <c r="P293" i="2" a="1"/>
  <c r="P293" i="2" s="1"/>
  <c r="P305" i="2" a="1"/>
  <c r="P305" i="2" s="1"/>
  <c r="P307" i="2" a="1"/>
  <c r="P307" i="2" s="1"/>
  <c r="P311" i="2" a="1"/>
  <c r="P311" i="2" s="1"/>
  <c r="P319" i="2" a="1"/>
  <c r="P319" i="2" s="1"/>
  <c r="P323" i="2" a="1"/>
  <c r="P323" i="2" s="1"/>
  <c r="P327" i="2" a="1"/>
  <c r="P327" i="2" s="1"/>
  <c r="P329" i="2" a="1"/>
  <c r="P329" i="2" s="1"/>
  <c r="P333" i="2" a="1"/>
  <c r="P333" i="2" s="1"/>
  <c r="P341" i="2" a="1"/>
  <c r="P341" i="2" s="1"/>
  <c r="P345" i="2" a="1"/>
  <c r="P345" i="2" s="1"/>
  <c r="P351" i="2" a="1"/>
  <c r="P351" i="2" s="1"/>
  <c r="P353" i="2" a="1"/>
  <c r="P353" i="2" s="1"/>
  <c r="P383" i="2" a="1"/>
  <c r="P383" i="2" s="1"/>
  <c r="P391" i="2" a="1"/>
  <c r="P391" i="2" s="1"/>
  <c r="P395" i="2" a="1"/>
  <c r="P395" i="2" s="1"/>
  <c r="P411" i="2" a="1"/>
  <c r="P411" i="2" s="1"/>
  <c r="P413" i="2" a="1"/>
  <c r="P413" i="2" s="1"/>
  <c r="P431" i="2" a="1"/>
  <c r="P431" i="2" s="1"/>
  <c r="P443" i="2" a="1"/>
  <c r="P443" i="2" s="1"/>
  <c r="P447" i="2" a="1"/>
  <c r="P447" i="2" s="1"/>
  <c r="P135" i="2" a="1"/>
  <c r="P135" i="2" s="1"/>
  <c r="P541" i="2" a="1"/>
  <c r="P541" i="2" s="1"/>
  <c r="P597" i="2" a="1"/>
  <c r="P597" i="2" s="1"/>
  <c r="P601" i="2" a="1"/>
  <c r="P601" i="2" s="1"/>
  <c r="P605" i="2" a="1"/>
  <c r="P605" i="2" s="1"/>
  <c r="P609" i="2" a="1"/>
  <c r="P609" i="2" s="1"/>
  <c r="P613" i="2" a="1"/>
  <c r="P613" i="2" s="1"/>
  <c r="P633" i="2" a="1"/>
  <c r="P633" i="2" s="1"/>
  <c r="P637" i="2" a="1"/>
  <c r="P637" i="2" s="1"/>
  <c r="P641" i="2" a="1"/>
  <c r="P641" i="2" s="1"/>
  <c r="P645" i="2" a="1"/>
  <c r="P645" i="2" s="1"/>
  <c r="P649" i="2" a="1"/>
  <c r="P649" i="2" s="1"/>
  <c r="P51" i="2" a="1"/>
  <c r="P51" i="2" s="1"/>
  <c r="P483" i="2" a="1"/>
  <c r="P483" i="2" s="1"/>
  <c r="P511" i="2" a="1"/>
  <c r="P511" i="2" s="1"/>
  <c r="P722" i="2" a="1"/>
  <c r="P722" i="2" s="1"/>
  <c r="P465" i="2" a="1"/>
  <c r="P465" i="2" s="1"/>
  <c r="P481" i="2" a="1"/>
  <c r="P481" i="2" s="1"/>
  <c r="P497" i="2" a="1"/>
  <c r="P497" i="2" s="1"/>
  <c r="P527" i="2" a="1"/>
  <c r="P527" i="2" s="1"/>
  <c r="P543" i="2" a="1"/>
  <c r="P543" i="2" s="1"/>
  <c r="P552" i="2" a="1"/>
  <c r="P552" i="2" s="1"/>
  <c r="P559" i="2" a="1"/>
  <c r="P559" i="2" s="1"/>
  <c r="P803" i="2" a="1"/>
  <c r="P803" i="2" s="1"/>
  <c r="P93" i="2" a="1"/>
  <c r="P93" i="2" s="1"/>
  <c r="P153" i="2" a="1"/>
  <c r="P153" i="2" s="1"/>
  <c r="P422" i="2" a="1"/>
  <c r="P422" i="2" s="1"/>
  <c r="P479" i="2" a="1"/>
  <c r="P479" i="2" s="1"/>
  <c r="P550" i="2" a="1"/>
  <c r="P550" i="2" s="1"/>
  <c r="P557" i="2" a="1"/>
  <c r="P557" i="2" s="1"/>
  <c r="P773" i="2" a="1"/>
  <c r="P773" i="2" s="1"/>
  <c r="P801" i="2" a="1"/>
  <c r="P801" i="2" s="1"/>
  <c r="P816" i="2" a="1"/>
  <c r="P816" i="2" s="1"/>
  <c r="P872" i="2" a="1"/>
  <c r="P872" i="2" s="1"/>
  <c r="P956" i="2" a="1"/>
  <c r="P956" i="2" s="1"/>
  <c r="P1012" i="2" a="1"/>
  <c r="P1012" i="2" s="1"/>
  <c r="P499" i="2" a="1"/>
  <c r="P499" i="2" s="1"/>
  <c r="P581" i="2" a="1"/>
  <c r="P581" i="2" s="1"/>
  <c r="P494" i="2" a="1"/>
  <c r="P494" i="2" s="1"/>
  <c r="P566" i="2" a="1"/>
  <c r="P566" i="2" s="1"/>
  <c r="P709" i="2" a="1"/>
  <c r="P709" i="2" s="1"/>
  <c r="P763" i="2" a="1"/>
  <c r="P763" i="2" s="1"/>
  <c r="P881" i="2" a="1"/>
  <c r="P881" i="2" s="1"/>
  <c r="P416" i="2" a="1"/>
  <c r="P416" i="2" s="1"/>
  <c r="P524" i="2" a="1"/>
  <c r="P524" i="2" s="1"/>
  <c r="P585" i="2" a="1"/>
  <c r="P585" i="2" s="1"/>
  <c r="P911" i="2" a="1"/>
  <c r="P911" i="2" s="1"/>
  <c r="P1109" i="2" a="1"/>
  <c r="P1109" i="2" s="1"/>
  <c r="P386" i="2" a="1"/>
  <c r="P386" i="2" s="1"/>
  <c r="P514" i="2" a="1"/>
  <c r="P514" i="2" s="1"/>
  <c r="P519" i="2" a="1"/>
  <c r="P519" i="2" s="1"/>
  <c r="P535" i="2" a="1"/>
  <c r="P535" i="2" s="1"/>
  <c r="P548" i="2" a="1"/>
  <c r="P548" i="2" s="1"/>
  <c r="P572" i="2" a="1"/>
  <c r="P572" i="2" s="1"/>
  <c r="P721" i="2" a="1"/>
  <c r="P721" i="2" s="1"/>
  <c r="P791" i="2" a="1"/>
  <c r="P791" i="2" s="1"/>
  <c r="P839" i="2" a="1"/>
  <c r="P839" i="2" s="1"/>
  <c r="P924" i="2" a="1"/>
  <c r="P924" i="2" s="1"/>
  <c r="P929" i="2" a="1"/>
  <c r="P929" i="2" s="1"/>
  <c r="P939" i="2" a="1"/>
  <c r="P939" i="2" s="1"/>
  <c r="P947" i="2" a="1"/>
  <c r="P947" i="2" s="1"/>
  <c r="P992" i="2" a="1"/>
  <c r="P992" i="2" s="1"/>
  <c r="P1031" i="2" a="1"/>
  <c r="P1031" i="2" s="1"/>
  <c r="P1119" i="2" a="1"/>
  <c r="P1119" i="2" s="1"/>
  <c r="P1159" i="2" a="1"/>
  <c r="P1159" i="2" s="1"/>
  <c r="P1168" i="2" a="1"/>
  <c r="P1168" i="2" s="1"/>
  <c r="P1186" i="2" a="1"/>
  <c r="P1186" i="2" s="1"/>
  <c r="P1271" i="2" a="1"/>
  <c r="P1271" i="2" s="1"/>
  <c r="P1298" i="2" a="1"/>
  <c r="P1298" i="2" s="1"/>
  <c r="P1318" i="2" a="1"/>
  <c r="P1318" i="2" s="1"/>
  <c r="P1327" i="2" a="1"/>
  <c r="P1327" i="2" s="1"/>
  <c r="P1336" i="2" a="1"/>
  <c r="P1336" i="2" s="1"/>
  <c r="P1347" i="2" a="1"/>
  <c r="P1347" i="2" s="1"/>
  <c r="P1403" i="2" a="1"/>
  <c r="P1403" i="2" s="1"/>
  <c r="P1448" i="2" a="1"/>
  <c r="P1448" i="2" s="1"/>
  <c r="P1459" i="2" a="1"/>
  <c r="P1459" i="2" s="1"/>
  <c r="P1486" i="2" a="1"/>
  <c r="P1486" i="2" s="1"/>
  <c r="P1495" i="2" a="1"/>
  <c r="P1495" i="2" s="1"/>
  <c r="P1504" i="2" a="1"/>
  <c r="P1504" i="2" s="1"/>
  <c r="P1515" i="2" a="1"/>
  <c r="P1515" i="2" s="1"/>
  <c r="P1542" i="2" a="1"/>
  <c r="P1542" i="2" s="1"/>
  <c r="P1551" i="2" a="1"/>
  <c r="P1551" i="2" s="1"/>
  <c r="P1560" i="2" a="1"/>
  <c r="P1560" i="2" s="1"/>
  <c r="P1578" i="2" a="1"/>
  <c r="P1578" i="2" s="1"/>
  <c r="P1598" i="2" a="1"/>
  <c r="P1598" i="2" s="1"/>
  <c r="P1607" i="2" a="1"/>
  <c r="P1607" i="2" s="1"/>
  <c r="P1616" i="2" a="1"/>
  <c r="P1616" i="2" s="1"/>
  <c r="P1654" i="2" a="1"/>
  <c r="P1654" i="2" s="1"/>
  <c r="P1663" i="2" a="1"/>
  <c r="P1663" i="2" s="1"/>
  <c r="P1672" i="2" a="1"/>
  <c r="P1672" i="2" s="1"/>
  <c r="P1683" i="2" a="1"/>
  <c r="P1683" i="2" s="1"/>
  <c r="P1710" i="2" a="1"/>
  <c r="P1710" i="2" s="1"/>
  <c r="P1719" i="2" a="1"/>
  <c r="P1719" i="2" s="1"/>
  <c r="P1728" i="2" a="1"/>
  <c r="P1728" i="2" s="1"/>
  <c r="P1739" i="2" a="1"/>
  <c r="P1739" i="2" s="1"/>
  <c r="P1766" i="2" a="1"/>
  <c r="P1766" i="2" s="1"/>
  <c r="P1784" i="2" a="1"/>
  <c r="P1784" i="2" s="1"/>
  <c r="P1795" i="2" a="1"/>
  <c r="P1795" i="2" s="1"/>
  <c r="P1824" i="2" a="1"/>
  <c r="P1824" i="2" s="1"/>
  <c r="P210" i="2" a="1"/>
  <c r="P210" i="2" s="1"/>
  <c r="P238" i="2" a="1"/>
  <c r="P238" i="2" s="1"/>
  <c r="P274" i="2" a="1"/>
  <c r="P274" i="2" s="1"/>
  <c r="P522" i="2" a="1"/>
  <c r="P522" i="2" s="1"/>
  <c r="P593" i="2" a="1"/>
  <c r="P593" i="2" s="1"/>
  <c r="P799" i="2" a="1"/>
  <c r="P799" i="2" s="1"/>
  <c r="P814" i="2" a="1"/>
  <c r="P814" i="2" s="1"/>
  <c r="P894" i="2" a="1"/>
  <c r="P894" i="2" s="1"/>
  <c r="P80" i="2" a="1"/>
  <c r="P80" i="2" s="1"/>
  <c r="P151" i="2" a="1"/>
  <c r="P151" i="2" s="1"/>
  <c r="P400" i="2" a="1"/>
  <c r="P400" i="2" s="1"/>
  <c r="P684" i="2" a="1"/>
  <c r="P684" i="2" s="1"/>
  <c r="P1021" i="2" a="1"/>
  <c r="P1021" i="2" s="1"/>
  <c r="P1066" i="2" a="1"/>
  <c r="P1066" i="2" s="1"/>
  <c r="P346" i="2" a="1"/>
  <c r="P346" i="2" s="1"/>
  <c r="P579" i="2" a="1"/>
  <c r="P579" i="2" s="1"/>
  <c r="P694" i="2" a="1"/>
  <c r="P694" i="2" s="1"/>
  <c r="P1316" i="2" a="1"/>
  <c r="P1316" i="2" s="1"/>
  <c r="P1419" i="2" a="1"/>
  <c r="P1419" i="2" s="1"/>
  <c r="P92" i="2" a="1"/>
  <c r="P92" i="2" s="1"/>
  <c r="P628" i="2" a="1"/>
  <c r="P628" i="2" s="1"/>
  <c r="P700" i="2" a="1"/>
  <c r="P700" i="2" s="1"/>
  <c r="P759" i="2" a="1"/>
  <c r="P759" i="2" s="1"/>
  <c r="P1088" i="2" a="1"/>
  <c r="P1088" i="2" s="1"/>
  <c r="P1122" i="2" a="1"/>
  <c r="P1122" i="2" s="1"/>
  <c r="P1260" i="2" a="1"/>
  <c r="P1260" i="2" s="1"/>
  <c r="P1314" i="2" a="1"/>
  <c r="P1314" i="2" s="1"/>
  <c r="P1529" i="2" a="1"/>
  <c r="P1529" i="2" s="1"/>
  <c r="P396" i="2" a="1"/>
  <c r="P396" i="2" s="1"/>
  <c r="P501" i="2" a="1"/>
  <c r="P501" i="2" s="1"/>
  <c r="P531" i="2" a="1"/>
  <c r="P531" i="2" s="1"/>
  <c r="P537" i="2" a="1"/>
  <c r="P537" i="2" s="1"/>
  <c r="P588" i="2" a="1"/>
  <c r="P588" i="2" s="1"/>
  <c r="P809" i="2" a="1"/>
  <c r="P809" i="2" s="1"/>
  <c r="P972" i="2" a="1"/>
  <c r="P972" i="2" s="1"/>
  <c r="P1018" i="2" a="1"/>
  <c r="P1018" i="2" s="1"/>
  <c r="P1034" i="2" a="1"/>
  <c r="P1034" i="2" s="1"/>
  <c r="P1104" i="2" a="1"/>
  <c r="P1104" i="2" s="1"/>
  <c r="P1117" i="2" a="1"/>
  <c r="P1117" i="2" s="1"/>
  <c r="P1130" i="2" a="1"/>
  <c r="P1130" i="2" s="1"/>
  <c r="P1160" i="2" a="1"/>
  <c r="P1160" i="2" s="1"/>
  <c r="P1165" i="2" a="1"/>
  <c r="P1165" i="2" s="1"/>
  <c r="P1204" i="2" a="1"/>
  <c r="P1204" i="2" s="1"/>
  <c r="P1243" i="2" a="1"/>
  <c r="P1243" i="2" s="1"/>
  <c r="P1275" i="2" a="1"/>
  <c r="P1275" i="2" s="1"/>
  <c r="P1292" i="2" a="1"/>
  <c r="P1292" i="2" s="1"/>
  <c r="P1307" i="2" a="1"/>
  <c r="P1307" i="2" s="1"/>
  <c r="P1312" i="2" a="1"/>
  <c r="P1312" i="2" s="1"/>
  <c r="P1353" i="2" a="1"/>
  <c r="P1353" i="2" s="1"/>
  <c r="P1436" i="2" a="1"/>
  <c r="P1436" i="2" s="1"/>
  <c r="P1458" i="2" a="1"/>
  <c r="P1458" i="2" s="1"/>
  <c r="P1463" i="2" a="1"/>
  <c r="P1463" i="2" s="1"/>
  <c r="P1473" i="2" a="1"/>
  <c r="P1473" i="2" s="1"/>
  <c r="P1487" i="2" a="1"/>
  <c r="P1487" i="2" s="1"/>
  <c r="P1507" i="2" a="1"/>
  <c r="P1507" i="2" s="1"/>
  <c r="P1556" i="2" a="1"/>
  <c r="P1556" i="2" s="1"/>
  <c r="P1568" i="2" a="1"/>
  <c r="P1568" i="2" s="1"/>
  <c r="P1583" i="2" a="1"/>
  <c r="P1583" i="2" s="1"/>
  <c r="P1644" i="2" a="1"/>
  <c r="P1644" i="2" s="1"/>
  <c r="P1651" i="2" a="1"/>
  <c r="P1651" i="2" s="1"/>
  <c r="P1705" i="2" a="1"/>
  <c r="P1705" i="2" s="1"/>
  <c r="P1788" i="2" a="1"/>
  <c r="P1788" i="2" s="1"/>
  <c r="P1800" i="2" a="1"/>
  <c r="P1800" i="2" s="1"/>
  <c r="P188" i="2" a="1"/>
  <c r="P188" i="2" s="1"/>
  <c r="P574" i="2" a="1"/>
  <c r="P574" i="2" s="1"/>
  <c r="P661" i="2" a="1"/>
  <c r="P661" i="2" s="1"/>
  <c r="P744" i="2" a="1"/>
  <c r="P744" i="2" s="1"/>
  <c r="P954" i="2" a="1"/>
  <c r="P954" i="2" s="1"/>
  <c r="P978" i="2" a="1"/>
  <c r="P978" i="2" s="1"/>
  <c r="P1052" i="2" a="1"/>
  <c r="P1052" i="2" s="1"/>
  <c r="P1091" i="2" a="1"/>
  <c r="P1091" i="2" s="1"/>
  <c r="P1148" i="2" a="1"/>
  <c r="P1148" i="2" s="1"/>
  <c r="P1175" i="2" a="1"/>
  <c r="P1175" i="2" s="1"/>
  <c r="P1187" i="2" a="1"/>
  <c r="P1187" i="2" s="1"/>
  <c r="P1236" i="2" a="1"/>
  <c r="P1236" i="2" s="1"/>
  <c r="P1251" i="2" a="1"/>
  <c r="P1251" i="2" s="1"/>
  <c r="P1285" i="2" a="1"/>
  <c r="P1285" i="2" s="1"/>
  <c r="P1380" i="2" a="1"/>
  <c r="P1380" i="2" s="1"/>
  <c r="P1402" i="2" a="1"/>
  <c r="P1402" i="2" s="1"/>
  <c r="P1407" i="2" a="1"/>
  <c r="P1407" i="2" s="1"/>
  <c r="P1417" i="2" a="1"/>
  <c r="P1417" i="2" s="1"/>
  <c r="P1431" i="2" a="1"/>
  <c r="P1431" i="2" s="1"/>
  <c r="P1446" i="2" a="1"/>
  <c r="P1446" i="2" s="1"/>
  <c r="P1500" i="2" a="1"/>
  <c r="P1500" i="2" s="1"/>
  <c r="P1512" i="2" a="1"/>
  <c r="P1512" i="2" s="1"/>
  <c r="P1541" i="2" a="1"/>
  <c r="P1541" i="2" s="1"/>
  <c r="P1588" i="2" a="1"/>
  <c r="P1588" i="2" s="1"/>
  <c r="P1595" i="2" a="1"/>
  <c r="P1595" i="2" s="1"/>
  <c r="P1649" i="2" a="1"/>
  <c r="P1649" i="2" s="1"/>
  <c r="P1732" i="2" a="1"/>
  <c r="P1732" i="2" s="1"/>
  <c r="P1744" i="2" a="1"/>
  <c r="P1744" i="2" s="1"/>
  <c r="P1749" i="2" a="1"/>
  <c r="P1749" i="2" s="1"/>
  <c r="P1754" i="2" a="1"/>
  <c r="P1754" i="2" s="1"/>
  <c r="P1783" i="2" a="1"/>
  <c r="P1783" i="2" s="1"/>
  <c r="P1822" i="2" a="1"/>
  <c r="P1822" i="2" s="1"/>
  <c r="P1834" i="2" a="1"/>
  <c r="P1834" i="2" s="1"/>
  <c r="P2" i="2" a="1"/>
  <c r="P2" i="2" s="1"/>
  <c r="P11" i="2" a="1"/>
  <c r="P11" i="2" s="1"/>
  <c r="P284" i="2" a="1"/>
  <c r="P284" i="2" s="1"/>
  <c r="P563" i="2" a="1"/>
  <c r="P563" i="2" s="1"/>
  <c r="P782" i="2" a="1"/>
  <c r="P782" i="2" s="1"/>
  <c r="P821" i="2" a="1"/>
  <c r="P821" i="2" s="1"/>
  <c r="P870" i="2" a="1"/>
  <c r="P870" i="2" s="1"/>
  <c r="P933" i="2" a="1"/>
  <c r="P933" i="2" s="1"/>
  <c r="P1115" i="2" a="1"/>
  <c r="P1115" i="2" s="1"/>
  <c r="P1125" i="2" a="1"/>
  <c r="P1125" i="2" s="1"/>
  <c r="P1229" i="2" a="1"/>
  <c r="P1229" i="2" s="1"/>
  <c r="P1346" i="2" a="1"/>
  <c r="P1346" i="2" s="1"/>
  <c r="P1351" i="2" a="1"/>
  <c r="P1351" i="2" s="1"/>
  <c r="P1390" i="2" a="1"/>
  <c r="P1390" i="2" s="1"/>
  <c r="P1395" i="2" a="1"/>
  <c r="P1395" i="2" s="1"/>
  <c r="P1444" i="2" a="1"/>
  <c r="P1444" i="2" s="1"/>
  <c r="P1471" i="2" a="1"/>
  <c r="P1471" i="2" s="1"/>
  <c r="P1532" i="2" a="1"/>
  <c r="P1532" i="2" s="1"/>
  <c r="P1610" i="2" a="1"/>
  <c r="P1610" i="2" s="1"/>
  <c r="P1676" i="2" a="1"/>
  <c r="P1676" i="2" s="1"/>
  <c r="P1688" i="2" a="1"/>
  <c r="P1688" i="2" s="1"/>
  <c r="P1693" i="2" a="1"/>
  <c r="P1693" i="2" s="1"/>
  <c r="P1771" i="2" a="1"/>
  <c r="P1771" i="2" s="1"/>
  <c r="P1793" i="2" a="1"/>
  <c r="P1793" i="2" s="1"/>
  <c r="P1820" i="2" a="1"/>
  <c r="P1820" i="2" s="1"/>
  <c r="P61" i="2" a="1"/>
  <c r="P61" i="2" s="1"/>
  <c r="P338" i="2" a="1"/>
  <c r="P338" i="2" s="1"/>
  <c r="P583" i="2" a="1"/>
  <c r="P583" i="2" s="1"/>
  <c r="P965" i="2" a="1"/>
  <c r="P965" i="2" s="1"/>
  <c r="P981" i="2" a="1"/>
  <c r="P981" i="2" s="1"/>
  <c r="P1000" i="2" a="1"/>
  <c r="P1000" i="2" s="1"/>
  <c r="P1065" i="2" a="1"/>
  <c r="P1065" i="2" s="1"/>
  <c r="P1146" i="2" a="1"/>
  <c r="P1146" i="2" s="1"/>
  <c r="P1173" i="2" a="1"/>
  <c r="P1173" i="2" s="1"/>
  <c r="P1268" i="2" a="1"/>
  <c r="P1268" i="2" s="1"/>
  <c r="P1305" i="2" a="1"/>
  <c r="P1305" i="2" s="1"/>
  <c r="P1310" i="2" a="1"/>
  <c r="P1310" i="2" s="1"/>
  <c r="P1415" i="2" a="1"/>
  <c r="P1415" i="2" s="1"/>
  <c r="P1429" i="2" a="1"/>
  <c r="P1429" i="2" s="1"/>
  <c r="P1537" i="2" a="1"/>
  <c r="P1537" i="2" s="1"/>
  <c r="P1620" i="2" a="1"/>
  <c r="P1620" i="2" s="1"/>
  <c r="P1632" i="2" a="1"/>
  <c r="P1632" i="2" s="1"/>
  <c r="P1637" i="2" a="1"/>
  <c r="P1637" i="2" s="1"/>
  <c r="P1671" i="2" a="1"/>
  <c r="P1671" i="2" s="1"/>
  <c r="P1715" i="2" a="1"/>
  <c r="P1715" i="2" s="1"/>
  <c r="P1737" i="2" a="1"/>
  <c r="P1737" i="2" s="1"/>
  <c r="P1818" i="2" a="1"/>
  <c r="P1818" i="2" s="1"/>
  <c r="P1832" i="2" a="1"/>
  <c r="P1832" i="2" s="1"/>
  <c r="P105" i="2" a="1"/>
  <c r="P105" i="2" s="1"/>
  <c r="P156" i="2" a="1"/>
  <c r="P156" i="2" s="1"/>
  <c r="P376" i="2" a="1"/>
  <c r="P376" i="2" s="1"/>
  <c r="P549" i="2" a="1"/>
  <c r="P549" i="2" s="1"/>
  <c r="P652" i="2" a="1"/>
  <c r="P652" i="2" s="1"/>
  <c r="P1003" i="2" a="1"/>
  <c r="P1003" i="2" s="1"/>
  <c r="P1099" i="2" a="1"/>
  <c r="P1099" i="2" s="1"/>
  <c r="P1123" i="2" a="1"/>
  <c r="P1123" i="2" s="1"/>
  <c r="P1239" i="2" a="1"/>
  <c r="P1239" i="2" s="1"/>
  <c r="P1283" i="2" a="1"/>
  <c r="P1283" i="2" s="1"/>
  <c r="P1420" i="2" a="1"/>
  <c r="P1420" i="2" s="1"/>
  <c r="P1427" i="2" a="1"/>
  <c r="P1427" i="2" s="1"/>
  <c r="P493" i="2" a="1"/>
  <c r="P493" i="2" s="1"/>
  <c r="P680" i="2" a="1"/>
  <c r="P680" i="2" s="1"/>
  <c r="P957" i="2" a="1"/>
  <c r="P957" i="2" s="1"/>
  <c r="P1079" i="2" a="1"/>
  <c r="P1079" i="2" s="1"/>
  <c r="P1249" i="2" a="1"/>
  <c r="P1249" i="2" s="1"/>
  <c r="P1263" i="2" a="1"/>
  <c r="P1263" i="2" s="1"/>
  <c r="P1373" i="2" a="1"/>
  <c r="P1373" i="2" s="1"/>
  <c r="P1454" i="2" a="1"/>
  <c r="P1454" i="2" s="1"/>
  <c r="P1481" i="2" a="1"/>
  <c r="P1481" i="2" s="1"/>
  <c r="P1836" i="2" a="1"/>
  <c r="P1836" i="2" s="1"/>
  <c r="P1833" i="2" a="1"/>
  <c r="P1833" i="2" s="1"/>
  <c r="P1799" i="2" a="1"/>
  <c r="P1799" i="2" s="1"/>
  <c r="M1765" i="2"/>
  <c r="M1745" i="2"/>
  <c r="P1736" i="2" a="1"/>
  <c r="P1736" i="2" s="1"/>
  <c r="P1716" i="2" a="1"/>
  <c r="P1716" i="2" s="1"/>
  <c r="P1662" i="2" a="1"/>
  <c r="P1662" i="2" s="1"/>
  <c r="M1651" i="2"/>
  <c r="M1631" i="2"/>
  <c r="P1604" i="2" a="1"/>
  <c r="P1604" i="2" s="1"/>
  <c r="P1590" i="2" a="1"/>
  <c r="P1590" i="2" s="1"/>
  <c r="P1587" i="2" a="1"/>
  <c r="P1587" i="2" s="1"/>
  <c r="M1553" i="2"/>
  <c r="P1550" i="2" a="1"/>
  <c r="P1550" i="2" s="1"/>
  <c r="M1545" i="2"/>
  <c r="M1507" i="2"/>
  <c r="M1501" i="2"/>
  <c r="P1377" i="2" a="1"/>
  <c r="P1377" i="2" s="1"/>
  <c r="P1371" i="2" a="1"/>
  <c r="P1371" i="2" s="1"/>
  <c r="P1362" i="2" a="1"/>
  <c r="P1362" i="2" s="1"/>
  <c r="M1357" i="2"/>
  <c r="M1321" i="2"/>
  <c r="M1309" i="2"/>
  <c r="P1303" i="2" a="1"/>
  <c r="P1303" i="2" s="1"/>
  <c r="P1294" i="2" a="1"/>
  <c r="P1294" i="2" s="1"/>
  <c r="M1291" i="2"/>
  <c r="M1245" i="2"/>
  <c r="P1189" i="2" a="1"/>
  <c r="P1189" i="2" s="1"/>
  <c r="P1174" i="2" a="1"/>
  <c r="P1174" i="2" s="1"/>
  <c r="P1127" i="2" a="1"/>
  <c r="P1127" i="2" s="1"/>
  <c r="M1078" i="2"/>
  <c r="P1075" i="2" a="1"/>
  <c r="P1075" i="2" s="1"/>
  <c r="M1020" i="2"/>
  <c r="P1005" i="2" a="1"/>
  <c r="P1005" i="2" s="1"/>
  <c r="P827" i="2" a="1"/>
  <c r="P827" i="2" s="1"/>
  <c r="P767" i="2" a="1"/>
  <c r="P767" i="2" s="1"/>
  <c r="P636" i="2" a="1"/>
  <c r="P636" i="2" s="1"/>
  <c r="M614" i="2"/>
  <c r="M531" i="2"/>
  <c r="P508" i="2" a="1"/>
  <c r="P508" i="2" s="1"/>
  <c r="M458" i="2"/>
  <c r="M170" i="2"/>
  <c r="M142" i="2"/>
  <c r="M66" i="2"/>
  <c r="M1805" i="2"/>
  <c r="M1785" i="2"/>
  <c r="P1770" i="2" a="1"/>
  <c r="P1770" i="2" s="1"/>
  <c r="P1767" i="2" a="1"/>
  <c r="P1767" i="2" s="1"/>
  <c r="P1762" i="2" a="1"/>
  <c r="P1762" i="2" s="1"/>
  <c r="P1733" i="2" a="1"/>
  <c r="P1733" i="2" s="1"/>
  <c r="M1719" i="2"/>
  <c r="M1685" i="2"/>
  <c r="P1633" i="2" a="1"/>
  <c r="P1633" i="2" s="1"/>
  <c r="P1619" i="2" a="1"/>
  <c r="P1619" i="2" s="1"/>
  <c r="P1613" i="2" a="1"/>
  <c r="P1613" i="2" s="1"/>
  <c r="P1581" i="2" a="1"/>
  <c r="P1581" i="2" s="1"/>
  <c r="P1547" i="2" a="1"/>
  <c r="P1547" i="2" s="1"/>
  <c r="P1465" i="2" a="1"/>
  <c r="P1465" i="2" s="1"/>
  <c r="P1442" i="2" a="1"/>
  <c r="P1442" i="2" s="1"/>
  <c r="M1389" i="2"/>
  <c r="P1368" i="2" a="1"/>
  <c r="P1368" i="2" s="1"/>
  <c r="M1365" i="2"/>
  <c r="M1333" i="2"/>
  <c r="P1267" i="2" a="1"/>
  <c r="P1267" i="2" s="1"/>
  <c r="M1253" i="2"/>
  <c r="P1247" i="2" a="1"/>
  <c r="P1247" i="2" s="1"/>
  <c r="P1203" i="2" a="1"/>
  <c r="P1203" i="2" s="1"/>
  <c r="M1201" i="2"/>
  <c r="P1192" i="2" a="1"/>
  <c r="P1192" i="2" s="1"/>
  <c r="P1139" i="2" a="1"/>
  <c r="P1139" i="2" s="1"/>
  <c r="M1072" i="2"/>
  <c r="P1025" i="2" a="1"/>
  <c r="P1025" i="2" s="1"/>
  <c r="P995" i="2" a="1"/>
  <c r="P995" i="2" s="1"/>
  <c r="M964" i="2"/>
  <c r="P961" i="2" a="1"/>
  <c r="P961" i="2" s="1"/>
  <c r="M958" i="2"/>
  <c r="M918" i="2"/>
  <c r="P898" i="2" a="1"/>
  <c r="P898" i="2" s="1"/>
  <c r="P877" i="2" a="1"/>
  <c r="P877" i="2" s="1"/>
  <c r="M830" i="2"/>
  <c r="M770" i="2"/>
  <c r="M690" i="2"/>
  <c r="M676" i="2"/>
  <c r="M670" i="2"/>
  <c r="P642" i="2" a="1"/>
  <c r="P642" i="2" s="1"/>
  <c r="P562" i="2" a="1"/>
  <c r="P562" i="2" s="1"/>
  <c r="M448" i="2"/>
  <c r="M336" i="2"/>
  <c r="P208" i="2" a="1"/>
  <c r="P208" i="2" s="1"/>
  <c r="P176" i="2" a="1"/>
  <c r="P176" i="2" s="1"/>
  <c r="M94" i="2"/>
  <c r="M168" i="2"/>
  <c r="P1830" i="2" a="1"/>
  <c r="P1830" i="2" s="1"/>
  <c r="M1819" i="2"/>
  <c r="P1816" i="2" a="1"/>
  <c r="P1816" i="2" s="1"/>
  <c r="P1796" i="2" a="1"/>
  <c r="P1796" i="2" s="1"/>
  <c r="P1753" i="2" a="1"/>
  <c r="P1753" i="2" s="1"/>
  <c r="M1705" i="2"/>
  <c r="P1696" i="2" a="1"/>
  <c r="P1696" i="2" s="1"/>
  <c r="P1679" i="2" a="1"/>
  <c r="P1679" i="2" s="1"/>
  <c r="M1645" i="2"/>
  <c r="P1639" i="2" a="1"/>
  <c r="P1639" i="2" s="1"/>
  <c r="P1538" i="2" a="1"/>
  <c r="P1538" i="2" s="1"/>
  <c r="M1521" i="2"/>
  <c r="M1489" i="2"/>
  <c r="M1477" i="2"/>
  <c r="M1445" i="2"/>
  <c r="M1377" i="2"/>
  <c r="P1317" i="2" a="1"/>
  <c r="P1317" i="2" s="1"/>
  <c r="M1279" i="2"/>
  <c r="P1264" i="2" a="1"/>
  <c r="P1264" i="2" s="1"/>
  <c r="M1142" i="2"/>
  <c r="M1130" i="2"/>
  <c r="M1062" i="2"/>
  <c r="M998" i="2"/>
  <c r="P982" i="2" a="1"/>
  <c r="P982" i="2" s="1"/>
  <c r="P979" i="2" a="1"/>
  <c r="P979" i="2" s="1"/>
  <c r="P854" i="2" a="1"/>
  <c r="P854" i="2" s="1"/>
  <c r="P835" i="2" a="1"/>
  <c r="P835" i="2" s="1"/>
  <c r="P795" i="2" a="1"/>
  <c r="P795" i="2" s="1"/>
  <c r="M673" i="2"/>
  <c r="M639" i="2"/>
  <c r="M508" i="2"/>
  <c r="P460" i="2" a="1"/>
  <c r="P460" i="2" s="1"/>
  <c r="M419" i="2"/>
  <c r="P368" i="2" a="1"/>
  <c r="P368" i="2" s="1"/>
  <c r="M339" i="2"/>
  <c r="M314" i="2"/>
  <c r="M307" i="2"/>
  <c r="M1799" i="2"/>
  <c r="M1653" i="2"/>
  <c r="M1619" i="2"/>
  <c r="P1564" i="2" a="1"/>
  <c r="P1564" i="2" s="1"/>
  <c r="M1465" i="2"/>
  <c r="M1403" i="2"/>
  <c r="M1347" i="2"/>
  <c r="P1320" i="2" a="1"/>
  <c r="P1320" i="2" s="1"/>
  <c r="M1235" i="2"/>
  <c r="M1221" i="2"/>
  <c r="M1215" i="2"/>
  <c r="M1189" i="2"/>
  <c r="M1165" i="2"/>
  <c r="P1095" i="2" a="1"/>
  <c r="P1095" i="2" s="1"/>
  <c r="P1064" i="2" a="1"/>
  <c r="P1064" i="2" s="1"/>
  <c r="M1056" i="2"/>
  <c r="P1004" i="2" a="1"/>
  <c r="P1004" i="2" s="1"/>
  <c r="M946" i="2"/>
  <c r="M880" i="2"/>
  <c r="M792" i="2"/>
  <c r="M776" i="2"/>
  <c r="M648" i="2"/>
  <c r="M619" i="2"/>
  <c r="P610" i="2" a="1"/>
  <c r="P610" i="2" s="1"/>
  <c r="M581" i="2"/>
  <c r="P533" i="2" a="1"/>
  <c r="P533" i="2" s="1"/>
  <c r="P492" i="2" a="1"/>
  <c r="P492" i="2" s="1"/>
  <c r="M380" i="2"/>
  <c r="M185" i="2"/>
  <c r="M106" i="2"/>
  <c r="M100" i="2"/>
  <c r="S4" i="2"/>
  <c r="P1449" i="2" a="1"/>
  <c r="P1449" i="2" s="1"/>
  <c r="P1131" i="2" a="1"/>
  <c r="P1131" i="2" s="1"/>
  <c r="P987" i="2" a="1"/>
  <c r="P987" i="2" s="1"/>
  <c r="P917" i="2" a="1"/>
  <c r="P917" i="2" s="1"/>
  <c r="P1244" i="2" a="1"/>
  <c r="P1244" i="2" s="1"/>
  <c r="P876" i="2" a="1"/>
  <c r="P876" i="2" s="1"/>
  <c r="P726" i="2" a="1"/>
  <c r="P726" i="2" s="1"/>
  <c r="P598" i="2" a="1"/>
  <c r="P598" i="2" s="1"/>
  <c r="P532" i="2" a="1"/>
  <c r="P532" i="2" s="1"/>
  <c r="M1825" i="2"/>
  <c r="M1801" i="2"/>
  <c r="M1713" i="2"/>
  <c r="M1701" i="2"/>
  <c r="M1691" i="2"/>
  <c r="M1613" i="2"/>
  <c r="M1559" i="2"/>
  <c r="M1535" i="2"/>
  <c r="M1515" i="2"/>
  <c r="M1469" i="2"/>
  <c r="P1461" i="2" a="1"/>
  <c r="P1461" i="2" s="1"/>
  <c r="M1393" i="2"/>
  <c r="M1369" i="2"/>
  <c r="M1349" i="2"/>
  <c r="M1327" i="2"/>
  <c r="M1315" i="2"/>
  <c r="M1261" i="2"/>
  <c r="M1217" i="2"/>
  <c r="M1171" i="2"/>
  <c r="M1151" i="2"/>
  <c r="M1110" i="2"/>
  <c r="M1084" i="2"/>
  <c r="M1058" i="2"/>
  <c r="P1055" i="2" a="1"/>
  <c r="P1055" i="2" s="1"/>
  <c r="M984" i="2"/>
  <c r="M976" i="2"/>
  <c r="M960" i="2"/>
  <c r="M944" i="2"/>
  <c r="P930" i="2" a="1"/>
  <c r="P930" i="2" s="1"/>
  <c r="M920" i="2"/>
  <c r="M890" i="2"/>
  <c r="M862" i="2"/>
  <c r="M788" i="2"/>
  <c r="M780" i="2"/>
  <c r="M708" i="2"/>
  <c r="P695" i="2" a="1"/>
  <c r="P695" i="2" s="1"/>
  <c r="M635" i="2"/>
  <c r="P632" i="2" a="1"/>
  <c r="P632" i="2" s="1"/>
  <c r="M618" i="2"/>
  <c r="M601" i="2"/>
  <c r="M598" i="2"/>
  <c r="M595" i="2"/>
  <c r="M558" i="2"/>
  <c r="M515" i="2"/>
  <c r="M496" i="2"/>
  <c r="M409" i="2"/>
  <c r="M267" i="2"/>
  <c r="M204" i="2"/>
  <c r="M201" i="2"/>
  <c r="M74" i="2"/>
  <c r="M1769" i="2"/>
  <c r="M1757" i="2"/>
  <c r="M1747" i="2"/>
  <c r="M1669" i="2"/>
  <c r="M1615" i="2"/>
  <c r="P1600" i="2" a="1"/>
  <c r="P1600" i="2" s="1"/>
  <c r="M1591" i="2"/>
  <c r="M1571" i="2"/>
  <c r="M1525" i="2"/>
  <c r="P1517" i="2" a="1"/>
  <c r="P1517" i="2" s="1"/>
  <c r="M1449" i="2"/>
  <c r="M1425" i="2"/>
  <c r="M1405" i="2"/>
  <c r="M1383" i="2"/>
  <c r="M1371" i="2"/>
  <c r="M1317" i="2"/>
  <c r="M1273" i="2"/>
  <c r="M1227" i="2"/>
  <c r="M1207" i="2"/>
  <c r="M1183" i="2"/>
  <c r="M1144" i="2"/>
  <c r="M1068" i="2"/>
  <c r="P1060" i="2" a="1"/>
  <c r="P1060" i="2" s="1"/>
  <c r="M1040" i="2"/>
  <c r="M1024" i="2"/>
  <c r="M970" i="2"/>
  <c r="M930" i="2"/>
  <c r="M876" i="2"/>
  <c r="M818" i="2"/>
  <c r="M796" i="2"/>
  <c r="M760" i="2"/>
  <c r="M742" i="2"/>
  <c r="M729" i="2"/>
  <c r="M726" i="2"/>
  <c r="M695" i="2"/>
  <c r="M629" i="2"/>
  <c r="M626" i="2"/>
  <c r="M623" i="2"/>
  <c r="M592" i="2"/>
  <c r="M572" i="2"/>
  <c r="M552" i="2"/>
  <c r="M529" i="2"/>
  <c r="M526" i="2"/>
  <c r="M459" i="2"/>
  <c r="M430" i="2"/>
  <c r="M424" i="2"/>
  <c r="M418" i="2"/>
  <c r="M403" i="2"/>
  <c r="M394" i="2"/>
  <c r="M382" i="2"/>
  <c r="M379" i="2"/>
  <c r="M353" i="2"/>
  <c r="P306" i="2" a="1"/>
  <c r="P306" i="2" s="1"/>
  <c r="M297" i="2"/>
  <c r="M228" i="2"/>
  <c r="M44" i="2"/>
  <c r="M96" i="2"/>
  <c r="M112" i="2"/>
  <c r="M134" i="2"/>
  <c r="M164" i="2"/>
  <c r="M169" i="2"/>
  <c r="M176" i="2"/>
  <c r="M222" i="2"/>
  <c r="M237" i="2"/>
  <c r="M242" i="2"/>
  <c r="M269" i="2"/>
  <c r="M327" i="2"/>
  <c r="M332" i="2"/>
  <c r="M352" i="2"/>
  <c r="M364" i="2"/>
  <c r="M376" i="2"/>
  <c r="M383" i="2"/>
  <c r="M410" i="2"/>
  <c r="M432" i="2"/>
  <c r="M447" i="2"/>
  <c r="M454" i="2"/>
  <c r="M470" i="2"/>
  <c r="M500" i="2"/>
  <c r="M523" i="2"/>
  <c r="M532" i="2"/>
  <c r="M585" i="2"/>
  <c r="M608" i="2"/>
  <c r="M622" i="2"/>
  <c r="M636" i="2"/>
  <c r="M650" i="2"/>
  <c r="M672" i="2"/>
  <c r="M733" i="2"/>
  <c r="M743" i="2"/>
  <c r="M750" i="2"/>
  <c r="M782" i="2"/>
  <c r="M810" i="2"/>
  <c r="M838" i="2"/>
  <c r="M866" i="2"/>
  <c r="M894" i="2"/>
  <c r="M922" i="2"/>
  <c r="M950" i="2"/>
  <c r="M978" i="2"/>
  <c r="M1006" i="2"/>
  <c r="M26" i="2"/>
  <c r="M40" i="2"/>
  <c r="M215" i="2"/>
  <c r="M226" i="2"/>
  <c r="M236" i="2"/>
  <c r="M252" i="2"/>
  <c r="M260" i="2"/>
  <c r="M265" i="2"/>
  <c r="M321" i="2"/>
  <c r="M334" i="2"/>
  <c r="M350" i="2"/>
  <c r="M402" i="2"/>
  <c r="M415" i="2"/>
  <c r="M426" i="2"/>
  <c r="M457" i="2"/>
  <c r="M462" i="2"/>
  <c r="M472" i="2"/>
  <c r="M519" i="2"/>
  <c r="M524" i="2"/>
  <c r="M549" i="2"/>
  <c r="M569" i="2"/>
  <c r="M574" i="2"/>
  <c r="M584" i="2"/>
  <c r="M594" i="2"/>
  <c r="M602" i="2"/>
  <c r="M630" i="2"/>
  <c r="M661" i="2"/>
  <c r="M669" i="2"/>
  <c r="M722" i="2"/>
  <c r="M752" i="2"/>
  <c r="M768" i="2"/>
  <c r="M794" i="2"/>
  <c r="M808" i="2"/>
  <c r="M834" i="2"/>
  <c r="M900" i="2"/>
  <c r="M936" i="2"/>
  <c r="M974" i="2"/>
  <c r="M1000" i="2"/>
  <c r="M1014" i="2"/>
  <c r="M1028" i="2"/>
  <c r="M1102" i="2"/>
  <c r="M1118" i="2"/>
  <c r="M1132" i="2"/>
  <c r="M1163" i="2"/>
  <c r="M1191" i="2"/>
  <c r="M1219" i="2"/>
  <c r="M1247" i="2"/>
  <c r="M1275" i="2"/>
  <c r="M1303" i="2"/>
  <c r="M1331" i="2"/>
  <c r="M1359" i="2"/>
  <c r="M1387" i="2"/>
  <c r="M1415" i="2"/>
  <c r="M1443" i="2"/>
  <c r="M1471" i="2"/>
  <c r="M1499" i="2"/>
  <c r="M1527" i="2"/>
  <c r="M1555" i="2"/>
  <c r="M1583" i="2"/>
  <c r="M1611" i="2"/>
  <c r="M1639" i="2"/>
  <c r="M1667" i="2"/>
  <c r="M1695" i="2"/>
  <c r="M1723" i="2"/>
  <c r="M1751" i="2"/>
  <c r="M1779" i="2"/>
  <c r="M1807" i="2"/>
  <c r="M110" i="2"/>
  <c r="M165" i="2"/>
  <c r="M173" i="2"/>
  <c r="M184" i="2"/>
  <c r="M191" i="2"/>
  <c r="M207" i="2"/>
  <c r="M239" i="2"/>
  <c r="M284" i="2"/>
  <c r="M329" i="2"/>
  <c r="M340" i="2"/>
  <c r="M363" i="2"/>
  <c r="M381" i="2"/>
  <c r="M397" i="2"/>
  <c r="M431" i="2"/>
  <c r="M487" i="2"/>
  <c r="M537" i="2"/>
  <c r="M542" i="2"/>
  <c r="M559" i="2"/>
  <c r="M612" i="2"/>
  <c r="M640" i="2"/>
  <c r="M693" i="2"/>
  <c r="M701" i="2"/>
  <c r="M712" i="2"/>
  <c r="M755" i="2"/>
  <c r="M820" i="2"/>
  <c r="M860" i="2"/>
  <c r="M874" i="2"/>
  <c r="M912" i="2"/>
  <c r="M948" i="2"/>
  <c r="M154" i="2"/>
  <c r="M193" i="2"/>
  <c r="M196" i="2"/>
  <c r="M199" i="2"/>
  <c r="M224" i="2"/>
  <c r="M235" i="2"/>
  <c r="M238" i="2"/>
  <c r="M257" i="2"/>
  <c r="M282" i="2"/>
  <c r="M293" i="2"/>
  <c r="M299" i="2"/>
  <c r="M318" i="2"/>
  <c r="M378" i="2"/>
  <c r="M422" i="2"/>
  <c r="M433" i="2"/>
  <c r="M436" i="2"/>
  <c r="M452" i="2"/>
  <c r="M465" i="2"/>
  <c r="M499" i="2"/>
  <c r="M504" i="2"/>
  <c r="M530" i="2"/>
  <c r="M543" i="2"/>
  <c r="M556" i="2"/>
  <c r="M593" i="2"/>
  <c r="M604" i="2"/>
  <c r="M609" i="2"/>
  <c r="M633" i="2"/>
  <c r="M641" i="2"/>
  <c r="M696" i="2"/>
  <c r="M721" i="2"/>
  <c r="M764" i="2"/>
  <c r="M904" i="2"/>
  <c r="M932" i="2"/>
  <c r="M962" i="2"/>
  <c r="M1052" i="2"/>
  <c r="M1090" i="2"/>
  <c r="M1124" i="2"/>
  <c r="M1157" i="2"/>
  <c r="M1177" i="2"/>
  <c r="M1213" i="2"/>
  <c r="M1233" i="2"/>
  <c r="M1269" i="2"/>
  <c r="M1289" i="2"/>
  <c r="M1325" i="2"/>
  <c r="M1345" i="2"/>
  <c r="M1381" i="2"/>
  <c r="M1401" i="2"/>
  <c r="M1437" i="2"/>
  <c r="M1457" i="2"/>
  <c r="M1493" i="2"/>
  <c r="M1513" i="2"/>
  <c r="M1549" i="2"/>
  <c r="M1569" i="2"/>
  <c r="M1605" i="2"/>
  <c r="M1625" i="2"/>
  <c r="M1661" i="2"/>
  <c r="M1681" i="2"/>
  <c r="M1717" i="2"/>
  <c r="M1737" i="2"/>
  <c r="M1773" i="2"/>
  <c r="M1793" i="2"/>
  <c r="M1837" i="2"/>
  <c r="M1287" i="2"/>
  <c r="M1455" i="2"/>
  <c r="M1475" i="2"/>
  <c r="M1511" i="2"/>
  <c r="M1531" i="2"/>
  <c r="M1623" i="2"/>
  <c r="M1643" i="2"/>
  <c r="M1679" i="2"/>
  <c r="M1699" i="2"/>
  <c r="M1735" i="2"/>
  <c r="M1755" i="2"/>
  <c r="M1811" i="2"/>
  <c r="M42" i="2"/>
  <c r="M48" i="2"/>
  <c r="M263" i="2"/>
  <c r="M362" i="2"/>
  <c r="M365" i="2"/>
  <c r="M425" i="2"/>
  <c r="M468" i="2"/>
  <c r="M471" i="2"/>
  <c r="M512" i="2"/>
  <c r="M517" i="2"/>
  <c r="M538" i="2"/>
  <c r="M562" i="2"/>
  <c r="M567" i="2"/>
  <c r="M570" i="2"/>
  <c r="M575" i="2"/>
  <c r="M599" i="2"/>
  <c r="M615" i="2"/>
  <c r="M620" i="2"/>
  <c r="M625" i="2"/>
  <c r="M628" i="2"/>
  <c r="M644" i="2"/>
  <c r="M654" i="2"/>
  <c r="M660" i="2"/>
  <c r="M677" i="2"/>
  <c r="M702" i="2"/>
  <c r="M724" i="2"/>
  <c r="M753" i="2"/>
  <c r="M774" i="2"/>
  <c r="M822" i="2"/>
  <c r="M854" i="2"/>
  <c r="M892" i="2"/>
  <c r="M942" i="2"/>
  <c r="M1048" i="2"/>
  <c r="M1074" i="2"/>
  <c r="M1100" i="2"/>
  <c r="M1134" i="2"/>
  <c r="M1146" i="2"/>
  <c r="M1155" i="2"/>
  <c r="M1173" i="2"/>
  <c r="M1193" i="2"/>
  <c r="M1211" i="2"/>
  <c r="M1229" i="2"/>
  <c r="M1249" i="2"/>
  <c r="M1267" i="2"/>
  <c r="M1285" i="2"/>
  <c r="M1305" i="2"/>
  <c r="M1323" i="2"/>
  <c r="M1341" i="2"/>
  <c r="M1361" i="2"/>
  <c r="M1379" i="2"/>
  <c r="M1397" i="2"/>
  <c r="M1417" i="2"/>
  <c r="M1435" i="2"/>
  <c r="M1453" i="2"/>
  <c r="M1473" i="2"/>
  <c r="M1491" i="2"/>
  <c r="M1509" i="2"/>
  <c r="M1529" i="2"/>
  <c r="M1547" i="2"/>
  <c r="M1565" i="2"/>
  <c r="M1585" i="2"/>
  <c r="M1603" i="2"/>
  <c r="M1621" i="2"/>
  <c r="M1641" i="2"/>
  <c r="M1659" i="2"/>
  <c r="M1677" i="2"/>
  <c r="M1697" i="2"/>
  <c r="M1715" i="2"/>
  <c r="M1733" i="2"/>
  <c r="M1753" i="2"/>
  <c r="M1771" i="2"/>
  <c r="M1789" i="2"/>
  <c r="M1809" i="2"/>
  <c r="M1833" i="2"/>
  <c r="M60" i="2"/>
  <c r="M102" i="2"/>
  <c r="M277" i="2"/>
  <c r="M291" i="2"/>
  <c r="M311" i="2"/>
  <c r="M316" i="2"/>
  <c r="M335" i="2"/>
  <c r="M351" i="2"/>
  <c r="M411" i="2"/>
  <c r="M450" i="2"/>
  <c r="M455" i="2"/>
  <c r="M476" i="2"/>
  <c r="M489" i="2"/>
  <c r="M607" i="2"/>
  <c r="M663" i="2"/>
  <c r="M688" i="2"/>
  <c r="M705" i="2"/>
  <c r="M713" i="2"/>
  <c r="M730" i="2"/>
  <c r="M852" i="2"/>
  <c r="M54" i="2"/>
  <c r="M68" i="2"/>
  <c r="M180" i="2"/>
  <c r="M213" i="2"/>
  <c r="M230" i="2"/>
  <c r="M326" i="2"/>
  <c r="M346" i="2"/>
  <c r="M370" i="2"/>
  <c r="M389" i="2"/>
  <c r="M392" i="2"/>
  <c r="M395" i="2"/>
  <c r="M406" i="2"/>
  <c r="M460" i="2"/>
  <c r="M478" i="2"/>
  <c r="M483" i="2"/>
  <c r="M546" i="2"/>
  <c r="M551" i="2"/>
  <c r="M583" i="2"/>
  <c r="M588" i="2"/>
  <c r="M651" i="2"/>
  <c r="M682" i="2"/>
  <c r="M710" i="2"/>
  <c r="M744" i="2"/>
  <c r="M804" i="2"/>
  <c r="M844" i="2"/>
  <c r="M856" i="2"/>
  <c r="M864" i="2"/>
  <c r="M884" i="2"/>
  <c r="M914" i="2"/>
  <c r="M972" i="2"/>
  <c r="M990" i="2"/>
  <c r="M1002" i="2"/>
  <c r="M1026" i="2"/>
  <c r="M1050" i="2"/>
  <c r="M1088" i="2"/>
  <c r="M1112" i="2"/>
  <c r="M1136" i="2"/>
  <c r="M1175" i="2"/>
  <c r="M1195" i="2"/>
  <c r="M1231" i="2"/>
  <c r="M1251" i="2"/>
  <c r="M1307" i="2"/>
  <c r="M1343" i="2"/>
  <c r="M1363" i="2"/>
  <c r="M1399" i="2"/>
  <c r="M1419" i="2"/>
  <c r="M1567" i="2"/>
  <c r="M1587" i="2"/>
  <c r="M1791" i="2"/>
  <c r="M1835" i="2"/>
  <c r="M1839" i="2"/>
  <c r="M1813" i="2"/>
  <c r="M1803" i="2"/>
  <c r="M1725" i="2"/>
  <c r="M1671" i="2"/>
  <c r="M1647" i="2"/>
  <c r="M1627" i="2"/>
  <c r="M1581" i="2"/>
  <c r="P1573" i="2" a="1"/>
  <c r="P1573" i="2" s="1"/>
  <c r="M1505" i="2"/>
  <c r="P1490" i="2" a="1"/>
  <c r="P1490" i="2" s="1"/>
  <c r="M1481" i="2"/>
  <c r="M1461" i="2"/>
  <c r="M1439" i="2"/>
  <c r="M1427" i="2"/>
  <c r="P1412" i="2" a="1"/>
  <c r="P1412" i="2" s="1"/>
  <c r="M1373" i="2"/>
  <c r="M1329" i="2"/>
  <c r="M1283" i="2"/>
  <c r="M1263" i="2"/>
  <c r="M1239" i="2"/>
  <c r="M1128" i="2"/>
  <c r="M1016" i="2"/>
  <c r="M992" i="2"/>
  <c r="M938" i="2"/>
  <c r="M906" i="2"/>
  <c r="M848" i="2"/>
  <c r="M824" i="2"/>
  <c r="M766" i="2"/>
  <c r="M698" i="2"/>
  <c r="M680" i="2"/>
  <c r="M668" i="2"/>
  <c r="M655" i="2"/>
  <c r="M649" i="2"/>
  <c r="M632" i="2"/>
  <c r="M586" i="2"/>
  <c r="M490" i="2"/>
  <c r="M473" i="2"/>
  <c r="M453" i="2"/>
  <c r="M312" i="2"/>
  <c r="M306" i="2"/>
  <c r="M278" i="2"/>
  <c r="M275" i="2"/>
  <c r="M240" i="2"/>
  <c r="M186" i="2"/>
  <c r="M174" i="2"/>
  <c r="M130" i="2"/>
  <c r="M80" i="2"/>
  <c r="M1781" i="2"/>
  <c r="M1727" i="2"/>
  <c r="M1703" i="2"/>
  <c r="M1683" i="2"/>
  <c r="M1637" i="2"/>
  <c r="P1629" i="2" a="1"/>
  <c r="P1629" i="2" s="1"/>
  <c r="M1561" i="2"/>
  <c r="P1546" i="2" a="1"/>
  <c r="P1546" i="2" s="1"/>
  <c r="M1537" i="2"/>
  <c r="M1517" i="2"/>
  <c r="M1495" i="2"/>
  <c r="M1483" i="2"/>
  <c r="P1441" i="2" a="1"/>
  <c r="P1441" i="2" s="1"/>
  <c r="M1429" i="2"/>
  <c r="M1385" i="2"/>
  <c r="M1339" i="2"/>
  <c r="M1319" i="2"/>
  <c r="P1302" i="2" a="1"/>
  <c r="P1302" i="2" s="1"/>
  <c r="M1295" i="2"/>
  <c r="M1185" i="2"/>
  <c r="P1170" i="2" a="1"/>
  <c r="P1170" i="2" s="1"/>
  <c r="M1138" i="2"/>
  <c r="M1076" i="2"/>
  <c r="P1070" i="2" a="1"/>
  <c r="P1070" i="2" s="1"/>
  <c r="M1060" i="2"/>
  <c r="P1057" i="2" a="1"/>
  <c r="P1057" i="2" s="1"/>
  <c r="P1042" i="2" a="1"/>
  <c r="P1042" i="2" s="1"/>
  <c r="M1032" i="2"/>
  <c r="P943" i="2" a="1"/>
  <c r="P943" i="2" s="1"/>
  <c r="M886" i="2"/>
  <c r="M790" i="2"/>
  <c r="M658" i="2"/>
  <c r="M646" i="2"/>
  <c r="M637" i="2"/>
  <c r="M540" i="2"/>
  <c r="M484" i="2"/>
  <c r="M467" i="2"/>
  <c r="P408" i="2" a="1"/>
  <c r="P408" i="2" s="1"/>
  <c r="M387" i="2"/>
  <c r="M344" i="2"/>
  <c r="M341" i="2"/>
  <c r="M323" i="2"/>
  <c r="M309" i="2"/>
  <c r="M290" i="2"/>
  <c r="M212" i="2"/>
  <c r="M209" i="2"/>
  <c r="M152" i="2"/>
  <c r="M70" i="2"/>
  <c r="M1841" i="2"/>
  <c r="M1827" i="2"/>
  <c r="M1783" i="2"/>
  <c r="M1759" i="2"/>
  <c r="M1739" i="2"/>
  <c r="P1729" i="2" a="1"/>
  <c r="P1729" i="2" s="1"/>
  <c r="M1693" i="2"/>
  <c r="M1617" i="2"/>
  <c r="P1602" i="2" a="1"/>
  <c r="P1602" i="2" s="1"/>
  <c r="M1593" i="2"/>
  <c r="M1573" i="2"/>
  <c r="M1551" i="2"/>
  <c r="M1539" i="2"/>
  <c r="P1524" i="2" a="1"/>
  <c r="P1524" i="2" s="1"/>
  <c r="M1485" i="2"/>
  <c r="M1441" i="2"/>
  <c r="M1395" i="2"/>
  <c r="M1375" i="2"/>
  <c r="M1351" i="2"/>
  <c r="M1241" i="2"/>
  <c r="M1153" i="2"/>
  <c r="P1143" i="2" a="1"/>
  <c r="P1143" i="2" s="1"/>
  <c r="M1096" i="2"/>
  <c r="M1086" i="2"/>
  <c r="M1070" i="2"/>
  <c r="M1042" i="2"/>
  <c r="P1023" i="2" a="1"/>
  <c r="P1023" i="2" s="1"/>
  <c r="M994" i="2"/>
  <c r="M986" i="2"/>
  <c r="P983" i="2" a="1"/>
  <c r="P983" i="2" s="1"/>
  <c r="M940" i="2"/>
  <c r="M878" i="2"/>
  <c r="M858" i="2"/>
  <c r="M732" i="2"/>
  <c r="M719" i="2"/>
  <c r="M685" i="2"/>
  <c r="M671" i="2"/>
  <c r="M643" i="2"/>
  <c r="M606" i="2"/>
  <c r="M577" i="2"/>
  <c r="M560" i="2"/>
  <c r="P554" i="2" a="1"/>
  <c r="P554" i="2" s="1"/>
  <c r="P528" i="2" a="1"/>
  <c r="P528" i="2" s="1"/>
  <c r="M498" i="2"/>
  <c r="M481" i="2"/>
  <c r="M408" i="2"/>
  <c r="M361" i="2"/>
  <c r="M355" i="2"/>
  <c r="P302" i="2" a="1"/>
  <c r="P302" i="2" s="1"/>
  <c r="M251" i="2"/>
  <c r="M248" i="2"/>
  <c r="M221" i="2"/>
  <c r="M206" i="2"/>
  <c r="M194" i="2"/>
  <c r="M114" i="2"/>
  <c r="M1815" i="2"/>
  <c r="M1795" i="2"/>
  <c r="M1749" i="2"/>
  <c r="M1673" i="2"/>
  <c r="M1649" i="2"/>
  <c r="M1629" i="2"/>
  <c r="M1607" i="2"/>
  <c r="M1595" i="2"/>
  <c r="M1541" i="2"/>
  <c r="M1497" i="2"/>
  <c r="M1451" i="2"/>
  <c r="M1431" i="2"/>
  <c r="M1407" i="2"/>
  <c r="M1297" i="2"/>
  <c r="M1209" i="2"/>
  <c r="M1197" i="2"/>
  <c r="M1187" i="2"/>
  <c r="M1104" i="2"/>
  <c r="P1044" i="2" a="1"/>
  <c r="P1044" i="2" s="1"/>
  <c r="M916" i="2"/>
  <c r="M908" i="2"/>
  <c r="P902" i="2" a="1"/>
  <c r="P902" i="2" s="1"/>
  <c r="P836" i="2" a="1"/>
  <c r="P836" i="2" s="1"/>
  <c r="M798" i="2"/>
  <c r="P776" i="2" a="1"/>
  <c r="P776" i="2" s="1"/>
  <c r="M741" i="2"/>
  <c r="M725" i="2"/>
  <c r="P667" i="2" a="1"/>
  <c r="P667" i="2" s="1"/>
  <c r="M597" i="2"/>
  <c r="M568" i="2"/>
  <c r="M554" i="2"/>
  <c r="M514" i="2"/>
  <c r="M506" i="2"/>
  <c r="M441" i="2"/>
  <c r="M367" i="2"/>
  <c r="M349" i="2"/>
  <c r="M331" i="2"/>
  <c r="M296" i="2"/>
  <c r="M245" i="2"/>
  <c r="M136" i="2"/>
  <c r="M86" i="2"/>
  <c r="M28" i="2"/>
  <c r="P1138" i="2" a="1"/>
  <c r="P1138" i="2" s="1"/>
  <c r="P196" i="2" a="1"/>
  <c r="P196" i="2" s="1"/>
  <c r="P71" i="2" a="1"/>
  <c r="P71" i="2" s="1"/>
  <c r="P654" i="2" a="1"/>
  <c r="P654" i="2" s="1"/>
  <c r="P96" i="2" a="1"/>
  <c r="P96" i="2" s="1"/>
  <c r="P78" i="2" a="1"/>
  <c r="P78" i="2" s="1"/>
  <c r="P20" i="2" a="1"/>
  <c r="P20" i="2" s="1"/>
  <c r="P1014" i="2" a="1"/>
  <c r="P1014" i="2" s="1"/>
  <c r="P861" i="2" a="1"/>
  <c r="P861" i="2" s="1"/>
  <c r="P1813" i="2" a="1"/>
  <c r="P1813" i="2" s="1"/>
  <c r="P1757" i="2" a="1"/>
  <c r="P1757" i="2" s="1"/>
  <c r="P1701" i="2" a="1"/>
  <c r="P1701" i="2" s="1"/>
  <c r="P1533" i="2" a="1"/>
  <c r="P1533" i="2" s="1"/>
  <c r="P1477" i="2" a="1"/>
  <c r="P1477" i="2" s="1"/>
  <c r="P1309" i="2" a="1"/>
  <c r="P1309" i="2" s="1"/>
  <c r="P488" i="2" a="1"/>
  <c r="P488" i="2" s="1"/>
  <c r="P296" i="2" a="1"/>
  <c r="P296" i="2" s="1"/>
  <c r="P848" i="2" a="1"/>
  <c r="P848" i="2" s="1"/>
  <c r="P777" i="2" a="1"/>
  <c r="P777" i="2" s="1"/>
  <c r="P145" i="2" a="1"/>
  <c r="P145" i="2" s="1"/>
  <c r="P730" i="2" a="1"/>
  <c r="P730" i="2" s="1"/>
  <c r="P674" i="2" a="1"/>
  <c r="P674" i="2" s="1"/>
  <c r="P342" i="2" a="1"/>
  <c r="P342" i="2" s="1"/>
  <c r="P131" i="2" a="1"/>
  <c r="P131" i="2" s="1"/>
  <c r="P117" i="2" a="1"/>
  <c r="P117" i="2" s="1"/>
  <c r="P55" i="2" a="1"/>
  <c r="P55" i="2" s="1"/>
  <c r="P52" i="2" a="1"/>
  <c r="P52" i="2" s="1"/>
  <c r="M12" i="2"/>
  <c r="M72" i="2"/>
  <c r="M84" i="2"/>
  <c r="M128" i="2"/>
  <c r="M177" i="2"/>
  <c r="M190" i="2"/>
  <c r="M205" i="2"/>
  <c r="M218" i="2"/>
  <c r="M233" i="2"/>
  <c r="M246" i="2"/>
  <c r="M261" i="2"/>
  <c r="M274" i="2"/>
  <c r="M289" i="2"/>
  <c r="M302" i="2"/>
  <c r="M317" i="2"/>
  <c r="M330" i="2"/>
  <c r="M345" i="2"/>
  <c r="M358" i="2"/>
  <c r="M373" i="2"/>
  <c r="M386" i="2"/>
  <c r="M401" i="2"/>
  <c r="M414" i="2"/>
  <c r="M429" i="2"/>
  <c r="M442" i="2"/>
  <c r="M10" i="2"/>
  <c r="M20" i="2"/>
  <c r="M52" i="2"/>
  <c r="M162" i="2"/>
  <c r="M175" i="2"/>
  <c r="M188" i="2"/>
  <c r="M203" i="2"/>
  <c r="M216" i="2"/>
  <c r="M231" i="2"/>
  <c r="M244" i="2"/>
  <c r="M259" i="2"/>
  <c r="M272" i="2"/>
  <c r="M287" i="2"/>
  <c r="M300" i="2"/>
  <c r="M315" i="2"/>
  <c r="M328" i="2"/>
  <c r="M343" i="2"/>
  <c r="M356" i="2"/>
  <c r="M371" i="2"/>
  <c r="M384" i="2"/>
  <c r="M399" i="2"/>
  <c r="M412" i="2"/>
  <c r="M427" i="2"/>
  <c r="M440" i="2"/>
  <c r="M657" i="2"/>
  <c r="M666" i="2"/>
  <c r="M675" i="2"/>
  <c r="M684" i="2"/>
  <c r="M22" i="2"/>
  <c r="M38" i="2"/>
  <c r="M88" i="2"/>
  <c r="M98" i="2"/>
  <c r="M116" i="2"/>
  <c r="M132" i="2"/>
  <c r="M150" i="2"/>
  <c r="M160" i="2"/>
  <c r="M172" i="2"/>
  <c r="M220" i="2"/>
  <c r="M225" i="2"/>
  <c r="M243" i="2"/>
  <c r="M250" i="2"/>
  <c r="M255" i="2"/>
  <c r="M264" i="2"/>
  <c r="M273" i="2"/>
  <c r="M294" i="2"/>
  <c r="M303" i="2"/>
  <c r="M324" i="2"/>
  <c r="M333" i="2"/>
  <c r="M338" i="2"/>
  <c r="M347" i="2"/>
  <c r="M368" i="2"/>
  <c r="M416" i="2"/>
  <c r="M421" i="2"/>
  <c r="M439" i="2"/>
  <c r="M446" i="2"/>
  <c r="M451" i="2"/>
  <c r="M466" i="2"/>
  <c r="M479" i="2"/>
  <c r="M494" i="2"/>
  <c r="M507" i="2"/>
  <c r="M522" i="2"/>
  <c r="M535" i="2"/>
  <c r="M550" i="2"/>
  <c r="M563" i="2"/>
  <c r="M578" i="2"/>
  <c r="M591" i="2"/>
  <c r="M665" i="2"/>
  <c r="M700" i="2"/>
  <c r="M711" i="2"/>
  <c r="M738" i="2"/>
  <c r="M756" i="2"/>
  <c r="M14" i="2"/>
  <c r="M140" i="2"/>
  <c r="M158" i="2"/>
  <c r="M181" i="2"/>
  <c r="M195" i="2"/>
  <c r="M202" i="2"/>
  <c r="M211" i="2"/>
  <c r="M232" i="2"/>
  <c r="M241" i="2"/>
  <c r="M262" i="2"/>
  <c r="M285" i="2"/>
  <c r="M308" i="2"/>
  <c r="M354" i="2"/>
  <c r="M377" i="2"/>
  <c r="M391" i="2"/>
  <c r="M398" i="2"/>
  <c r="M407" i="2"/>
  <c r="M428" i="2"/>
  <c r="M437" i="2"/>
  <c r="M464" i="2"/>
  <c r="M477" i="2"/>
  <c r="M492" i="2"/>
  <c r="M505" i="2"/>
  <c r="M520" i="2"/>
  <c r="M533" i="2"/>
  <c r="M548" i="2"/>
  <c r="M561" i="2"/>
  <c r="M576" i="2"/>
  <c r="M589" i="2"/>
  <c r="M691" i="2"/>
  <c r="M709" i="2"/>
  <c r="M718" i="2"/>
  <c r="M727" i="2"/>
  <c r="M736" i="2"/>
  <c r="M747" i="2"/>
  <c r="M765" i="2"/>
  <c r="M767" i="2"/>
  <c r="M769" i="2"/>
  <c r="M771" i="2"/>
  <c r="M773" i="2"/>
  <c r="M775" i="2"/>
  <c r="M777" i="2"/>
  <c r="M779" i="2"/>
  <c r="M781" i="2"/>
  <c r="M783" i="2"/>
  <c r="M785" i="2"/>
  <c r="M787" i="2"/>
  <c r="M789" i="2"/>
  <c r="M791" i="2"/>
  <c r="M793" i="2"/>
  <c r="M795" i="2"/>
  <c r="M797" i="2"/>
  <c r="M799" i="2"/>
  <c r="M801" i="2"/>
  <c r="M803" i="2"/>
  <c r="M805" i="2"/>
  <c r="M807" i="2"/>
  <c r="M809" i="2"/>
  <c r="M811" i="2"/>
  <c r="M813" i="2"/>
  <c r="M815" i="2"/>
  <c r="M817" i="2"/>
  <c r="M819" i="2"/>
  <c r="M821" i="2"/>
  <c r="M823" i="2"/>
  <c r="M825" i="2"/>
  <c r="M827" i="2"/>
  <c r="M829" i="2"/>
  <c r="M831" i="2"/>
  <c r="M833" i="2"/>
  <c r="M835" i="2"/>
  <c r="M837" i="2"/>
  <c r="M839" i="2"/>
  <c r="M841" i="2"/>
  <c r="M843" i="2"/>
  <c r="M845" i="2"/>
  <c r="M847" i="2"/>
  <c r="M849" i="2"/>
  <c r="M851" i="2"/>
  <c r="M853" i="2"/>
  <c r="M855" i="2"/>
  <c r="M857" i="2"/>
  <c r="M859" i="2"/>
  <c r="M861" i="2"/>
  <c r="M863" i="2"/>
  <c r="M865" i="2"/>
  <c r="M867" i="2"/>
  <c r="M869" i="2"/>
  <c r="M871" i="2"/>
  <c r="M873" i="2"/>
  <c r="M875" i="2"/>
  <c r="M877" i="2"/>
  <c r="M879" i="2"/>
  <c r="M881" i="2"/>
  <c r="M883" i="2"/>
  <c r="M885" i="2"/>
  <c r="M887" i="2"/>
  <c r="M889" i="2"/>
  <c r="M891" i="2"/>
  <c r="M893" i="2"/>
  <c r="M895" i="2"/>
  <c r="M897" i="2"/>
  <c r="M899" i="2"/>
  <c r="M901" i="2"/>
  <c r="M903" i="2"/>
  <c r="M905" i="2"/>
  <c r="M907" i="2"/>
  <c r="M909" i="2"/>
  <c r="M911" i="2"/>
  <c r="M913" i="2"/>
  <c r="M915" i="2"/>
  <c r="M917" i="2"/>
  <c r="M919" i="2"/>
  <c r="M921" i="2"/>
  <c r="M923" i="2"/>
  <c r="M925" i="2"/>
  <c r="M927" i="2"/>
  <c r="M929" i="2"/>
  <c r="M931" i="2"/>
  <c r="M933" i="2"/>
  <c r="M935" i="2"/>
  <c r="M937" i="2"/>
  <c r="M939" i="2"/>
  <c r="M941" i="2"/>
  <c r="M943" i="2"/>
  <c r="M945" i="2"/>
  <c r="M947" i="2"/>
  <c r="M949" i="2"/>
  <c r="M951" i="2"/>
  <c r="M953" i="2"/>
  <c r="M955" i="2"/>
  <c r="M957" i="2"/>
  <c r="M959" i="2"/>
  <c r="M961" i="2"/>
  <c r="M963" i="2"/>
  <c r="M965" i="2"/>
  <c r="M967" i="2"/>
  <c r="M969" i="2"/>
  <c r="M971" i="2"/>
  <c r="M973" i="2"/>
  <c r="M975" i="2"/>
  <c r="M977" i="2"/>
  <c r="M979" i="2"/>
  <c r="M981" i="2"/>
  <c r="M983" i="2"/>
  <c r="M985" i="2"/>
  <c r="M987" i="2"/>
  <c r="M989" i="2"/>
  <c r="M991" i="2"/>
  <c r="M993" i="2"/>
  <c r="M995" i="2"/>
  <c r="M997" i="2"/>
  <c r="M999" i="2"/>
  <c r="M1001" i="2"/>
  <c r="M1003" i="2"/>
  <c r="M1005" i="2"/>
  <c r="M1007" i="2"/>
  <c r="M1009" i="2"/>
  <c r="M1011" i="2"/>
  <c r="M1013" i="2"/>
  <c r="M1015" i="2"/>
  <c r="M1017" i="2"/>
  <c r="M1019" i="2"/>
  <c r="M1021" i="2"/>
  <c r="M1023" i="2"/>
  <c r="M1025" i="2"/>
  <c r="M1027" i="2"/>
  <c r="M1029" i="2"/>
  <c r="M1031" i="2"/>
  <c r="M1033" i="2"/>
  <c r="M1035" i="2"/>
  <c r="M1037" i="2"/>
  <c r="M1039" i="2"/>
  <c r="M1041" i="2"/>
  <c r="M1043" i="2"/>
  <c r="M1045" i="2"/>
  <c r="M1047" i="2"/>
  <c r="M1049" i="2"/>
  <c r="M1051" i="2"/>
  <c r="M1053" i="2"/>
  <c r="M1055" i="2"/>
  <c r="M1057" i="2"/>
  <c r="M1059" i="2"/>
  <c r="M1061" i="2"/>
  <c r="M1063" i="2"/>
  <c r="M1065" i="2"/>
  <c r="M1067" i="2"/>
  <c r="M1069" i="2"/>
  <c r="M1071" i="2"/>
  <c r="M1073" i="2"/>
  <c r="M1075" i="2"/>
  <c r="M1077" i="2"/>
  <c r="M1079" i="2"/>
  <c r="M1081" i="2"/>
  <c r="M1083" i="2"/>
  <c r="M1085" i="2"/>
  <c r="M1087" i="2"/>
  <c r="M1089" i="2"/>
  <c r="M1091" i="2"/>
  <c r="M1093" i="2"/>
  <c r="M1095" i="2"/>
  <c r="M1097" i="2"/>
  <c r="M1099" i="2"/>
  <c r="M1101" i="2"/>
  <c r="M1103" i="2"/>
  <c r="M1105" i="2"/>
  <c r="M1107" i="2"/>
  <c r="M1109" i="2"/>
  <c r="M1111" i="2"/>
  <c r="M1113" i="2"/>
  <c r="M1115" i="2"/>
  <c r="M1117" i="2"/>
  <c r="M1119" i="2"/>
  <c r="M1121" i="2"/>
  <c r="M1123" i="2"/>
  <c r="M1125" i="2"/>
  <c r="M1127" i="2"/>
  <c r="M1129" i="2"/>
  <c r="M1131" i="2"/>
  <c r="M1133" i="2"/>
  <c r="M1135" i="2"/>
  <c r="M1137" i="2"/>
  <c r="M1139" i="2"/>
  <c r="M1141" i="2"/>
  <c r="M1143" i="2"/>
  <c r="M1145" i="2"/>
  <c r="M1147" i="2"/>
  <c r="M1844" i="2"/>
  <c r="M1842" i="2"/>
  <c r="M1840" i="2"/>
  <c r="M1838" i="2"/>
  <c r="M1836" i="2"/>
  <c r="M1834" i="2"/>
  <c r="M1832" i="2"/>
  <c r="M1830" i="2"/>
  <c r="M1828" i="2"/>
  <c r="M1826" i="2"/>
  <c r="M1824" i="2"/>
  <c r="M1822" i="2"/>
  <c r="M1820" i="2"/>
  <c r="M1818" i="2"/>
  <c r="M1816" i="2"/>
  <c r="M1814" i="2"/>
  <c r="M1812" i="2"/>
  <c r="M1810" i="2"/>
  <c r="M1808" i="2"/>
  <c r="M1806" i="2"/>
  <c r="M1804" i="2"/>
  <c r="M1802" i="2"/>
  <c r="M1800" i="2"/>
  <c r="M1798" i="2"/>
  <c r="M1796" i="2"/>
  <c r="M1794" i="2"/>
  <c r="M1792" i="2"/>
  <c r="M1790" i="2"/>
  <c r="M1788" i="2"/>
  <c r="M1786" i="2"/>
  <c r="M1784" i="2"/>
  <c r="M1782" i="2"/>
  <c r="M1780" i="2"/>
  <c r="M1778" i="2"/>
  <c r="M1776" i="2"/>
  <c r="M1774" i="2"/>
  <c r="M1772" i="2"/>
  <c r="M1770" i="2"/>
  <c r="M1768" i="2"/>
  <c r="M1766" i="2"/>
  <c r="M1764" i="2"/>
  <c r="M1762" i="2"/>
  <c r="M1760" i="2"/>
  <c r="M1758" i="2"/>
  <c r="M1756" i="2"/>
  <c r="M1754" i="2"/>
  <c r="M1752" i="2"/>
  <c r="M1750" i="2"/>
  <c r="M1748" i="2"/>
  <c r="M1746" i="2"/>
  <c r="M1744" i="2"/>
  <c r="M1742" i="2"/>
  <c r="M1740" i="2"/>
  <c r="M1738" i="2"/>
  <c r="M1736" i="2"/>
  <c r="M1734" i="2"/>
  <c r="M1732" i="2"/>
  <c r="M1730" i="2"/>
  <c r="M1728" i="2"/>
  <c r="M1726" i="2"/>
  <c r="M1724" i="2"/>
  <c r="M1722" i="2"/>
  <c r="M1720" i="2"/>
  <c r="M1718" i="2"/>
  <c r="M1716" i="2"/>
  <c r="M1714" i="2"/>
  <c r="M1712" i="2"/>
  <c r="M1710" i="2"/>
  <c r="M1708" i="2"/>
  <c r="M1706" i="2"/>
  <c r="M1704" i="2"/>
  <c r="M1702" i="2"/>
  <c r="M1700" i="2"/>
  <c r="M1698" i="2"/>
  <c r="M1696" i="2"/>
  <c r="M1694" i="2"/>
  <c r="M1692" i="2"/>
  <c r="M1690" i="2"/>
  <c r="M1688" i="2"/>
  <c r="M1686" i="2"/>
  <c r="M1684" i="2"/>
  <c r="M1682" i="2"/>
  <c r="M1680" i="2"/>
  <c r="M1678" i="2"/>
  <c r="M1676" i="2"/>
  <c r="M1674" i="2"/>
  <c r="M1672" i="2"/>
  <c r="M1670" i="2"/>
  <c r="M1668" i="2"/>
  <c r="M1666" i="2"/>
  <c r="M1664" i="2"/>
  <c r="M1662" i="2"/>
  <c r="M1660" i="2"/>
  <c r="M1658" i="2"/>
  <c r="M1656" i="2"/>
  <c r="M1654" i="2"/>
  <c r="M1652" i="2"/>
  <c r="M1650" i="2"/>
  <c r="M1648" i="2"/>
  <c r="M1646" i="2"/>
  <c r="M1644" i="2"/>
  <c r="M1642" i="2"/>
  <c r="M1640" i="2"/>
  <c r="M1638" i="2"/>
  <c r="M1636" i="2"/>
  <c r="M1634" i="2"/>
  <c r="M1632" i="2"/>
  <c r="M1630" i="2"/>
  <c r="M1628" i="2"/>
  <c r="M1626" i="2"/>
  <c r="M1624" i="2"/>
  <c r="M1622" i="2"/>
  <c r="M1620" i="2"/>
  <c r="M1618" i="2"/>
  <c r="M1616" i="2"/>
  <c r="M1614" i="2"/>
  <c r="M1612" i="2"/>
  <c r="M1610" i="2"/>
  <c r="M1608" i="2"/>
  <c r="M1606" i="2"/>
  <c r="M1604" i="2"/>
  <c r="M1602" i="2"/>
  <c r="M1600" i="2"/>
  <c r="M1598" i="2"/>
  <c r="M1596" i="2"/>
  <c r="M1594" i="2"/>
  <c r="M1592" i="2"/>
  <c r="M1590" i="2"/>
  <c r="M1588" i="2"/>
  <c r="M1586" i="2"/>
  <c r="M1584" i="2"/>
  <c r="M1582" i="2"/>
  <c r="M1580" i="2"/>
  <c r="M1578" i="2"/>
  <c r="M1576" i="2"/>
  <c r="M1574" i="2"/>
  <c r="M1572" i="2"/>
  <c r="M1570" i="2"/>
  <c r="M1568" i="2"/>
  <c r="M1566" i="2"/>
  <c r="M1564" i="2"/>
  <c r="M1562" i="2"/>
  <c r="M1560" i="2"/>
  <c r="M1558" i="2"/>
  <c r="M1556" i="2"/>
  <c r="M1554" i="2"/>
  <c r="M1552" i="2"/>
  <c r="M1550" i="2"/>
  <c r="M1548" i="2"/>
  <c r="M1546" i="2"/>
  <c r="M1544" i="2"/>
  <c r="M1542" i="2"/>
  <c r="M1540" i="2"/>
  <c r="M1538" i="2"/>
  <c r="M1536" i="2"/>
  <c r="M1534" i="2"/>
  <c r="M1532" i="2"/>
  <c r="M1530" i="2"/>
  <c r="M1528" i="2"/>
  <c r="M1526" i="2"/>
  <c r="M1524" i="2"/>
  <c r="M1522" i="2"/>
  <c r="M1520" i="2"/>
  <c r="M1518" i="2"/>
  <c r="M1516" i="2"/>
  <c r="M1514" i="2"/>
  <c r="M1512" i="2"/>
  <c r="M1510" i="2"/>
  <c r="M1508" i="2"/>
  <c r="M1506" i="2"/>
  <c r="M1504" i="2"/>
  <c r="M1502" i="2"/>
  <c r="M1500" i="2"/>
  <c r="M1498" i="2"/>
  <c r="M1496" i="2"/>
  <c r="M1494" i="2"/>
  <c r="M1492" i="2"/>
  <c r="M1490" i="2"/>
  <c r="M1488" i="2"/>
  <c r="M1486" i="2"/>
  <c r="M1484" i="2"/>
  <c r="M1482" i="2"/>
  <c r="M1480" i="2"/>
  <c r="M1478" i="2"/>
  <c r="M1476" i="2"/>
  <c r="M1474" i="2"/>
  <c r="M1472" i="2"/>
  <c r="M1470" i="2"/>
  <c r="M1468" i="2"/>
  <c r="M1466" i="2"/>
  <c r="M1464" i="2"/>
  <c r="M1462" i="2"/>
  <c r="M1460" i="2"/>
  <c r="M1458" i="2"/>
  <c r="M1456" i="2"/>
  <c r="M1454" i="2"/>
  <c r="M1452" i="2"/>
  <c r="M1450" i="2"/>
  <c r="M1448" i="2"/>
  <c r="M1446" i="2"/>
  <c r="M1444" i="2"/>
  <c r="M1442" i="2"/>
  <c r="M1440" i="2"/>
  <c r="M1438" i="2"/>
  <c r="M1436" i="2"/>
  <c r="M1434" i="2"/>
  <c r="M1432" i="2"/>
  <c r="M1430" i="2"/>
  <c r="M1428" i="2"/>
  <c r="M1426" i="2"/>
  <c r="M1424" i="2"/>
  <c r="M1422" i="2"/>
  <c r="M1420" i="2"/>
  <c r="M1418" i="2"/>
  <c r="M1416" i="2"/>
  <c r="M1414" i="2"/>
  <c r="M1412" i="2"/>
  <c r="M1410" i="2"/>
  <c r="M1408" i="2"/>
  <c r="M1406" i="2"/>
  <c r="M1404" i="2"/>
  <c r="M1402" i="2"/>
  <c r="M1400" i="2"/>
  <c r="M1398" i="2"/>
  <c r="M1396" i="2"/>
  <c r="M1394" i="2"/>
  <c r="M1392" i="2"/>
  <c r="M1390" i="2"/>
  <c r="M1388" i="2"/>
  <c r="M1386" i="2"/>
  <c r="M1384" i="2"/>
  <c r="M1382" i="2"/>
  <c r="M1380" i="2"/>
  <c r="M1378" i="2"/>
  <c r="M1376" i="2"/>
  <c r="M1374" i="2"/>
  <c r="M1372" i="2"/>
  <c r="M1370" i="2"/>
  <c r="M1368" i="2"/>
  <c r="M1366" i="2"/>
  <c r="M1364" i="2"/>
  <c r="M1362" i="2"/>
  <c r="M1360" i="2"/>
  <c r="M1358" i="2"/>
  <c r="M1356" i="2"/>
  <c r="M1354" i="2"/>
  <c r="M1352" i="2"/>
  <c r="M1350" i="2"/>
  <c r="M1348" i="2"/>
  <c r="M1346" i="2"/>
  <c r="M1344" i="2"/>
  <c r="M1342" i="2"/>
  <c r="M1340" i="2"/>
  <c r="M1338" i="2"/>
  <c r="M1336" i="2"/>
  <c r="M1334" i="2"/>
  <c r="M1332" i="2"/>
  <c r="M1330" i="2"/>
  <c r="M1328" i="2"/>
  <c r="M1326" i="2"/>
  <c r="M1324" i="2"/>
  <c r="M1322" i="2"/>
  <c r="M1320" i="2"/>
  <c r="M1318" i="2"/>
  <c r="M1316" i="2"/>
  <c r="M1314" i="2"/>
  <c r="M1312" i="2"/>
  <c r="M1310" i="2"/>
  <c r="M1308" i="2"/>
  <c r="M1306" i="2"/>
  <c r="M1304" i="2"/>
  <c r="M1302" i="2"/>
  <c r="M1300" i="2"/>
  <c r="M1298" i="2"/>
  <c r="M1296" i="2"/>
  <c r="M1294" i="2"/>
  <c r="M1292" i="2"/>
  <c r="M1290" i="2"/>
  <c r="M1288" i="2"/>
  <c r="M1286" i="2"/>
  <c r="M1284" i="2"/>
  <c r="M1282" i="2"/>
  <c r="M1280" i="2"/>
  <c r="M1278" i="2"/>
  <c r="M1276" i="2"/>
  <c r="M1274" i="2"/>
  <c r="M1272" i="2"/>
  <c r="M1270" i="2"/>
  <c r="M1268" i="2"/>
  <c r="M1266" i="2"/>
  <c r="M1264" i="2"/>
  <c r="M1262" i="2"/>
  <c r="M1260" i="2"/>
  <c r="M1258" i="2"/>
  <c r="M1256" i="2"/>
  <c r="M1254" i="2"/>
  <c r="M1252" i="2"/>
  <c r="M1250" i="2"/>
  <c r="M1248" i="2"/>
  <c r="M1246" i="2"/>
  <c r="M1244" i="2"/>
  <c r="M1242" i="2"/>
  <c r="M1240" i="2"/>
  <c r="M1238" i="2"/>
  <c r="M1236" i="2"/>
  <c r="M1234" i="2"/>
  <c r="M1232" i="2"/>
  <c r="M1230" i="2"/>
  <c r="M1228" i="2"/>
  <c r="M1226" i="2"/>
  <c r="M1224" i="2"/>
  <c r="M1222" i="2"/>
  <c r="M1220" i="2"/>
  <c r="M1218" i="2"/>
  <c r="M1216" i="2"/>
  <c r="M1214" i="2"/>
  <c r="M1212" i="2"/>
  <c r="M1210" i="2"/>
  <c r="M1208" i="2"/>
  <c r="M1206" i="2"/>
  <c r="M1204" i="2"/>
  <c r="M1202" i="2"/>
  <c r="M1200" i="2"/>
  <c r="M1198" i="2"/>
  <c r="M1196" i="2"/>
  <c r="M1194" i="2"/>
  <c r="M1192" i="2"/>
  <c r="M1190" i="2"/>
  <c r="M1188" i="2"/>
  <c r="M1186" i="2"/>
  <c r="M1184" i="2"/>
  <c r="M1182" i="2"/>
  <c r="M1180" i="2"/>
  <c r="M1178" i="2"/>
  <c r="M1176" i="2"/>
  <c r="M1174" i="2"/>
  <c r="M1172" i="2"/>
  <c r="M1170" i="2"/>
  <c r="M1168" i="2"/>
  <c r="M1166" i="2"/>
  <c r="M1164" i="2"/>
  <c r="M1162" i="2"/>
  <c r="M1160" i="2"/>
  <c r="M1158" i="2"/>
  <c r="M1156" i="2"/>
  <c r="M1154" i="2"/>
  <c r="M1152" i="2"/>
  <c r="M1150" i="2"/>
  <c r="M1148" i="2"/>
  <c r="M1120" i="2"/>
  <c r="M1092" i="2"/>
  <c r="M1064" i="2"/>
  <c r="M1036" i="2"/>
  <c r="M1008" i="2"/>
  <c r="M980" i="2"/>
  <c r="M952" i="2"/>
  <c r="M924" i="2"/>
  <c r="M896" i="2"/>
  <c r="M868" i="2"/>
  <c r="M840" i="2"/>
  <c r="M812" i="2"/>
  <c r="M784" i="2"/>
  <c r="M745" i="2"/>
  <c r="P740" i="2" a="1"/>
  <c r="P740" i="2" s="1"/>
  <c r="M728" i="2"/>
  <c r="M723" i="2"/>
  <c r="M714" i="2"/>
  <c r="M704" i="2"/>
  <c r="M699" i="2"/>
  <c r="M662" i="2"/>
  <c r="M645" i="2"/>
  <c r="M631" i="2"/>
  <c r="M617" i="2"/>
  <c r="M603" i="2"/>
  <c r="M596" i="2"/>
  <c r="M587" i="2"/>
  <c r="M580" i="2"/>
  <c r="M571" i="2"/>
  <c r="M564" i="2"/>
  <c r="M555" i="2"/>
  <c r="M541" i="2"/>
  <c r="M525" i="2"/>
  <c r="M516" i="2"/>
  <c r="M509" i="2"/>
  <c r="M493" i="2"/>
  <c r="M461" i="2"/>
  <c r="M417" i="2"/>
  <c r="M405" i="2"/>
  <c r="M393" i="2"/>
  <c r="M359" i="2"/>
  <c r="M320" i="2"/>
  <c r="M313" i="2"/>
  <c r="M305" i="2"/>
  <c r="M295" i="2"/>
  <c r="M288" i="2"/>
  <c r="M281" i="2"/>
  <c r="M276" i="2"/>
  <c r="M271" i="2"/>
  <c r="M249" i="2"/>
  <c r="M217" i="2"/>
  <c r="M210" i="2"/>
  <c r="M198" i="2"/>
  <c r="M183" i="2"/>
  <c r="M58" i="2"/>
  <c r="M1122" i="2"/>
  <c r="M1094" i="2"/>
  <c r="M1066" i="2"/>
  <c r="M1038" i="2"/>
  <c r="M1010" i="2"/>
  <c r="M982" i="2"/>
  <c r="M954" i="2"/>
  <c r="M926" i="2"/>
  <c r="M898" i="2"/>
  <c r="M870" i="2"/>
  <c r="M842" i="2"/>
  <c r="M814" i="2"/>
  <c r="M786" i="2"/>
  <c r="M762" i="2"/>
  <c r="M757" i="2"/>
  <c r="M740" i="2"/>
  <c r="M716" i="2"/>
  <c r="M694" i="2"/>
  <c r="M689" i="2"/>
  <c r="M674" i="2"/>
  <c r="M659" i="2"/>
  <c r="M652" i="2"/>
  <c r="M638" i="2"/>
  <c r="M624" i="2"/>
  <c r="M610" i="2"/>
  <c r="M582" i="2"/>
  <c r="M566" i="2"/>
  <c r="M534" i="2"/>
  <c r="M518" i="2"/>
  <c r="M511" i="2"/>
  <c r="M502" i="2"/>
  <c r="M486" i="2"/>
  <c r="M463" i="2"/>
  <c r="M456" i="2"/>
  <c r="M444" i="2"/>
  <c r="M400" i="2"/>
  <c r="M390" i="2"/>
  <c r="M385" i="2"/>
  <c r="M342" i="2"/>
  <c r="M337" i="2"/>
  <c r="M266" i="2"/>
  <c r="M254" i="2"/>
  <c r="M227" i="2"/>
  <c r="P192" i="2" a="1"/>
  <c r="P192" i="2" s="1"/>
  <c r="M171" i="2"/>
  <c r="M166" i="2"/>
  <c r="M156" i="2"/>
  <c r="M24" i="2"/>
  <c r="M18" i="2"/>
  <c r="P250" i="2" a="1"/>
  <c r="P250" i="2" s="1"/>
  <c r="P98" i="2" a="1"/>
  <c r="P98" i="2" s="1"/>
  <c r="P69" i="2" a="1"/>
  <c r="P69" i="2" s="1"/>
  <c r="M6" i="2"/>
  <c r="M34" i="2"/>
  <c r="M62" i="2"/>
  <c r="M90" i="2"/>
  <c r="M118" i="2"/>
  <c r="M146" i="2"/>
  <c r="M16" i="2"/>
  <c r="M32" i="2"/>
  <c r="M46" i="2"/>
  <c r="M78" i="2"/>
  <c r="M124" i="2"/>
  <c r="M138" i="2"/>
  <c r="M664" i="2"/>
  <c r="M679" i="2"/>
  <c r="M692" i="2"/>
  <c r="M707" i="2"/>
  <c r="M720" i="2"/>
  <c r="M735" i="2"/>
  <c r="M748" i="2"/>
  <c r="M763" i="2"/>
  <c r="M30" i="2"/>
  <c r="M76" i="2"/>
  <c r="M108" i="2"/>
  <c r="M122" i="2"/>
  <c r="M3" i="2"/>
  <c r="M5" i="2"/>
  <c r="M7" i="2"/>
  <c r="M9" i="2"/>
  <c r="M11" i="2"/>
  <c r="M13" i="2"/>
  <c r="M15" i="2"/>
  <c r="M17" i="2"/>
  <c r="M19" i="2"/>
  <c r="M21" i="2"/>
  <c r="M23" i="2"/>
  <c r="M25" i="2"/>
  <c r="M27" i="2"/>
  <c r="M29" i="2"/>
  <c r="M31" i="2"/>
  <c r="M33" i="2"/>
  <c r="M35" i="2"/>
  <c r="M37" i="2"/>
  <c r="M39" i="2"/>
  <c r="M41" i="2"/>
  <c r="M43" i="2"/>
  <c r="M45" i="2"/>
  <c r="M47" i="2"/>
  <c r="M49" i="2"/>
  <c r="M51" i="2"/>
  <c r="M53" i="2"/>
  <c r="M55" i="2"/>
  <c r="M57" i="2"/>
  <c r="M59" i="2"/>
  <c r="M61" i="2"/>
  <c r="M63" i="2"/>
  <c r="M65" i="2"/>
  <c r="M67" i="2"/>
  <c r="M69" i="2"/>
  <c r="M71" i="2"/>
  <c r="M73" i="2"/>
  <c r="M75" i="2"/>
  <c r="M77" i="2"/>
  <c r="M79" i="2"/>
  <c r="M81" i="2"/>
  <c r="M83" i="2"/>
  <c r="M85" i="2"/>
  <c r="M87" i="2"/>
  <c r="M89" i="2"/>
  <c r="M91" i="2"/>
  <c r="M93" i="2"/>
  <c r="M95" i="2"/>
  <c r="M97" i="2"/>
  <c r="M99" i="2"/>
  <c r="M101" i="2"/>
  <c r="M103" i="2"/>
  <c r="M105" i="2"/>
  <c r="M107" i="2"/>
  <c r="M109" i="2"/>
  <c r="M111" i="2"/>
  <c r="M113" i="2"/>
  <c r="M115" i="2"/>
  <c r="M117" i="2"/>
  <c r="M119" i="2"/>
  <c r="M121" i="2"/>
  <c r="M123" i="2"/>
  <c r="M125" i="2"/>
  <c r="M127" i="2"/>
  <c r="M129" i="2"/>
  <c r="M131" i="2"/>
  <c r="M133" i="2"/>
  <c r="M135" i="2"/>
  <c r="M137" i="2"/>
  <c r="M139" i="2"/>
  <c r="M141" i="2"/>
  <c r="M143" i="2"/>
  <c r="M145" i="2"/>
  <c r="M147" i="2"/>
  <c r="M149" i="2"/>
  <c r="M151" i="2"/>
  <c r="M153" i="2"/>
  <c r="M155" i="2"/>
  <c r="M157" i="2"/>
  <c r="M159" i="2"/>
  <c r="M161" i="2"/>
  <c r="M163" i="2"/>
  <c r="M148" i="2"/>
  <c r="M120" i="2"/>
  <c r="M92" i="2"/>
  <c r="M64" i="2"/>
  <c r="M36" i="2"/>
  <c r="M8" i="2"/>
  <c r="Z11" i="2" l="1"/>
  <c r="Z10" i="2"/>
  <c r="Z13" i="2"/>
  <c r="AA10" i="2"/>
  <c r="J5" i="3" s="1"/>
  <c r="AA11" i="2"/>
  <c r="J6" i="3" s="1"/>
  <c r="AA12" i="2"/>
  <c r="AA13" i="2"/>
  <c r="J8" i="3" s="1"/>
  <c r="AA9" i="2"/>
  <c r="AD14" i="2"/>
  <c r="AD11" i="2" l="1"/>
  <c r="AD13" i="2"/>
  <c r="AB13" i="2"/>
  <c r="AB11" i="2"/>
  <c r="AB9" i="2"/>
  <c r="J4" i="3"/>
  <c r="AB12" i="2"/>
  <c r="J7" i="3"/>
  <c r="AD10" i="2"/>
  <c r="AE10" i="2" s="1"/>
  <c r="AB10" i="2"/>
  <c r="AD9" i="2"/>
  <c r="AD12" i="2"/>
  <c r="AE12" i="2" l="1"/>
  <c r="AE9" i="2"/>
  <c r="AE11" i="2"/>
  <c r="AE13" i="2"/>
  <c r="AE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 W</author>
  </authors>
  <commentList>
    <comment ref="AA8" authorId="0" shapeId="0" xr:uid="{1C93C5B4-2C92-4D92-919C-61A73B9AFE9F}">
      <text>
        <r>
          <rPr>
            <b/>
            <sz val="9"/>
            <color indexed="81"/>
            <rFont val="Tahoma"/>
            <family val="2"/>
          </rPr>
          <t>L W:</t>
        </r>
        <r>
          <rPr>
            <sz val="9"/>
            <color indexed="81"/>
            <rFont val="Tahoma"/>
            <family val="2"/>
          </rPr>
          <t xml:space="preserve">
Assumes all trucks travelling on the eRoads segment will use it</t>
        </r>
      </text>
    </comment>
    <comment ref="AB8" authorId="0" shapeId="0" xr:uid="{C7FC0F40-FDBF-480F-AE3E-280A4312B3B9}">
      <text>
        <r>
          <rPr>
            <b/>
            <sz val="9"/>
            <color indexed="81"/>
            <rFont val="Tahoma"/>
            <family val="2"/>
          </rPr>
          <t>L W:</t>
        </r>
        <r>
          <rPr>
            <sz val="9"/>
            <color indexed="81"/>
            <rFont val="Tahoma"/>
            <family val="2"/>
          </rPr>
          <t xml:space="preserve">
Assumes even mixing across all road segments. %AADTT19 is the proportion of trucks using eRoads.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<sst xmlns="http://schemas.openxmlformats.org/spreadsheetml/2006/main" count="544" uniqueCount="380">
  <si>
    <t>parameter</t>
  </si>
  <si>
    <t>value</t>
  </si>
  <si>
    <t>notes</t>
  </si>
  <si>
    <t>long_haul_threshold</t>
  </si>
  <si>
    <t>Distance threshold to consider long-haul trucking (km). 2x operating radius of 300km in Sebastian's work</t>
  </si>
  <si>
    <t xml:space="preserve"> </t>
  </si>
  <si>
    <t>11B</t>
  </si>
  <si>
    <t>17A</t>
  </si>
  <si>
    <t>7A</t>
  </si>
  <si>
    <t>529A</t>
  </si>
  <si>
    <t>528A</t>
  </si>
  <si>
    <t>560A</t>
  </si>
  <si>
    <t>542A</t>
  </si>
  <si>
    <t>607A</t>
  </si>
  <si>
    <t>540A</t>
  </si>
  <si>
    <t>539A</t>
  </si>
  <si>
    <t>17B</t>
  </si>
  <si>
    <t>540B</t>
  </si>
  <si>
    <t>522B</t>
  </si>
  <si>
    <t>58A</t>
  </si>
  <si>
    <t>QEW</t>
  </si>
  <si>
    <t>400A</t>
  </si>
  <si>
    <t>Bin</t>
  </si>
  <si>
    <t>LENGTH_cumsum_prop</t>
  </si>
  <si>
    <t>LENGTH_cumsum</t>
  </si>
  <si>
    <t>AADTT19xLength_cumsum</t>
  </si>
  <si>
    <t>AADTT19_cumsum</t>
  </si>
  <si>
    <t>AADTT19_rank</t>
  </si>
  <si>
    <t>AADTT19xLength</t>
  </si>
  <si>
    <t>AADTT19</t>
  </si>
  <si>
    <t>HIGHWAY</t>
  </si>
  <si>
    <t>TRAFFICSEC</t>
  </si>
  <si>
    <t>OFFSET</t>
  </si>
  <si>
    <t>LHRS</t>
  </si>
  <si>
    <t>LENGTH</t>
  </si>
  <si>
    <t>ID</t>
  </si>
  <si>
    <t>FID_1</t>
  </si>
  <si>
    <t>FID</t>
  </si>
  <si>
    <t>LENGTH_sum</t>
  </si>
  <si>
    <t>AADTT19xLength_sum</t>
  </si>
  <si>
    <t>AADTT19_sum</t>
  </si>
  <si>
    <t>% of total</t>
  </si>
  <si>
    <t>LenWtAvgAADTT 19 X Length</t>
  </si>
  <si>
    <t>LenWtAvgAADTT19 X PercAADTT19</t>
  </si>
  <si>
    <t>Length wt avg AADTT19</t>
  </si>
  <si>
    <t>perc of AADTT19</t>
  </si>
  <si>
    <t>Length (km)</t>
  </si>
  <si>
    <t>Cumulative length (km)</t>
  </si>
  <si>
    <t>end %</t>
  </si>
  <si>
    <t>start %</t>
  </si>
  <si>
    <t>Top xx%</t>
  </si>
  <si>
    <t>Custom bin length</t>
  </si>
  <si>
    <t>Powertrain</t>
  </si>
  <si>
    <t>desired_range_km</t>
  </si>
  <si>
    <t>eRoads_equipment_kg</t>
  </si>
  <si>
    <t>eRoads_equipment_cost</t>
  </si>
  <si>
    <t>FCEV</t>
  </si>
  <si>
    <t>BEV</t>
  </si>
  <si>
    <t>desired range: 0.5x of Autonomie range (500 miles). eRoads onboard equipment weight: 100 kg (Yeow et al 2024), cost: 2020 US$7,500 (Yeow et al 2024)</t>
  </si>
  <si>
    <t>NaN</t>
  </si>
  <si>
    <t>Low</t>
  </si>
  <si>
    <t>autonomie_tech_case</t>
  </si>
  <si>
    <t>Autonomie technological progress ('Case')</t>
  </si>
  <si>
    <t>charger_standard_kW</t>
  </si>
  <si>
    <t>charger_fast_kW</t>
  </si>
  <si>
    <t>tech_veh</t>
  </si>
  <si>
    <t>tech_supply</t>
  </si>
  <si>
    <t>T_HDV_T_LH_CHRG_LRGBATT</t>
  </si>
  <si>
    <t>T_HDV_T_LH_CHRG_FSTCHRG</t>
  </si>
  <si>
    <t>T_HDV_T_LH_CHRG_ERDS1</t>
  </si>
  <si>
    <t>T_HDV_T_LH_CHRG_ERDS2</t>
  </si>
  <si>
    <t>T_HDV_T_LH_CHRG_ERDS3</t>
  </si>
  <si>
    <t>T_HDV_T_LH_CHRG_ERDS4</t>
  </si>
  <si>
    <t>T_HDV_T_LH_CHRG_ERDS5</t>
  </si>
  <si>
    <t>T_H2_HDV_T_LH_REFUEL</t>
  </si>
  <si>
    <t>overnight_charging_share</t>
  </si>
  <si>
    <t>Share of overnight charging vs. (overnight + fast) charging. Placeholder value. To be updated from truck charging simulator using GPS data</t>
  </si>
  <si>
    <t>tod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</si>
  <si>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</si>
  <si>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</si>
  <si>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</si>
  <si>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</si>
  <si>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</si>
  <si>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</si>
  <si>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</si>
  <si>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</si>
  <si>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</si>
  <si>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</si>
  <si>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</si>
  <si>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</si>
  <si>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</si>
  <si>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</si>
  <si>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</si>
  <si>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</si>
  <si>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</si>
  <si>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</si>
  <si>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</si>
  <si>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</si>
  <si>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</si>
  <si>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</si>
  <si>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</si>
  <si>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</si>
  <si>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flat</t>
  </si>
  <si>
    <t>simple_midday_peak</t>
  </si>
  <si>
    <t>avg_capacity_factor</t>
  </si>
  <si>
    <t>desired range: 1.5x of Autonomie range (500 miles). Enough for 12h constant driving at 100 km/h.
avg_capacity_factor: Travel Center. Long-term utilization. (Bennett 2022)</t>
  </si>
  <si>
    <t>desired range: same as Autonomie range (500 miles). 
Megawatt charging system max power 3MW (Bennett 2022)
avg_capacity_factor: En Route, 3 MW charger. Long-term utilization. Average of low and high utilization (Bennett 2022)</t>
  </si>
  <si>
    <t>desired range: same as Autonomie range (500 miles). 
Fill rate: Demonstrated 13.2 kgH2/min average (https://www.nrel.gov/news/detail/program/2022/fast-flow-future-heavy-duty-hydrogen-trucks). LHV 120MJ/kgH2. 
avg_capacity_factor: 50% from IEA Future of Hydrogen Report Assumptions Annex - Distribution https://iea.blob.core.windows.net/assets/29b027e5-fefc-47df-aed0-456b1bb38844/IEA-The-Future-of-Hydrogen-Assumptions-Annex_CORR.pdf</t>
  </si>
  <si>
    <t>eRoads_max_aadtt</t>
  </si>
  <si>
    <t>- Large trucks have speed limit cap of 105 km/h, following distance at least 60 metres (https://www.ontario.ca/document/official-ministry-transportation-mto-truck-handbook/driver-conduct)
- Truck headway: (60m / (105km/h * 1000 / 3600)) = 2.057 seconds
- Maximum truck flow per day = (60sec * 60min * 24hr) / 2.057sec = 42,000 trucks/day</t>
  </si>
  <si>
    <t>profile_name</t>
  </si>
  <si>
    <t>db_path</t>
  </si>
  <si>
    <t>canoe_on_16d_baseline_newtech_atriprofiles_v3_1</t>
  </si>
  <si>
    <t>canoe_on_16d_baseline_newtech_flat_v3_1</t>
  </si>
  <si>
    <t>canoe_on_16d_baseline_newtech_simplemiddaypeak_v3_1</t>
  </si>
  <si>
    <t>num_rep_days</t>
  </si>
  <si>
    <t>3_1</t>
  </si>
  <si>
    <t>temoa_version</t>
  </si>
  <si>
    <t>canoe_on_16d_baseline_newtech_nolhhdtelec_v3_1</t>
  </si>
  <si>
    <t>canoe_on_16d_baseline_newtech_flexdemand_v3_1</t>
  </si>
  <si>
    <t>canoe_on_16d_baseline_newtech_atriprofiles_H2DACeDiesel_v3_1</t>
  </si>
  <si>
    <t>nolhhdtelec</t>
  </si>
  <si>
    <t>Flat</t>
  </si>
  <si>
    <t>Simple mid-day peak</t>
  </si>
  <si>
    <t>Flexible</t>
  </si>
  <si>
    <t>db_path_old</t>
  </si>
  <si>
    <t>db_id</t>
  </si>
  <si>
    <t>display_name</t>
  </si>
  <si>
    <t>ATRI data, min power</t>
  </si>
  <si>
    <t>Immediate</t>
  </si>
  <si>
    <t>Delayed</t>
  </si>
  <si>
    <t>Min power</t>
  </si>
  <si>
    <t>Forcing H2 and e-diesel</t>
  </si>
  <si>
    <t>- Long-haul trucks can only be diesel and H2FCETs (no BEVs)
- Only allow H2 produced with PEM
- Gradually phase out petroleum diesel</t>
  </si>
  <si>
    <t>canoe_on_16d_baseline_newtech_v3_1</t>
  </si>
  <si>
    <t>Baseline, root database</t>
  </si>
  <si>
    <t>wrn</t>
  </si>
  <si>
    <t>ljv</t>
  </si>
  <si>
    <t>rhl</t>
  </si>
  <si>
    <t>mid</t>
  </si>
  <si>
    <t>nhh</t>
  </si>
  <si>
    <t>soe</t>
  </si>
  <si>
    <t>cqh</t>
  </si>
  <si>
    <t>xcc</t>
  </si>
  <si>
    <t>iyw</t>
  </si>
  <si>
    <t>jmo</t>
  </si>
  <si>
    <t>fnh</t>
  </si>
  <si>
    <t>gkl</t>
  </si>
  <si>
    <t>hwj</t>
  </si>
  <si>
    <t>uez</t>
  </si>
  <si>
    <t>htl</t>
  </si>
  <si>
    <t>aum</t>
  </si>
  <si>
    <t>xlv</t>
  </si>
  <si>
    <t>bxl</t>
  </si>
  <si>
    <t>roa</t>
  </si>
  <si>
    <t>xuw</t>
  </si>
  <si>
    <t>myh</t>
  </si>
  <si>
    <t>nzx</t>
  </si>
  <si>
    <t>wtz</t>
  </si>
  <si>
    <t>izo</t>
  </si>
  <si>
    <t>xnc</t>
  </si>
  <si>
    <t>lii</t>
  </si>
  <si>
    <t>kki</t>
  </si>
  <si>
    <t>oqh</t>
  </si>
  <si>
    <t>olr</t>
  </si>
  <si>
    <t>uoj</t>
  </si>
  <si>
    <t>oog</t>
  </si>
  <si>
    <t>esf</t>
  </si>
  <si>
    <t>qjw</t>
  </si>
  <si>
    <t>rix</t>
  </si>
  <si>
    <t>glw</t>
  </si>
  <si>
    <t>vth</t>
  </si>
  <si>
    <t>sbb</t>
  </si>
  <si>
    <t>qdd</t>
  </si>
  <si>
    <t>yxl</t>
  </si>
  <si>
    <t>jzy</t>
  </si>
  <si>
    <t>ity</t>
  </si>
  <si>
    <t>wol</t>
  </si>
  <si>
    <t>cmu</t>
  </si>
  <si>
    <t>cnc</t>
  </si>
  <si>
    <t>ffg</t>
  </si>
  <si>
    <t>tap</t>
  </si>
  <si>
    <t>rnm</t>
  </si>
  <si>
    <t>vno</t>
  </si>
  <si>
    <t>bor</t>
  </si>
  <si>
    <t>ucd</t>
  </si>
  <si>
    <t>fnt</t>
  </si>
  <si>
    <t>did</t>
  </si>
  <si>
    <t>nnp</t>
  </si>
  <si>
    <t>elo</t>
  </si>
  <si>
    <t>pfi</t>
  </si>
  <si>
    <t>rny</t>
  </si>
  <si>
    <t>mhy</t>
  </si>
  <si>
    <t>alr</t>
  </si>
  <si>
    <t>ysm</t>
  </si>
  <si>
    <t>dgn</t>
  </si>
  <si>
    <t>nys</t>
  </si>
  <si>
    <t>gvi</t>
  </si>
  <si>
    <t>meu</t>
  </si>
  <si>
    <t>ldx</t>
  </si>
  <si>
    <t>xaf</t>
  </si>
  <si>
    <t>muf</t>
  </si>
  <si>
    <t>nzs</t>
  </si>
  <si>
    <t>sme</t>
  </si>
  <si>
    <t>ojo</t>
  </si>
  <si>
    <t>goz</t>
  </si>
  <si>
    <t>gto</t>
  </si>
  <si>
    <t>lae</t>
  </si>
  <si>
    <t>pmf</t>
  </si>
  <si>
    <t>mys</t>
  </si>
  <si>
    <t>ykm</t>
  </si>
  <si>
    <t>eoy</t>
  </si>
  <si>
    <t>buj</t>
  </si>
  <si>
    <t>jcs</t>
  </si>
  <si>
    <t>ejf</t>
  </si>
  <si>
    <t>dxq</t>
  </si>
  <si>
    <t>kyp</t>
  </si>
  <si>
    <t>xlc</t>
  </si>
  <si>
    <t>mzd</t>
  </si>
  <si>
    <t>tej</t>
  </si>
  <si>
    <t>vdm</t>
  </si>
  <si>
    <t>tjw</t>
  </si>
  <si>
    <t>rax</t>
  </si>
  <si>
    <t>rvv</t>
  </si>
  <si>
    <t>mbs</t>
  </si>
  <si>
    <t>ffb</t>
  </si>
  <si>
    <t>foy</t>
  </si>
  <si>
    <t>suy</t>
  </si>
  <si>
    <t>brj</t>
  </si>
  <si>
    <t>tzi</t>
  </si>
  <si>
    <t>pvb</t>
  </si>
  <si>
    <t>afw</t>
  </si>
  <si>
    <t>yls</t>
  </si>
  <si>
    <t>bbd</t>
  </si>
  <si>
    <t>tgq</t>
  </si>
  <si>
    <t>eqh</t>
  </si>
  <si>
    <t>gqh</t>
  </si>
  <si>
    <t>htd</t>
  </si>
  <si>
    <t>rpt</t>
  </si>
  <si>
    <t>oxa</t>
  </si>
  <si>
    <t>pkm</t>
  </si>
  <si>
    <t>pid</t>
  </si>
  <si>
    <t>syl</t>
  </si>
  <si>
    <t>vyr</t>
  </si>
  <si>
    <t>wrl</t>
  </si>
  <si>
    <t>xsq</t>
  </si>
  <si>
    <t>lgq</t>
  </si>
  <si>
    <t>ibm</t>
  </si>
  <si>
    <t>diw</t>
  </si>
  <si>
    <t>efb</t>
  </si>
  <si>
    <t>jpl</t>
  </si>
  <si>
    <t>nce</t>
  </si>
  <si>
    <t>dxw</t>
  </si>
  <si>
    <t>upc</t>
  </si>
  <si>
    <t>pjj</t>
  </si>
  <si>
    <t>hpn</t>
  </si>
  <si>
    <t>liu</t>
  </si>
  <si>
    <t>otz</t>
  </si>
  <si>
    <t>pgz</t>
  </si>
  <si>
    <t>wqn</t>
  </si>
  <si>
    <t>wiz</t>
  </si>
  <si>
    <t>oih</t>
  </si>
  <si>
    <t>jly</t>
  </si>
  <si>
    <t>drs</t>
  </si>
  <si>
    <t>tkn</t>
  </si>
  <si>
    <t>bwd</t>
  </si>
  <si>
    <t>fko</t>
  </si>
  <si>
    <t>rpy</t>
  </si>
  <si>
    <t>otw</t>
  </si>
  <si>
    <t>uci</t>
  </si>
  <si>
    <t>uvu</t>
  </si>
  <si>
    <t>azj</t>
  </si>
  <si>
    <t>jfo</t>
  </si>
  <si>
    <t>egy</t>
  </si>
  <si>
    <t>kgj</t>
  </si>
  <si>
    <t>ljy</t>
  </si>
  <si>
    <t>vir</t>
  </si>
  <si>
    <t>oyh</t>
  </si>
  <si>
    <t>dbl</t>
  </si>
  <si>
    <t>ytq</t>
  </si>
  <si>
    <t>cdf</t>
  </si>
  <si>
    <t>hbz</t>
  </si>
  <si>
    <t>rkb</t>
  </si>
  <si>
    <t>okc</t>
  </si>
  <si>
    <t>nhk</t>
  </si>
  <si>
    <t>kjh</t>
  </si>
  <si>
    <t>vlz</t>
  </si>
  <si>
    <t>iwn</t>
  </si>
  <si>
    <t>vng</t>
  </si>
  <si>
    <t>wjr</t>
  </si>
  <si>
    <t>cct</t>
  </si>
  <si>
    <t>meb</t>
  </si>
  <si>
    <t>vxm</t>
  </si>
  <si>
    <t>ktf</t>
  </si>
  <si>
    <t>ati</t>
  </si>
  <si>
    <t>osk</t>
  </si>
  <si>
    <t>fvx</t>
  </si>
  <si>
    <t>cqu</t>
  </si>
  <si>
    <t>dvm</t>
  </si>
  <si>
    <t>jle</t>
  </si>
  <si>
    <t>leh</t>
  </si>
  <si>
    <t>azq</t>
  </si>
  <si>
    <t>nbn</t>
  </si>
  <si>
    <t>eet</t>
  </si>
  <si>
    <t>ill</t>
  </si>
  <si>
    <t>rpk</t>
  </si>
  <si>
    <t>lbe</t>
  </si>
  <si>
    <t>pxu</t>
  </si>
  <si>
    <t>zid</t>
  </si>
  <si>
    <t>jpo</t>
  </si>
  <si>
    <t>jmi</t>
  </si>
  <si>
    <t>rrv</t>
  </si>
  <si>
    <t>avz</t>
  </si>
  <si>
    <t>mbv</t>
  </si>
  <si>
    <t>xmn</t>
  </si>
  <si>
    <t>ljj</t>
  </si>
  <si>
    <t>ogd</t>
  </si>
  <si>
    <t>lkg</t>
  </si>
  <si>
    <t>qkd</t>
  </si>
  <si>
    <t>ppz</t>
  </si>
  <si>
    <t>icx</t>
  </si>
  <si>
    <t>qdp</t>
  </si>
  <si>
    <t>sjz</t>
  </si>
  <si>
    <t>efy</t>
  </si>
  <si>
    <t>wlm</t>
  </si>
  <si>
    <t>eym</t>
  </si>
  <si>
    <t>yid</t>
  </si>
  <si>
    <t>lhx</t>
  </si>
  <si>
    <t>myt</t>
  </si>
  <si>
    <t>hlq</t>
  </si>
  <si>
    <t>tel</t>
  </si>
  <si>
    <t>hjy</t>
  </si>
  <si>
    <t>hzn</t>
  </si>
  <si>
    <t>isi</t>
  </si>
  <si>
    <t>oca</t>
  </si>
  <si>
    <t>aaa</t>
  </si>
  <si>
    <t>canoe_on_16d_baseline_newtech_solarfreeflip_v3_1</t>
  </si>
  <si>
    <t>canoe_on_16d_baseline_newtech_todtest_v3_1</t>
  </si>
  <si>
    <t>No long-haul HDT electrification</t>
  </si>
  <si>
    <t>cumul perc of AADTT19</t>
  </si>
  <si>
    <t>ATRI data min power</t>
  </si>
  <si>
    <t>Baseline new tech</t>
  </si>
  <si>
    <t>Time of day test</t>
  </si>
  <si>
    <t>ATRI data immediate</t>
  </si>
  <si>
    <t>ATRI data delayed</t>
  </si>
  <si>
    <t>Forcing H2 and e-diesel no solar wind D204</t>
  </si>
  <si>
    <t>ATRI data min power swapped seasons VRE LHHDT</t>
  </si>
  <si>
    <t>db_date</t>
  </si>
  <si>
    <t>T_HDV_T_LH_BEV_LRGBATT</t>
  </si>
  <si>
    <t>T_HDV_T_LH_BEV_FSTCHRG</t>
  </si>
  <si>
    <t>T_HDV_T_LH_BEV_ERDS1</t>
  </si>
  <si>
    <t>T_HDV_T_LH_BEV_ERDS2</t>
  </si>
  <si>
    <t>T_HDV_T_LH_BEV_ERDS3</t>
  </si>
  <si>
    <t>T_HDV_T_LH_BEV_ERDS4</t>
  </si>
  <si>
    <t>T_HDV_T_LH_BEV_ERDS5</t>
  </si>
  <si>
    <t>T_HDV_T_LH_FCEV</t>
  </si>
  <si>
    <t>ON_16d_bevsplit_growthlim_newtech</t>
  </si>
  <si>
    <t>Original CANOE national database</t>
  </si>
  <si>
    <t>With social cost of carbon, long-haul truck disaggregation</t>
  </si>
  <si>
    <t>canoe_dataset_ON_16d_bevsplit_growthlim_H2</t>
  </si>
  <si>
    <t>Started with original/canoe_dataset.sqlite; CANOE national database received from Dijuan on 2026 May 11. Originally from Davey on 2026 May 07; After CANOE_interface (ON, high res all sectors, current measures); After time series clustering (representative_periods) to get 16 days; After adding Dijuan's LDV BEV sales share mix, growth rate constraints. After adding H2 production, distribution and compression</t>
  </si>
  <si>
    <t>Immediate, fuel cost</t>
  </si>
  <si>
    <t>With dummy bypass techs to estimate equivalent fuel costs</t>
  </si>
  <si>
    <t>ATRI data immediate fuel cost</t>
  </si>
  <si>
    <t>Free solar flipped peak</t>
  </si>
  <si>
    <t>freesolar flippedpeak</t>
  </si>
  <si>
    <t>Immediate, fuel cost, no ediesel</t>
  </si>
  <si>
    <t>ATRI data immediate fuel cost no ediesel</t>
  </si>
  <si>
    <t>With dummy bypass techs to estimate equivalent fuel costs, no e-diesel</t>
  </si>
  <si>
    <t>Immediate, fuel cost, no eroads</t>
  </si>
  <si>
    <t>ATRI data immediate fuel cost no eroads</t>
  </si>
  <si>
    <t>With dummy bypass techs to estimate equivalent fuel costs, no eroads</t>
  </si>
  <si>
    <t>Immediate, upstream cost</t>
  </si>
  <si>
    <t>ATRI data immediate upstream cost</t>
  </si>
  <si>
    <t>With dummy techs to estimate upstream costs</t>
  </si>
  <si>
    <t>Flat, upstream cost</t>
  </si>
  <si>
    <t>Flat upstream cost</t>
  </si>
  <si>
    <t>Immediate, duals</t>
  </si>
  <si>
    <t>Immediate duals</t>
  </si>
  <si>
    <t>With transfer techs to observe 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</si>
</sst>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"/>
    <numFmt numFmtId="167" formatCode="_-* #,##0.0_-;\-* #,##0.0_-;_-* &quot;-&quot;??_-;_-@_-"/>
    <numFmt numFmtId="168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Times New Roman"/>
      <family val="1"/>
    </font>
    <font>
      <sz val="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64" fontId="0" fillId="2" borderId="0" xfId="1" applyNumberFormat="1" applyFont="1" applyFill="1"/>
    <xf numFmtId="165" fontId="0" fillId="0" borderId="0" xfId="2" applyNumberFormat="1" applyFont="1"/>
    <xf numFmtId="164" fontId="0" fillId="0" borderId="0" xfId="0" applyNumberFormat="1"/>
    <xf numFmtId="164" fontId="0" fillId="0" borderId="0" xfId="1" applyNumberFormat="1" applyFont="1"/>
    <xf numFmtId="10" fontId="0" fillId="2" borderId="0" xfId="2" applyNumberFormat="1" applyFont="1" applyFill="1"/>
    <xf numFmtId="1" fontId="0" fillId="2" borderId="0" xfId="0" applyNumberFormat="1" applyFill="1"/>
    <xf numFmtId="9" fontId="0" fillId="2" borderId="0" xfId="0" applyNumberFormat="1" applyFill="1"/>
    <xf numFmtId="10" fontId="0" fillId="2" borderId="0" xfId="0" applyNumberFormat="1" applyFill="1"/>
    <xf numFmtId="10" fontId="0" fillId="0" borderId="0" xfId="0" applyNumberFormat="1"/>
    <xf numFmtId="9" fontId="0" fillId="2" borderId="0" xfId="2" applyFont="1" applyFill="1"/>
    <xf numFmtId="0" fontId="4" fillId="0" borderId="0" xfId="0" applyFont="1" applyAlignment="1">
      <alignment wrapText="1"/>
    </xf>
    <xf numFmtId="164" fontId="0" fillId="0" borderId="0" xfId="1" applyNumberFormat="1" applyFont="1" applyFill="1"/>
    <xf numFmtId="166" fontId="0" fillId="0" borderId="0" xfId="0" applyNumberFormat="1"/>
    <xf numFmtId="0" fontId="6" fillId="0" borderId="0" xfId="0" applyFont="1" applyAlignment="1">
      <alignment wrapText="1"/>
    </xf>
    <xf numFmtId="0" fontId="0" fillId="0" borderId="0" xfId="0" quotePrefix="1" applyAlignment="1">
      <alignment wrapText="1"/>
    </xf>
    <xf numFmtId="167" fontId="0" fillId="2" borderId="0" xfId="1" applyNumberFormat="1" applyFont="1" applyFill="1"/>
    <xf numFmtId="168" fontId="6" fillId="2" borderId="0" xfId="0" applyNumberFormat="1" applyFont="1" applyFill="1" applyAlignment="1">
      <alignment wrapText="1"/>
    </xf>
    <xf numFmtId="0" fontId="4" fillId="0" borderId="0" xfId="0" applyFont="1"/>
    <xf numFmtId="0" fontId="7" fillId="0" borderId="0" xfId="0" applyFont="1"/>
    <xf numFmtId="0" fontId="4" fillId="2" borderId="0" xfId="0" applyFont="1" applyFill="1"/>
    <xf numFmtId="0" fontId="8" fillId="0" borderId="0" xfId="0" applyFont="1"/>
    <xf numFmtId="0" fontId="8" fillId="0" borderId="0" xfId="0" quotePrefix="1" applyFont="1" applyAlignment="1">
      <alignment wrapText="1"/>
    </xf>
    <xf numFmtId="0" fontId="8" fillId="0" borderId="0" xfId="0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sample_profiles!$B$1</c:f>
              <c:strCache>
                <c:ptCount val="1"/>
                <c:pt idx="0">
                  <c:v>flat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sample_profiles!$A$2:$A$25</c:f>
              <c:strCache>
                <c:ptCount val="24"/>
                <c:pt idx="0">
                  <c:v>H01</c:v>
                </c:pt>
                <c:pt idx="1">
                  <c:v>H02</c:v>
                </c:pt>
                <c:pt idx="2">
                  <c:v>H03</c:v>
                </c:pt>
                <c:pt idx="3">
                  <c:v>H04</c:v>
                </c:pt>
                <c:pt idx="4">
                  <c:v>H05</c:v>
                </c:pt>
                <c:pt idx="5">
                  <c:v>H06</c:v>
                </c:pt>
                <c:pt idx="6">
                  <c:v>H07</c:v>
                </c:pt>
                <c:pt idx="7">
                  <c:v>H08</c:v>
                </c:pt>
                <c:pt idx="8">
                  <c:v>H09</c:v>
                </c:pt>
                <c:pt idx="9">
                  <c:v>H10</c:v>
                </c:pt>
                <c:pt idx="10">
                  <c:v>H11</c:v>
                </c:pt>
                <c:pt idx="11">
                  <c:v>H12</c:v>
                </c:pt>
                <c:pt idx="12">
                  <c:v>H13</c:v>
                </c:pt>
                <c:pt idx="13">
                  <c:v>H14</c:v>
                </c:pt>
                <c:pt idx="14">
                  <c:v>H15</c:v>
                </c:pt>
                <c:pt idx="15">
                  <c:v>H16</c:v>
                </c:pt>
                <c:pt idx="16">
                  <c:v>H17</c:v>
                </c:pt>
                <c:pt idx="17">
                  <c:v>H18</c:v>
                </c:pt>
                <c:pt idx="18">
                  <c:v>H19</c:v>
                </c:pt>
                <c:pt idx="19">
                  <c:v>H20</c:v>
                </c:pt>
                <c:pt idx="20">
                  <c:v>H21</c:v>
                </c:pt>
                <c:pt idx="21">
                  <c:v>H22</c:v>
                </c:pt>
                <c:pt idx="22">
                  <c:v>H23</c:v>
                </c:pt>
                <c:pt idx="23">
                  <c:v>H24</c:v>
                </c:pt>
              </c:strCache>
            </c:strRef>
          </c:cat>
          <c:val>
            <c:numRef>
              <c:f>sample_profiles!$B$2:$B$25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D6-40C7-B678-5B14FBD5F968}"/>
            </c:ext>
          </c:extLst>
        </c:ser>
        <c:ser>
          <c:idx val="1"/>
          <c:order val="1"/>
          <c:tx>
            <c:strRef>
              <c:f>sample_profiles!$C$1</c:f>
              <c:strCache>
                <c:ptCount val="1"/>
                <c:pt idx="0">
                  <c:v>simple_midday_peak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sample_profiles!$A$2:$A$25</c:f>
              <c:strCache>
                <c:ptCount val="24"/>
                <c:pt idx="0">
                  <c:v>H01</c:v>
                </c:pt>
                <c:pt idx="1">
                  <c:v>H02</c:v>
                </c:pt>
                <c:pt idx="2">
                  <c:v>H03</c:v>
                </c:pt>
                <c:pt idx="3">
                  <c:v>H04</c:v>
                </c:pt>
                <c:pt idx="4">
                  <c:v>H05</c:v>
                </c:pt>
                <c:pt idx="5">
                  <c:v>H06</c:v>
                </c:pt>
                <c:pt idx="6">
                  <c:v>H07</c:v>
                </c:pt>
                <c:pt idx="7">
                  <c:v>H08</c:v>
                </c:pt>
                <c:pt idx="8">
                  <c:v>H09</c:v>
                </c:pt>
                <c:pt idx="9">
                  <c:v>H10</c:v>
                </c:pt>
                <c:pt idx="10">
                  <c:v>H11</c:v>
                </c:pt>
                <c:pt idx="11">
                  <c:v>H12</c:v>
                </c:pt>
                <c:pt idx="12">
                  <c:v>H13</c:v>
                </c:pt>
                <c:pt idx="13">
                  <c:v>H14</c:v>
                </c:pt>
                <c:pt idx="14">
                  <c:v>H15</c:v>
                </c:pt>
                <c:pt idx="15">
                  <c:v>H16</c:v>
                </c:pt>
                <c:pt idx="16">
                  <c:v>H17</c:v>
                </c:pt>
                <c:pt idx="17">
                  <c:v>H18</c:v>
                </c:pt>
                <c:pt idx="18">
                  <c:v>H19</c:v>
                </c:pt>
                <c:pt idx="19">
                  <c:v>H20</c:v>
                </c:pt>
                <c:pt idx="20">
                  <c:v>H21</c:v>
                </c:pt>
                <c:pt idx="21">
                  <c:v>H22</c:v>
                </c:pt>
                <c:pt idx="22">
                  <c:v>H23</c:v>
                </c:pt>
                <c:pt idx="23">
                  <c:v>H24</c:v>
                </c:pt>
              </c:strCache>
            </c:strRef>
          </c:cat>
          <c:val>
            <c:numRef>
              <c:f>sample_profiles!$C$2:$C$25</c:f>
              <c:numCache>
                <c:formatCode>General</c:formatCode>
                <c:ptCount val="24"/>
                <c:pt idx="0">
                  <c:v>0</c:v>
                </c:pt>
                <c:pt idx="1">
                  <c:v>1.9E-2</c:v>
                </c:pt>
                <c:pt idx="2">
                  <c:v>7.2999999999999995E-2</c:v>
                </c:pt>
                <c:pt idx="3">
                  <c:v>0.159</c:v>
                </c:pt>
                <c:pt idx="4">
                  <c:v>0.27</c:v>
                </c:pt>
                <c:pt idx="5">
                  <c:v>0.39800000000000002</c:v>
                </c:pt>
                <c:pt idx="6">
                  <c:v>0.53400000000000003</c:v>
                </c:pt>
                <c:pt idx="7">
                  <c:v>0.66700000000000004</c:v>
                </c:pt>
                <c:pt idx="8">
                  <c:v>0.78800000000000003</c:v>
                </c:pt>
                <c:pt idx="9">
                  <c:v>0.88800000000000001</c:v>
                </c:pt>
                <c:pt idx="10">
                  <c:v>0.95899999999999996</c:v>
                </c:pt>
                <c:pt idx="11">
                  <c:v>0.995</c:v>
                </c:pt>
                <c:pt idx="12">
                  <c:v>0.995</c:v>
                </c:pt>
                <c:pt idx="13">
                  <c:v>0.95899999999999996</c:v>
                </c:pt>
                <c:pt idx="14">
                  <c:v>0.88800000000000001</c:v>
                </c:pt>
                <c:pt idx="15">
                  <c:v>0.78800000000000003</c:v>
                </c:pt>
                <c:pt idx="16">
                  <c:v>0.66700000000000004</c:v>
                </c:pt>
                <c:pt idx="17">
                  <c:v>0.53400000000000003</c:v>
                </c:pt>
                <c:pt idx="18">
                  <c:v>0.39800000000000002</c:v>
                </c:pt>
                <c:pt idx="19">
                  <c:v>0.27</c:v>
                </c:pt>
                <c:pt idx="20">
                  <c:v>0.159</c:v>
                </c:pt>
                <c:pt idx="21">
                  <c:v>7.2999999999999995E-2</c:v>
                </c:pt>
                <c:pt idx="22">
                  <c:v>1.9E-2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D6-40C7-B678-5B14FBD5F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040991"/>
        <c:axId val="393779711"/>
      </c:lineChart>
      <c:catAx>
        <c:axId val="27604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779711"/>
        <c:crosses val="autoZero"/>
        <c:auto val="1"/>
        <c:lblAlgn val="ctr"/>
        <c:lblOffset val="100"/>
        <c:noMultiLvlLbl val="0"/>
      </c:catAx>
      <c:valAx>
        <c:axId val="3937797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4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distribution of 2019 AADTT and provincial</a:t>
            </a:r>
            <a:r>
              <a:rPr lang="en-US" baseline="0"/>
              <a:t> highway length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'MTO iCorridor AADTT'!$N$1</c:f>
              <c:strCache>
                <c:ptCount val="1"/>
                <c:pt idx="0">
                  <c:v>LENGTH_cumsum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'MTO iCorridor AADTT'!$N$2:$N$1845</c:f>
              <c:numCache>
                <c:formatCode>General</c:formatCode>
                <c:ptCount val="1844"/>
                <c:pt idx="0">
                  <c:v>2.14</c:v>
                </c:pt>
                <c:pt idx="1">
                  <c:v>3.1500000000000004</c:v>
                </c:pt>
                <c:pt idx="2">
                  <c:v>7.74</c:v>
                </c:pt>
                <c:pt idx="3">
                  <c:v>8.5500000000000007</c:v>
                </c:pt>
                <c:pt idx="4">
                  <c:v>10.47</c:v>
                </c:pt>
                <c:pt idx="5">
                  <c:v>11.92</c:v>
                </c:pt>
                <c:pt idx="6">
                  <c:v>13.33</c:v>
                </c:pt>
                <c:pt idx="7">
                  <c:v>14.09</c:v>
                </c:pt>
                <c:pt idx="8">
                  <c:v>16.57</c:v>
                </c:pt>
                <c:pt idx="9">
                  <c:v>20.93</c:v>
                </c:pt>
                <c:pt idx="10">
                  <c:v>23.73</c:v>
                </c:pt>
                <c:pt idx="11">
                  <c:v>26.47</c:v>
                </c:pt>
                <c:pt idx="12">
                  <c:v>27.48</c:v>
                </c:pt>
                <c:pt idx="13">
                  <c:v>30.47</c:v>
                </c:pt>
                <c:pt idx="14">
                  <c:v>32.379999999999995</c:v>
                </c:pt>
                <c:pt idx="15">
                  <c:v>34.109999999999992</c:v>
                </c:pt>
                <c:pt idx="16">
                  <c:v>36.22999999999999</c:v>
                </c:pt>
                <c:pt idx="17">
                  <c:v>39.429999999999993</c:v>
                </c:pt>
                <c:pt idx="18">
                  <c:v>40.22999999999999</c:v>
                </c:pt>
                <c:pt idx="19">
                  <c:v>40.629999999999988</c:v>
                </c:pt>
                <c:pt idx="20">
                  <c:v>42.659999999999989</c:v>
                </c:pt>
                <c:pt idx="21">
                  <c:v>42.959999999999987</c:v>
                </c:pt>
                <c:pt idx="22">
                  <c:v>44.379999999999988</c:v>
                </c:pt>
                <c:pt idx="23">
                  <c:v>45.889999999999986</c:v>
                </c:pt>
                <c:pt idx="24">
                  <c:v>48.519999999999989</c:v>
                </c:pt>
                <c:pt idx="25">
                  <c:v>50.109999999999992</c:v>
                </c:pt>
                <c:pt idx="26">
                  <c:v>52.129999999999995</c:v>
                </c:pt>
                <c:pt idx="27">
                  <c:v>53.87</c:v>
                </c:pt>
                <c:pt idx="28">
                  <c:v>58.519999999999996</c:v>
                </c:pt>
                <c:pt idx="29">
                  <c:v>60.22</c:v>
                </c:pt>
                <c:pt idx="30">
                  <c:v>61.35</c:v>
                </c:pt>
                <c:pt idx="31">
                  <c:v>63.99</c:v>
                </c:pt>
                <c:pt idx="32">
                  <c:v>65.61</c:v>
                </c:pt>
                <c:pt idx="33">
                  <c:v>67.040000000000006</c:v>
                </c:pt>
                <c:pt idx="34">
                  <c:v>69.070000000000007</c:v>
                </c:pt>
                <c:pt idx="35">
                  <c:v>70.690000000000012</c:v>
                </c:pt>
                <c:pt idx="36">
                  <c:v>74.450000000000017</c:v>
                </c:pt>
                <c:pt idx="37">
                  <c:v>76.430000000000021</c:v>
                </c:pt>
                <c:pt idx="38">
                  <c:v>78.370000000000019</c:v>
                </c:pt>
                <c:pt idx="39">
                  <c:v>80.890000000000015</c:v>
                </c:pt>
                <c:pt idx="40">
                  <c:v>86.38000000000001</c:v>
                </c:pt>
                <c:pt idx="41">
                  <c:v>90.63000000000001</c:v>
                </c:pt>
                <c:pt idx="42">
                  <c:v>92.59</c:v>
                </c:pt>
                <c:pt idx="43">
                  <c:v>93.9</c:v>
                </c:pt>
                <c:pt idx="44">
                  <c:v>97.34</c:v>
                </c:pt>
                <c:pt idx="45">
                  <c:v>98.77000000000001</c:v>
                </c:pt>
                <c:pt idx="46">
                  <c:v>101.19000000000001</c:v>
                </c:pt>
                <c:pt idx="47">
                  <c:v>103.4</c:v>
                </c:pt>
                <c:pt idx="48">
                  <c:v>105.92</c:v>
                </c:pt>
                <c:pt idx="49">
                  <c:v>107.77</c:v>
                </c:pt>
                <c:pt idx="50">
                  <c:v>109.86999999999999</c:v>
                </c:pt>
                <c:pt idx="51">
                  <c:v>113.41</c:v>
                </c:pt>
                <c:pt idx="52">
                  <c:v>115.02</c:v>
                </c:pt>
                <c:pt idx="53">
                  <c:v>117.11999999999999</c:v>
                </c:pt>
                <c:pt idx="54">
                  <c:v>118.02999999999999</c:v>
                </c:pt>
                <c:pt idx="55">
                  <c:v>119.84999999999998</c:v>
                </c:pt>
                <c:pt idx="56">
                  <c:v>121.34999999999998</c:v>
                </c:pt>
                <c:pt idx="57">
                  <c:v>124.47999999999998</c:v>
                </c:pt>
                <c:pt idx="58">
                  <c:v>126.86999999999998</c:v>
                </c:pt>
                <c:pt idx="59">
                  <c:v>128.79999999999998</c:v>
                </c:pt>
                <c:pt idx="60">
                  <c:v>131.32999999999998</c:v>
                </c:pt>
                <c:pt idx="61">
                  <c:v>133.14999999999998</c:v>
                </c:pt>
                <c:pt idx="62">
                  <c:v>134.56999999999996</c:v>
                </c:pt>
                <c:pt idx="63">
                  <c:v>142.88999999999996</c:v>
                </c:pt>
                <c:pt idx="64">
                  <c:v>145.61999999999995</c:v>
                </c:pt>
                <c:pt idx="65">
                  <c:v>149.99999999999994</c:v>
                </c:pt>
                <c:pt idx="66">
                  <c:v>153.99999999999994</c:v>
                </c:pt>
                <c:pt idx="67">
                  <c:v>161.47999999999993</c:v>
                </c:pt>
                <c:pt idx="68">
                  <c:v>162.09999999999994</c:v>
                </c:pt>
                <c:pt idx="69">
                  <c:v>164.38999999999993</c:v>
                </c:pt>
                <c:pt idx="70">
                  <c:v>173.56999999999994</c:v>
                </c:pt>
                <c:pt idx="71">
                  <c:v>178.06999999999994</c:v>
                </c:pt>
                <c:pt idx="72">
                  <c:v>180.29999999999993</c:v>
                </c:pt>
                <c:pt idx="73">
                  <c:v>182.42999999999992</c:v>
                </c:pt>
                <c:pt idx="74">
                  <c:v>186.21999999999991</c:v>
                </c:pt>
                <c:pt idx="75">
                  <c:v>189.57999999999993</c:v>
                </c:pt>
                <c:pt idx="76">
                  <c:v>193.25999999999993</c:v>
                </c:pt>
                <c:pt idx="77">
                  <c:v>195.27999999999994</c:v>
                </c:pt>
                <c:pt idx="78">
                  <c:v>196.67999999999995</c:v>
                </c:pt>
                <c:pt idx="79">
                  <c:v>201.16999999999996</c:v>
                </c:pt>
                <c:pt idx="80">
                  <c:v>204.09999999999997</c:v>
                </c:pt>
                <c:pt idx="81">
                  <c:v>206.16999999999996</c:v>
                </c:pt>
                <c:pt idx="82">
                  <c:v>213.75999999999996</c:v>
                </c:pt>
                <c:pt idx="83">
                  <c:v>215.78999999999996</c:v>
                </c:pt>
                <c:pt idx="84">
                  <c:v>217.60999999999996</c:v>
                </c:pt>
                <c:pt idx="85">
                  <c:v>220.71999999999997</c:v>
                </c:pt>
                <c:pt idx="86">
                  <c:v>222.77999999999997</c:v>
                </c:pt>
                <c:pt idx="87">
                  <c:v>224.50999999999996</c:v>
                </c:pt>
                <c:pt idx="88">
                  <c:v>227.03999999999996</c:v>
                </c:pt>
                <c:pt idx="89">
                  <c:v>230.72999999999996</c:v>
                </c:pt>
                <c:pt idx="90">
                  <c:v>233.07999999999996</c:v>
                </c:pt>
                <c:pt idx="91">
                  <c:v>235.19999999999996</c:v>
                </c:pt>
                <c:pt idx="92">
                  <c:v>236.71999999999997</c:v>
                </c:pt>
                <c:pt idx="93">
                  <c:v>238.84999999999997</c:v>
                </c:pt>
                <c:pt idx="94">
                  <c:v>242.04999999999995</c:v>
                </c:pt>
                <c:pt idx="95">
                  <c:v>245.38999999999996</c:v>
                </c:pt>
                <c:pt idx="96">
                  <c:v>252.85999999999996</c:v>
                </c:pt>
                <c:pt idx="97">
                  <c:v>255.74999999999994</c:v>
                </c:pt>
                <c:pt idx="98">
                  <c:v>258.45999999999992</c:v>
                </c:pt>
                <c:pt idx="99">
                  <c:v>262.81999999999994</c:v>
                </c:pt>
                <c:pt idx="100">
                  <c:v>264.43999999999994</c:v>
                </c:pt>
                <c:pt idx="101">
                  <c:v>266.58999999999992</c:v>
                </c:pt>
                <c:pt idx="102">
                  <c:v>269.00999999999993</c:v>
                </c:pt>
                <c:pt idx="103">
                  <c:v>270.51999999999992</c:v>
                </c:pt>
                <c:pt idx="104">
                  <c:v>288.27999999999992</c:v>
                </c:pt>
                <c:pt idx="105">
                  <c:v>292.4899999999999</c:v>
                </c:pt>
                <c:pt idx="106">
                  <c:v>298.11999999999989</c:v>
                </c:pt>
                <c:pt idx="107">
                  <c:v>299.93999999999988</c:v>
                </c:pt>
                <c:pt idx="108">
                  <c:v>301.83999999999986</c:v>
                </c:pt>
                <c:pt idx="109">
                  <c:v>304.70999999999987</c:v>
                </c:pt>
                <c:pt idx="110">
                  <c:v>306.53999999999985</c:v>
                </c:pt>
                <c:pt idx="111">
                  <c:v>307.35999999999984</c:v>
                </c:pt>
                <c:pt idx="112">
                  <c:v>314.44999999999982</c:v>
                </c:pt>
                <c:pt idx="113">
                  <c:v>316.45999999999981</c:v>
                </c:pt>
                <c:pt idx="114">
                  <c:v>317.86999999999983</c:v>
                </c:pt>
                <c:pt idx="115">
                  <c:v>318.87999999999982</c:v>
                </c:pt>
                <c:pt idx="116">
                  <c:v>323.92999999999984</c:v>
                </c:pt>
                <c:pt idx="117">
                  <c:v>326.56999999999982</c:v>
                </c:pt>
                <c:pt idx="118">
                  <c:v>328.44999999999982</c:v>
                </c:pt>
                <c:pt idx="119">
                  <c:v>333.60999999999984</c:v>
                </c:pt>
                <c:pt idx="120">
                  <c:v>345.78999999999985</c:v>
                </c:pt>
                <c:pt idx="121">
                  <c:v>347.40999999999985</c:v>
                </c:pt>
                <c:pt idx="122">
                  <c:v>349.40999999999985</c:v>
                </c:pt>
                <c:pt idx="123">
                  <c:v>351.47999999999985</c:v>
                </c:pt>
                <c:pt idx="124">
                  <c:v>352.17999999999984</c:v>
                </c:pt>
                <c:pt idx="125">
                  <c:v>353.38999999999982</c:v>
                </c:pt>
                <c:pt idx="126">
                  <c:v>354.47999999999979</c:v>
                </c:pt>
                <c:pt idx="127">
                  <c:v>355.78999999999979</c:v>
                </c:pt>
                <c:pt idx="128">
                  <c:v>356.72999999999979</c:v>
                </c:pt>
                <c:pt idx="129">
                  <c:v>359.24999999999977</c:v>
                </c:pt>
                <c:pt idx="130">
                  <c:v>360.52999999999975</c:v>
                </c:pt>
                <c:pt idx="131">
                  <c:v>361.79999999999973</c:v>
                </c:pt>
                <c:pt idx="132">
                  <c:v>364.89999999999975</c:v>
                </c:pt>
                <c:pt idx="133">
                  <c:v>367.01999999999975</c:v>
                </c:pt>
                <c:pt idx="134">
                  <c:v>368.99999999999977</c:v>
                </c:pt>
                <c:pt idx="135">
                  <c:v>373.25999999999976</c:v>
                </c:pt>
                <c:pt idx="136">
                  <c:v>378.90999999999974</c:v>
                </c:pt>
                <c:pt idx="137">
                  <c:v>380.88999999999976</c:v>
                </c:pt>
                <c:pt idx="138">
                  <c:v>383.80999999999977</c:v>
                </c:pt>
                <c:pt idx="139">
                  <c:v>385.31999999999977</c:v>
                </c:pt>
                <c:pt idx="140">
                  <c:v>386.43999999999977</c:v>
                </c:pt>
                <c:pt idx="141">
                  <c:v>392.02999999999975</c:v>
                </c:pt>
                <c:pt idx="142">
                  <c:v>393.63999999999976</c:v>
                </c:pt>
                <c:pt idx="143">
                  <c:v>394.85999999999979</c:v>
                </c:pt>
                <c:pt idx="144">
                  <c:v>404.48999999999978</c:v>
                </c:pt>
                <c:pt idx="145">
                  <c:v>406.56999999999977</c:v>
                </c:pt>
                <c:pt idx="146">
                  <c:v>408.86999999999978</c:v>
                </c:pt>
                <c:pt idx="147">
                  <c:v>409.6599999999998</c:v>
                </c:pt>
                <c:pt idx="148">
                  <c:v>411.97999999999979</c:v>
                </c:pt>
                <c:pt idx="149">
                  <c:v>412.48999999999978</c:v>
                </c:pt>
                <c:pt idx="150">
                  <c:v>416.05999999999977</c:v>
                </c:pt>
                <c:pt idx="151">
                  <c:v>419.38999999999976</c:v>
                </c:pt>
                <c:pt idx="152">
                  <c:v>430.81999999999977</c:v>
                </c:pt>
                <c:pt idx="153">
                  <c:v>434.56999999999977</c:v>
                </c:pt>
                <c:pt idx="154">
                  <c:v>437.09999999999974</c:v>
                </c:pt>
                <c:pt idx="155">
                  <c:v>446.21999999999974</c:v>
                </c:pt>
                <c:pt idx="156">
                  <c:v>454.72999999999973</c:v>
                </c:pt>
                <c:pt idx="157">
                  <c:v>456.84999999999974</c:v>
                </c:pt>
                <c:pt idx="158">
                  <c:v>460.63999999999976</c:v>
                </c:pt>
                <c:pt idx="159">
                  <c:v>463.57999999999976</c:v>
                </c:pt>
                <c:pt idx="160">
                  <c:v>465.87999999999977</c:v>
                </c:pt>
                <c:pt idx="161">
                  <c:v>466.25999999999976</c:v>
                </c:pt>
                <c:pt idx="162">
                  <c:v>471.44999999999976</c:v>
                </c:pt>
                <c:pt idx="163">
                  <c:v>475.46999999999974</c:v>
                </c:pt>
                <c:pt idx="164">
                  <c:v>479.03999999999974</c:v>
                </c:pt>
                <c:pt idx="165">
                  <c:v>482.36999999999972</c:v>
                </c:pt>
                <c:pt idx="166">
                  <c:v>483.9599999999997</c:v>
                </c:pt>
                <c:pt idx="167">
                  <c:v>484.37999999999971</c:v>
                </c:pt>
                <c:pt idx="168">
                  <c:v>484.56999999999971</c:v>
                </c:pt>
                <c:pt idx="169">
                  <c:v>491.2099999999997</c:v>
                </c:pt>
                <c:pt idx="170">
                  <c:v>495.89999999999969</c:v>
                </c:pt>
                <c:pt idx="171">
                  <c:v>504.0199999999997</c:v>
                </c:pt>
                <c:pt idx="172">
                  <c:v>508.2099999999997</c:v>
                </c:pt>
                <c:pt idx="173">
                  <c:v>510.1999999999997</c:v>
                </c:pt>
                <c:pt idx="174">
                  <c:v>511.39999999999969</c:v>
                </c:pt>
                <c:pt idx="175">
                  <c:v>514.58999999999969</c:v>
                </c:pt>
                <c:pt idx="176">
                  <c:v>517.21999999999969</c:v>
                </c:pt>
                <c:pt idx="177">
                  <c:v>518.71999999999969</c:v>
                </c:pt>
                <c:pt idx="178">
                  <c:v>521.96999999999969</c:v>
                </c:pt>
                <c:pt idx="179">
                  <c:v>534.36999999999966</c:v>
                </c:pt>
                <c:pt idx="180">
                  <c:v>538.55999999999972</c:v>
                </c:pt>
                <c:pt idx="181">
                  <c:v>539.75999999999976</c:v>
                </c:pt>
                <c:pt idx="182">
                  <c:v>540.64999999999975</c:v>
                </c:pt>
                <c:pt idx="183">
                  <c:v>541.40999999999974</c:v>
                </c:pt>
                <c:pt idx="184">
                  <c:v>541.98999999999978</c:v>
                </c:pt>
                <c:pt idx="185">
                  <c:v>552.48999999999978</c:v>
                </c:pt>
                <c:pt idx="186">
                  <c:v>558.80999999999983</c:v>
                </c:pt>
                <c:pt idx="187">
                  <c:v>562.57999999999981</c:v>
                </c:pt>
                <c:pt idx="188">
                  <c:v>565.97999999999979</c:v>
                </c:pt>
                <c:pt idx="189">
                  <c:v>566.97999999999979</c:v>
                </c:pt>
                <c:pt idx="190">
                  <c:v>567.5899999999998</c:v>
                </c:pt>
                <c:pt idx="191">
                  <c:v>570.76999999999975</c:v>
                </c:pt>
                <c:pt idx="192">
                  <c:v>572.29999999999973</c:v>
                </c:pt>
                <c:pt idx="193">
                  <c:v>573.11999999999978</c:v>
                </c:pt>
                <c:pt idx="194">
                  <c:v>573.72999999999979</c:v>
                </c:pt>
                <c:pt idx="195">
                  <c:v>585.91999999999985</c:v>
                </c:pt>
                <c:pt idx="196">
                  <c:v>592.42999999999984</c:v>
                </c:pt>
                <c:pt idx="197">
                  <c:v>594.89999999999986</c:v>
                </c:pt>
                <c:pt idx="198">
                  <c:v>597.09999999999991</c:v>
                </c:pt>
                <c:pt idx="199">
                  <c:v>598.51999999999987</c:v>
                </c:pt>
                <c:pt idx="200">
                  <c:v>601.14999999999986</c:v>
                </c:pt>
                <c:pt idx="201">
                  <c:v>602.81999999999982</c:v>
                </c:pt>
                <c:pt idx="202">
                  <c:v>603.62999999999977</c:v>
                </c:pt>
                <c:pt idx="203">
                  <c:v>615.30999999999972</c:v>
                </c:pt>
                <c:pt idx="204">
                  <c:v>621.50999999999976</c:v>
                </c:pt>
                <c:pt idx="205">
                  <c:v>624.19999999999982</c:v>
                </c:pt>
                <c:pt idx="206">
                  <c:v>625.79999999999984</c:v>
                </c:pt>
                <c:pt idx="207">
                  <c:v>634.89999999999986</c:v>
                </c:pt>
                <c:pt idx="208">
                  <c:v>642.4799999999999</c:v>
                </c:pt>
                <c:pt idx="209">
                  <c:v>647.32999999999993</c:v>
                </c:pt>
                <c:pt idx="210">
                  <c:v>648.53</c:v>
                </c:pt>
                <c:pt idx="211">
                  <c:v>650.33999999999992</c:v>
                </c:pt>
                <c:pt idx="212">
                  <c:v>652.1099999999999</c:v>
                </c:pt>
                <c:pt idx="213">
                  <c:v>659.88999999999987</c:v>
                </c:pt>
                <c:pt idx="214">
                  <c:v>660.28999999999985</c:v>
                </c:pt>
                <c:pt idx="215">
                  <c:v>663.14999999999986</c:v>
                </c:pt>
                <c:pt idx="216">
                  <c:v>681.2299999999999</c:v>
                </c:pt>
                <c:pt idx="217">
                  <c:v>693.71999999999991</c:v>
                </c:pt>
                <c:pt idx="218">
                  <c:v>702.09999999999991</c:v>
                </c:pt>
                <c:pt idx="219">
                  <c:v>710.18</c:v>
                </c:pt>
                <c:pt idx="220">
                  <c:v>717.27</c:v>
                </c:pt>
                <c:pt idx="221">
                  <c:v>719.4</c:v>
                </c:pt>
                <c:pt idx="222">
                  <c:v>720.61</c:v>
                </c:pt>
                <c:pt idx="223">
                  <c:v>734.91</c:v>
                </c:pt>
                <c:pt idx="224">
                  <c:v>738.24</c:v>
                </c:pt>
                <c:pt idx="225">
                  <c:v>750.62</c:v>
                </c:pt>
                <c:pt idx="226">
                  <c:v>753.78</c:v>
                </c:pt>
                <c:pt idx="227">
                  <c:v>754.55</c:v>
                </c:pt>
                <c:pt idx="228">
                  <c:v>765.95999999999992</c:v>
                </c:pt>
                <c:pt idx="229">
                  <c:v>772.55</c:v>
                </c:pt>
                <c:pt idx="230">
                  <c:v>774.59999999999991</c:v>
                </c:pt>
                <c:pt idx="231">
                  <c:v>783.81</c:v>
                </c:pt>
                <c:pt idx="232">
                  <c:v>785.29</c:v>
                </c:pt>
                <c:pt idx="233">
                  <c:v>797.77</c:v>
                </c:pt>
                <c:pt idx="234">
                  <c:v>799.8</c:v>
                </c:pt>
                <c:pt idx="235">
                  <c:v>801.18</c:v>
                </c:pt>
                <c:pt idx="236">
                  <c:v>812.37</c:v>
                </c:pt>
                <c:pt idx="237">
                  <c:v>814.6</c:v>
                </c:pt>
                <c:pt idx="238">
                  <c:v>827.58</c:v>
                </c:pt>
                <c:pt idx="239">
                  <c:v>829.97</c:v>
                </c:pt>
                <c:pt idx="240">
                  <c:v>838.85</c:v>
                </c:pt>
                <c:pt idx="241">
                  <c:v>846.13</c:v>
                </c:pt>
                <c:pt idx="242">
                  <c:v>852.98</c:v>
                </c:pt>
                <c:pt idx="243">
                  <c:v>864.16</c:v>
                </c:pt>
                <c:pt idx="244">
                  <c:v>874.35</c:v>
                </c:pt>
                <c:pt idx="245">
                  <c:v>886.9</c:v>
                </c:pt>
                <c:pt idx="246">
                  <c:v>893.6</c:v>
                </c:pt>
                <c:pt idx="247">
                  <c:v>901.97</c:v>
                </c:pt>
                <c:pt idx="248">
                  <c:v>902.51</c:v>
                </c:pt>
                <c:pt idx="249">
                  <c:v>914.4</c:v>
                </c:pt>
                <c:pt idx="250">
                  <c:v>922.29</c:v>
                </c:pt>
                <c:pt idx="251">
                  <c:v>925.68999999999994</c:v>
                </c:pt>
                <c:pt idx="252">
                  <c:v>927.61999999999989</c:v>
                </c:pt>
                <c:pt idx="253">
                  <c:v>940.69999999999993</c:v>
                </c:pt>
                <c:pt idx="254">
                  <c:v>948.99999999999989</c:v>
                </c:pt>
                <c:pt idx="255">
                  <c:v>957.20999999999992</c:v>
                </c:pt>
                <c:pt idx="256">
                  <c:v>958.91</c:v>
                </c:pt>
                <c:pt idx="257">
                  <c:v>960.43</c:v>
                </c:pt>
                <c:pt idx="258">
                  <c:v>962.75</c:v>
                </c:pt>
                <c:pt idx="259">
                  <c:v>969.84</c:v>
                </c:pt>
                <c:pt idx="260">
                  <c:v>979.64</c:v>
                </c:pt>
                <c:pt idx="261">
                  <c:v>985.24</c:v>
                </c:pt>
                <c:pt idx="262">
                  <c:v>988.26</c:v>
                </c:pt>
                <c:pt idx="263">
                  <c:v>990.59</c:v>
                </c:pt>
                <c:pt idx="264">
                  <c:v>995.19</c:v>
                </c:pt>
                <c:pt idx="265">
                  <c:v>999.29000000000008</c:v>
                </c:pt>
                <c:pt idx="266">
                  <c:v>999.99000000000012</c:v>
                </c:pt>
                <c:pt idx="267">
                  <c:v>1002.4800000000001</c:v>
                </c:pt>
                <c:pt idx="268">
                  <c:v>1005.7200000000001</c:v>
                </c:pt>
                <c:pt idx="269">
                  <c:v>1008.4300000000002</c:v>
                </c:pt>
                <c:pt idx="270">
                  <c:v>1011.1400000000002</c:v>
                </c:pt>
                <c:pt idx="271">
                  <c:v>1013.8200000000002</c:v>
                </c:pt>
                <c:pt idx="272">
                  <c:v>1016.4500000000002</c:v>
                </c:pt>
                <c:pt idx="273">
                  <c:v>1020.5000000000001</c:v>
                </c:pt>
                <c:pt idx="274">
                  <c:v>1022.5000000000001</c:v>
                </c:pt>
                <c:pt idx="275">
                  <c:v>1023.6100000000001</c:v>
                </c:pt>
                <c:pt idx="276">
                  <c:v>1034.68</c:v>
                </c:pt>
                <c:pt idx="277">
                  <c:v>1037.9000000000001</c:v>
                </c:pt>
                <c:pt idx="278">
                  <c:v>1041.0900000000001</c:v>
                </c:pt>
                <c:pt idx="279">
                  <c:v>1043.5800000000002</c:v>
                </c:pt>
                <c:pt idx="280">
                  <c:v>1044.9100000000001</c:v>
                </c:pt>
                <c:pt idx="281">
                  <c:v>1045.68</c:v>
                </c:pt>
                <c:pt idx="282">
                  <c:v>1056.9100000000001</c:v>
                </c:pt>
                <c:pt idx="283">
                  <c:v>1061.01</c:v>
                </c:pt>
                <c:pt idx="284">
                  <c:v>1062.4100000000001</c:v>
                </c:pt>
                <c:pt idx="285">
                  <c:v>1063.69</c:v>
                </c:pt>
                <c:pt idx="286">
                  <c:v>1072.3900000000001</c:v>
                </c:pt>
                <c:pt idx="287">
                  <c:v>1080.7800000000002</c:v>
                </c:pt>
                <c:pt idx="288">
                  <c:v>1083.9400000000003</c:v>
                </c:pt>
                <c:pt idx="289">
                  <c:v>1084.6200000000003</c:v>
                </c:pt>
                <c:pt idx="290">
                  <c:v>1090.9100000000003</c:v>
                </c:pt>
                <c:pt idx="291">
                  <c:v>1103.4100000000003</c:v>
                </c:pt>
                <c:pt idx="292">
                  <c:v>1111.5100000000002</c:v>
                </c:pt>
                <c:pt idx="293">
                  <c:v>1112.1400000000003</c:v>
                </c:pt>
                <c:pt idx="294">
                  <c:v>1114.1200000000003</c:v>
                </c:pt>
                <c:pt idx="295">
                  <c:v>1123.2300000000002</c:v>
                </c:pt>
                <c:pt idx="296">
                  <c:v>1126.4400000000003</c:v>
                </c:pt>
                <c:pt idx="297">
                  <c:v>1127.5100000000002</c:v>
                </c:pt>
                <c:pt idx="298">
                  <c:v>1136.7200000000003</c:v>
                </c:pt>
                <c:pt idx="299">
                  <c:v>1142.9000000000003</c:v>
                </c:pt>
                <c:pt idx="300">
                  <c:v>1145.2000000000003</c:v>
                </c:pt>
                <c:pt idx="301">
                  <c:v>1153.1000000000004</c:v>
                </c:pt>
                <c:pt idx="302">
                  <c:v>1155.4000000000003</c:v>
                </c:pt>
                <c:pt idx="303">
                  <c:v>1162.6800000000003</c:v>
                </c:pt>
                <c:pt idx="304">
                  <c:v>1163.8500000000004</c:v>
                </c:pt>
                <c:pt idx="305">
                  <c:v>1175.1500000000003</c:v>
                </c:pt>
                <c:pt idx="306">
                  <c:v>1175.9700000000003</c:v>
                </c:pt>
                <c:pt idx="307">
                  <c:v>1178.1400000000003</c:v>
                </c:pt>
                <c:pt idx="308">
                  <c:v>1190.3700000000003</c:v>
                </c:pt>
                <c:pt idx="309">
                  <c:v>1194.7000000000003</c:v>
                </c:pt>
                <c:pt idx="310">
                  <c:v>1203.9800000000002</c:v>
                </c:pt>
                <c:pt idx="311">
                  <c:v>1205.4900000000002</c:v>
                </c:pt>
                <c:pt idx="312">
                  <c:v>1207.5200000000002</c:v>
                </c:pt>
                <c:pt idx="313">
                  <c:v>1211.2200000000003</c:v>
                </c:pt>
                <c:pt idx="314">
                  <c:v>1221.3900000000003</c:v>
                </c:pt>
                <c:pt idx="315">
                  <c:v>1233.9200000000003</c:v>
                </c:pt>
                <c:pt idx="316">
                  <c:v>1237.4100000000003</c:v>
                </c:pt>
                <c:pt idx="317">
                  <c:v>1248.4900000000002</c:v>
                </c:pt>
                <c:pt idx="318">
                  <c:v>1251.6300000000003</c:v>
                </c:pt>
                <c:pt idx="319">
                  <c:v>1253.2300000000002</c:v>
                </c:pt>
                <c:pt idx="320">
                  <c:v>1259.7600000000002</c:v>
                </c:pt>
                <c:pt idx="321">
                  <c:v>1261.7400000000002</c:v>
                </c:pt>
                <c:pt idx="322">
                  <c:v>1268.7300000000002</c:v>
                </c:pt>
                <c:pt idx="323">
                  <c:v>1270.8900000000003</c:v>
                </c:pt>
                <c:pt idx="324">
                  <c:v>1273.3000000000004</c:v>
                </c:pt>
                <c:pt idx="325">
                  <c:v>1275.0900000000004</c:v>
                </c:pt>
                <c:pt idx="326">
                  <c:v>1279.2400000000005</c:v>
                </c:pt>
                <c:pt idx="327">
                  <c:v>1288.5300000000004</c:v>
                </c:pt>
                <c:pt idx="328">
                  <c:v>1290.6200000000003</c:v>
                </c:pt>
                <c:pt idx="329">
                  <c:v>1291.0700000000004</c:v>
                </c:pt>
                <c:pt idx="330">
                  <c:v>1296.7700000000004</c:v>
                </c:pt>
                <c:pt idx="331">
                  <c:v>1306.9000000000005</c:v>
                </c:pt>
                <c:pt idx="332">
                  <c:v>1310.8500000000006</c:v>
                </c:pt>
                <c:pt idx="333">
                  <c:v>1317.0300000000007</c:v>
                </c:pt>
                <c:pt idx="334">
                  <c:v>1318.9200000000008</c:v>
                </c:pt>
                <c:pt idx="335">
                  <c:v>1323.0200000000007</c:v>
                </c:pt>
                <c:pt idx="336">
                  <c:v>1325.9000000000008</c:v>
                </c:pt>
                <c:pt idx="337">
                  <c:v>1328.3100000000009</c:v>
                </c:pt>
                <c:pt idx="338">
                  <c:v>1336.2600000000009</c:v>
                </c:pt>
                <c:pt idx="339">
                  <c:v>1338.7400000000009</c:v>
                </c:pt>
                <c:pt idx="340">
                  <c:v>1339.630000000001</c:v>
                </c:pt>
                <c:pt idx="341">
                  <c:v>1340.4900000000009</c:v>
                </c:pt>
                <c:pt idx="342">
                  <c:v>1341.690000000001</c:v>
                </c:pt>
                <c:pt idx="343">
                  <c:v>1353.180000000001</c:v>
                </c:pt>
                <c:pt idx="344">
                  <c:v>1356.180000000001</c:v>
                </c:pt>
                <c:pt idx="345">
                  <c:v>1358.670000000001</c:v>
                </c:pt>
                <c:pt idx="346">
                  <c:v>1360.5100000000009</c:v>
                </c:pt>
                <c:pt idx="347">
                  <c:v>1361.5000000000009</c:v>
                </c:pt>
                <c:pt idx="348">
                  <c:v>1371.4600000000009</c:v>
                </c:pt>
                <c:pt idx="349">
                  <c:v>1377.0500000000009</c:v>
                </c:pt>
                <c:pt idx="350">
                  <c:v>1381.1000000000008</c:v>
                </c:pt>
                <c:pt idx="351">
                  <c:v>1383.8700000000008</c:v>
                </c:pt>
                <c:pt idx="352">
                  <c:v>1385.9700000000007</c:v>
                </c:pt>
                <c:pt idx="353">
                  <c:v>1393.7500000000007</c:v>
                </c:pt>
                <c:pt idx="354">
                  <c:v>1397.1100000000006</c:v>
                </c:pt>
                <c:pt idx="355">
                  <c:v>1398.7000000000005</c:v>
                </c:pt>
                <c:pt idx="356">
                  <c:v>1401.1000000000006</c:v>
                </c:pt>
                <c:pt idx="357">
                  <c:v>1401.8100000000006</c:v>
                </c:pt>
                <c:pt idx="358">
                  <c:v>1407.2600000000007</c:v>
                </c:pt>
                <c:pt idx="359">
                  <c:v>1407.3600000000006</c:v>
                </c:pt>
                <c:pt idx="360">
                  <c:v>1411.8100000000006</c:v>
                </c:pt>
                <c:pt idx="361">
                  <c:v>1412.4000000000005</c:v>
                </c:pt>
                <c:pt idx="362">
                  <c:v>1418.9500000000005</c:v>
                </c:pt>
                <c:pt idx="363">
                  <c:v>1420.9000000000005</c:v>
                </c:pt>
                <c:pt idx="364">
                  <c:v>1423.5600000000006</c:v>
                </c:pt>
                <c:pt idx="365">
                  <c:v>1425.6400000000006</c:v>
                </c:pt>
                <c:pt idx="366">
                  <c:v>1428.3700000000006</c:v>
                </c:pt>
                <c:pt idx="367">
                  <c:v>1433.6100000000006</c:v>
                </c:pt>
                <c:pt idx="368">
                  <c:v>1444.5700000000006</c:v>
                </c:pt>
                <c:pt idx="369">
                  <c:v>1446.2600000000007</c:v>
                </c:pt>
                <c:pt idx="370">
                  <c:v>1447.1600000000008</c:v>
                </c:pt>
                <c:pt idx="371">
                  <c:v>1448.6700000000008</c:v>
                </c:pt>
                <c:pt idx="372">
                  <c:v>1449.5800000000008</c:v>
                </c:pt>
                <c:pt idx="373">
                  <c:v>1456.0500000000009</c:v>
                </c:pt>
                <c:pt idx="374">
                  <c:v>1462.3500000000008</c:v>
                </c:pt>
                <c:pt idx="375">
                  <c:v>1464.5400000000009</c:v>
                </c:pt>
                <c:pt idx="376">
                  <c:v>1469.930000000001</c:v>
                </c:pt>
                <c:pt idx="377">
                  <c:v>1473.200000000001</c:v>
                </c:pt>
                <c:pt idx="378">
                  <c:v>1477.4600000000009</c:v>
                </c:pt>
                <c:pt idx="379">
                  <c:v>1480.4700000000009</c:v>
                </c:pt>
                <c:pt idx="380">
                  <c:v>1488.5400000000009</c:v>
                </c:pt>
                <c:pt idx="381">
                  <c:v>1491.4000000000008</c:v>
                </c:pt>
                <c:pt idx="382">
                  <c:v>1498.7300000000007</c:v>
                </c:pt>
                <c:pt idx="383">
                  <c:v>1501.1600000000008</c:v>
                </c:pt>
                <c:pt idx="384">
                  <c:v>1506.5100000000007</c:v>
                </c:pt>
                <c:pt idx="385">
                  <c:v>1510.5300000000007</c:v>
                </c:pt>
                <c:pt idx="386">
                  <c:v>1511.5500000000006</c:v>
                </c:pt>
                <c:pt idx="387">
                  <c:v>1512.4100000000005</c:v>
                </c:pt>
                <c:pt idx="388">
                  <c:v>1520.9500000000005</c:v>
                </c:pt>
                <c:pt idx="389">
                  <c:v>1524.6900000000005</c:v>
                </c:pt>
                <c:pt idx="390">
                  <c:v>1528.4200000000005</c:v>
                </c:pt>
                <c:pt idx="391">
                  <c:v>1530.4500000000005</c:v>
                </c:pt>
                <c:pt idx="392">
                  <c:v>1530.8600000000006</c:v>
                </c:pt>
                <c:pt idx="393">
                  <c:v>1541.1000000000006</c:v>
                </c:pt>
                <c:pt idx="394">
                  <c:v>1546.2200000000005</c:v>
                </c:pt>
                <c:pt idx="395">
                  <c:v>1548.7500000000005</c:v>
                </c:pt>
                <c:pt idx="396">
                  <c:v>1550.6700000000005</c:v>
                </c:pt>
                <c:pt idx="397">
                  <c:v>1551.2800000000004</c:v>
                </c:pt>
                <c:pt idx="398">
                  <c:v>1551.6700000000005</c:v>
                </c:pt>
                <c:pt idx="399">
                  <c:v>1559.4300000000005</c:v>
                </c:pt>
                <c:pt idx="400">
                  <c:v>1565.4900000000005</c:v>
                </c:pt>
                <c:pt idx="401">
                  <c:v>1570.9100000000005</c:v>
                </c:pt>
                <c:pt idx="402">
                  <c:v>1578.8900000000006</c:v>
                </c:pt>
                <c:pt idx="403">
                  <c:v>1584.4900000000005</c:v>
                </c:pt>
                <c:pt idx="404">
                  <c:v>1584.6800000000005</c:v>
                </c:pt>
                <c:pt idx="405">
                  <c:v>1587.2800000000004</c:v>
                </c:pt>
                <c:pt idx="406">
                  <c:v>1588.1700000000005</c:v>
                </c:pt>
                <c:pt idx="407">
                  <c:v>1595.7500000000005</c:v>
                </c:pt>
                <c:pt idx="408">
                  <c:v>1602.0200000000004</c:v>
                </c:pt>
                <c:pt idx="409">
                  <c:v>1604.9400000000005</c:v>
                </c:pt>
                <c:pt idx="410">
                  <c:v>1606.2600000000004</c:v>
                </c:pt>
                <c:pt idx="411">
                  <c:v>1619.6800000000005</c:v>
                </c:pt>
                <c:pt idx="412">
                  <c:v>1628.5700000000006</c:v>
                </c:pt>
                <c:pt idx="413">
                  <c:v>1630.2900000000006</c:v>
                </c:pt>
                <c:pt idx="414">
                  <c:v>1635.4300000000007</c:v>
                </c:pt>
                <c:pt idx="415">
                  <c:v>1639.6400000000008</c:v>
                </c:pt>
                <c:pt idx="416">
                  <c:v>1641.7100000000007</c:v>
                </c:pt>
                <c:pt idx="417">
                  <c:v>1642.9400000000007</c:v>
                </c:pt>
                <c:pt idx="418">
                  <c:v>1657.4800000000007</c:v>
                </c:pt>
                <c:pt idx="419">
                  <c:v>1666.1400000000008</c:v>
                </c:pt>
                <c:pt idx="420">
                  <c:v>1673.3000000000009</c:v>
                </c:pt>
                <c:pt idx="421">
                  <c:v>1677.200000000001</c:v>
                </c:pt>
                <c:pt idx="422">
                  <c:v>1677.7200000000009</c:v>
                </c:pt>
                <c:pt idx="423">
                  <c:v>1682.8000000000009</c:v>
                </c:pt>
                <c:pt idx="424">
                  <c:v>1685.8900000000008</c:v>
                </c:pt>
                <c:pt idx="425">
                  <c:v>1687.6100000000008</c:v>
                </c:pt>
                <c:pt idx="426">
                  <c:v>1694.1200000000008</c:v>
                </c:pt>
                <c:pt idx="427">
                  <c:v>1696.5600000000009</c:v>
                </c:pt>
                <c:pt idx="428">
                  <c:v>1698.1500000000008</c:v>
                </c:pt>
                <c:pt idx="429">
                  <c:v>1699.7000000000007</c:v>
                </c:pt>
                <c:pt idx="430">
                  <c:v>1718.0700000000006</c:v>
                </c:pt>
                <c:pt idx="431">
                  <c:v>1730.6200000000006</c:v>
                </c:pt>
                <c:pt idx="432">
                  <c:v>1742.9400000000005</c:v>
                </c:pt>
                <c:pt idx="433">
                  <c:v>1746.4100000000005</c:v>
                </c:pt>
                <c:pt idx="434">
                  <c:v>1748.4900000000005</c:v>
                </c:pt>
                <c:pt idx="435">
                  <c:v>1757.0900000000004</c:v>
                </c:pt>
                <c:pt idx="436">
                  <c:v>1761.5200000000004</c:v>
                </c:pt>
                <c:pt idx="437">
                  <c:v>1763.4200000000005</c:v>
                </c:pt>
                <c:pt idx="438">
                  <c:v>1764.6200000000006</c:v>
                </c:pt>
                <c:pt idx="439">
                  <c:v>1765.5400000000006</c:v>
                </c:pt>
                <c:pt idx="440">
                  <c:v>1771.1500000000005</c:v>
                </c:pt>
                <c:pt idx="441">
                  <c:v>1775.3800000000006</c:v>
                </c:pt>
                <c:pt idx="442">
                  <c:v>1778.5500000000006</c:v>
                </c:pt>
                <c:pt idx="443">
                  <c:v>1781.1700000000005</c:v>
                </c:pt>
                <c:pt idx="444">
                  <c:v>1782.0800000000006</c:v>
                </c:pt>
                <c:pt idx="445">
                  <c:v>1799.1400000000006</c:v>
                </c:pt>
                <c:pt idx="446">
                  <c:v>1809.4500000000005</c:v>
                </c:pt>
                <c:pt idx="447">
                  <c:v>1815.7900000000004</c:v>
                </c:pt>
                <c:pt idx="448">
                  <c:v>1821.7700000000004</c:v>
                </c:pt>
                <c:pt idx="449">
                  <c:v>1826.8200000000004</c:v>
                </c:pt>
                <c:pt idx="450">
                  <c:v>1831.8100000000004</c:v>
                </c:pt>
                <c:pt idx="451">
                  <c:v>1835.2700000000004</c:v>
                </c:pt>
                <c:pt idx="452">
                  <c:v>1846.4000000000005</c:v>
                </c:pt>
                <c:pt idx="453">
                  <c:v>1855.4100000000005</c:v>
                </c:pt>
                <c:pt idx="454">
                  <c:v>1861.0200000000004</c:v>
                </c:pt>
                <c:pt idx="455">
                  <c:v>1863.8400000000004</c:v>
                </c:pt>
                <c:pt idx="456">
                  <c:v>1866.2700000000004</c:v>
                </c:pt>
                <c:pt idx="457">
                  <c:v>1873.3400000000004</c:v>
                </c:pt>
                <c:pt idx="458">
                  <c:v>1877.9500000000003</c:v>
                </c:pt>
                <c:pt idx="459">
                  <c:v>1881.0900000000004</c:v>
                </c:pt>
                <c:pt idx="460">
                  <c:v>1884.1700000000003</c:v>
                </c:pt>
                <c:pt idx="461">
                  <c:v>1886.9000000000003</c:v>
                </c:pt>
                <c:pt idx="462">
                  <c:v>1888.0100000000002</c:v>
                </c:pt>
                <c:pt idx="463">
                  <c:v>1888.8200000000002</c:v>
                </c:pt>
                <c:pt idx="464">
                  <c:v>1889.43</c:v>
                </c:pt>
                <c:pt idx="465">
                  <c:v>1890.03</c:v>
                </c:pt>
                <c:pt idx="466">
                  <c:v>1890.23</c:v>
                </c:pt>
                <c:pt idx="467">
                  <c:v>1897.3</c:v>
                </c:pt>
                <c:pt idx="468">
                  <c:v>1903.1699999999998</c:v>
                </c:pt>
                <c:pt idx="469">
                  <c:v>1907.1299999999999</c:v>
                </c:pt>
                <c:pt idx="470">
                  <c:v>1910.4099999999999</c:v>
                </c:pt>
                <c:pt idx="471">
                  <c:v>1913.62</c:v>
                </c:pt>
                <c:pt idx="472">
                  <c:v>1916.35</c:v>
                </c:pt>
                <c:pt idx="473">
                  <c:v>1918.87</c:v>
                </c:pt>
                <c:pt idx="474">
                  <c:v>1921.12</c:v>
                </c:pt>
                <c:pt idx="475">
                  <c:v>1923.1</c:v>
                </c:pt>
                <c:pt idx="476">
                  <c:v>1931.53</c:v>
                </c:pt>
                <c:pt idx="477">
                  <c:v>1933.79</c:v>
                </c:pt>
                <c:pt idx="478">
                  <c:v>2006.93</c:v>
                </c:pt>
                <c:pt idx="479">
                  <c:v>2012.39</c:v>
                </c:pt>
                <c:pt idx="480">
                  <c:v>2016.5800000000002</c:v>
                </c:pt>
                <c:pt idx="481">
                  <c:v>2019.2</c:v>
                </c:pt>
                <c:pt idx="482">
                  <c:v>2021.5</c:v>
                </c:pt>
                <c:pt idx="483">
                  <c:v>2023.77</c:v>
                </c:pt>
                <c:pt idx="484">
                  <c:v>2025.77</c:v>
                </c:pt>
                <c:pt idx="485">
                  <c:v>2026.98</c:v>
                </c:pt>
                <c:pt idx="486">
                  <c:v>2028.17</c:v>
                </c:pt>
                <c:pt idx="487">
                  <c:v>2044.04</c:v>
                </c:pt>
                <c:pt idx="488">
                  <c:v>2050.77</c:v>
                </c:pt>
                <c:pt idx="489">
                  <c:v>2053.06</c:v>
                </c:pt>
                <c:pt idx="490">
                  <c:v>2056.29</c:v>
                </c:pt>
                <c:pt idx="491">
                  <c:v>2059.3000000000002</c:v>
                </c:pt>
                <c:pt idx="492">
                  <c:v>2061.1200000000003</c:v>
                </c:pt>
                <c:pt idx="493">
                  <c:v>2062.7200000000003</c:v>
                </c:pt>
                <c:pt idx="494">
                  <c:v>2064.1600000000003</c:v>
                </c:pt>
                <c:pt idx="495">
                  <c:v>2065.59</c:v>
                </c:pt>
                <c:pt idx="496">
                  <c:v>2066.7600000000002</c:v>
                </c:pt>
                <c:pt idx="497">
                  <c:v>2067.8500000000004</c:v>
                </c:pt>
                <c:pt idx="498">
                  <c:v>2068.7500000000005</c:v>
                </c:pt>
                <c:pt idx="499">
                  <c:v>2069.0700000000006</c:v>
                </c:pt>
                <c:pt idx="500">
                  <c:v>2081.6500000000005</c:v>
                </c:pt>
                <c:pt idx="501">
                  <c:v>2088.7500000000005</c:v>
                </c:pt>
                <c:pt idx="502">
                  <c:v>2089.5900000000006</c:v>
                </c:pt>
                <c:pt idx="503">
                  <c:v>2090.2000000000007</c:v>
                </c:pt>
                <c:pt idx="504">
                  <c:v>2099.4900000000007</c:v>
                </c:pt>
                <c:pt idx="505">
                  <c:v>2107.8700000000008</c:v>
                </c:pt>
                <c:pt idx="506">
                  <c:v>2114.7700000000009</c:v>
                </c:pt>
                <c:pt idx="507">
                  <c:v>2120.8300000000008</c:v>
                </c:pt>
                <c:pt idx="508">
                  <c:v>2125.5900000000011</c:v>
                </c:pt>
                <c:pt idx="509">
                  <c:v>2128.1200000000013</c:v>
                </c:pt>
                <c:pt idx="510">
                  <c:v>2130.0200000000013</c:v>
                </c:pt>
                <c:pt idx="511">
                  <c:v>2131.1300000000015</c:v>
                </c:pt>
                <c:pt idx="512">
                  <c:v>2139.0900000000015</c:v>
                </c:pt>
                <c:pt idx="513">
                  <c:v>2145.6500000000015</c:v>
                </c:pt>
                <c:pt idx="514">
                  <c:v>2150.2900000000013</c:v>
                </c:pt>
                <c:pt idx="515">
                  <c:v>2153.3800000000015</c:v>
                </c:pt>
                <c:pt idx="516">
                  <c:v>2156.4200000000014</c:v>
                </c:pt>
                <c:pt idx="517">
                  <c:v>2158.7300000000014</c:v>
                </c:pt>
                <c:pt idx="518">
                  <c:v>2161.0400000000013</c:v>
                </c:pt>
                <c:pt idx="519">
                  <c:v>2163.1500000000015</c:v>
                </c:pt>
                <c:pt idx="520">
                  <c:v>2169.9000000000015</c:v>
                </c:pt>
                <c:pt idx="521">
                  <c:v>2176.0700000000015</c:v>
                </c:pt>
                <c:pt idx="522">
                  <c:v>2180.7200000000016</c:v>
                </c:pt>
                <c:pt idx="523">
                  <c:v>2185.3500000000017</c:v>
                </c:pt>
                <c:pt idx="524">
                  <c:v>2189.3400000000015</c:v>
                </c:pt>
                <c:pt idx="525">
                  <c:v>2193.1600000000017</c:v>
                </c:pt>
                <c:pt idx="526">
                  <c:v>2204.5500000000015</c:v>
                </c:pt>
                <c:pt idx="527">
                  <c:v>2215.7500000000014</c:v>
                </c:pt>
                <c:pt idx="528">
                  <c:v>2224.9100000000012</c:v>
                </c:pt>
                <c:pt idx="529">
                  <c:v>2232.2800000000011</c:v>
                </c:pt>
                <c:pt idx="530">
                  <c:v>2236.400000000001</c:v>
                </c:pt>
                <c:pt idx="531">
                  <c:v>2239.6600000000012</c:v>
                </c:pt>
                <c:pt idx="532">
                  <c:v>2242.4500000000012</c:v>
                </c:pt>
                <c:pt idx="533">
                  <c:v>2243.7500000000014</c:v>
                </c:pt>
                <c:pt idx="534">
                  <c:v>2244.4000000000015</c:v>
                </c:pt>
                <c:pt idx="535">
                  <c:v>2249.4400000000014</c:v>
                </c:pt>
                <c:pt idx="536">
                  <c:v>2251.3300000000013</c:v>
                </c:pt>
                <c:pt idx="537">
                  <c:v>2252.5700000000011</c:v>
                </c:pt>
                <c:pt idx="538">
                  <c:v>2270.690000000001</c:v>
                </c:pt>
                <c:pt idx="539">
                  <c:v>2283.8000000000011</c:v>
                </c:pt>
                <c:pt idx="540">
                  <c:v>2294.6600000000012</c:v>
                </c:pt>
                <c:pt idx="541">
                  <c:v>2303.9500000000012</c:v>
                </c:pt>
                <c:pt idx="542">
                  <c:v>2313.150000000001</c:v>
                </c:pt>
                <c:pt idx="543">
                  <c:v>2317.9500000000012</c:v>
                </c:pt>
                <c:pt idx="544">
                  <c:v>2322.2900000000013</c:v>
                </c:pt>
                <c:pt idx="545">
                  <c:v>2326.1600000000012</c:v>
                </c:pt>
                <c:pt idx="546">
                  <c:v>2329.7200000000012</c:v>
                </c:pt>
                <c:pt idx="547">
                  <c:v>2331.9600000000009</c:v>
                </c:pt>
                <c:pt idx="548">
                  <c:v>2333.7000000000007</c:v>
                </c:pt>
                <c:pt idx="549">
                  <c:v>2335.1100000000006</c:v>
                </c:pt>
                <c:pt idx="550">
                  <c:v>2336.3100000000004</c:v>
                </c:pt>
                <c:pt idx="551">
                  <c:v>2352.5800000000004</c:v>
                </c:pt>
                <c:pt idx="552">
                  <c:v>2361.5900000000006</c:v>
                </c:pt>
                <c:pt idx="553">
                  <c:v>2370.1000000000008</c:v>
                </c:pt>
                <c:pt idx="554">
                  <c:v>2377.7900000000009</c:v>
                </c:pt>
                <c:pt idx="555">
                  <c:v>2384.170000000001</c:v>
                </c:pt>
                <c:pt idx="556">
                  <c:v>2390.0600000000009</c:v>
                </c:pt>
                <c:pt idx="557">
                  <c:v>2394.0400000000009</c:v>
                </c:pt>
                <c:pt idx="558">
                  <c:v>2397.4900000000007</c:v>
                </c:pt>
                <c:pt idx="559">
                  <c:v>2400.7100000000005</c:v>
                </c:pt>
                <c:pt idx="560">
                  <c:v>2403.7900000000004</c:v>
                </c:pt>
                <c:pt idx="561">
                  <c:v>2405.8700000000003</c:v>
                </c:pt>
                <c:pt idx="562">
                  <c:v>2425.9900000000002</c:v>
                </c:pt>
                <c:pt idx="563">
                  <c:v>2436.6000000000004</c:v>
                </c:pt>
                <c:pt idx="564">
                  <c:v>2443.4000000000005</c:v>
                </c:pt>
                <c:pt idx="565">
                  <c:v>2448.9100000000008</c:v>
                </c:pt>
                <c:pt idx="566">
                  <c:v>2454.0700000000006</c:v>
                </c:pt>
                <c:pt idx="567">
                  <c:v>2458.9700000000007</c:v>
                </c:pt>
                <c:pt idx="568">
                  <c:v>2462.4100000000008</c:v>
                </c:pt>
                <c:pt idx="569">
                  <c:v>2465.7900000000009</c:v>
                </c:pt>
                <c:pt idx="570">
                  <c:v>2469.130000000001</c:v>
                </c:pt>
                <c:pt idx="571">
                  <c:v>2471.8100000000009</c:v>
                </c:pt>
                <c:pt idx="572">
                  <c:v>2473.2000000000007</c:v>
                </c:pt>
                <c:pt idx="573">
                  <c:v>2474.5800000000008</c:v>
                </c:pt>
                <c:pt idx="574">
                  <c:v>2475.8900000000008</c:v>
                </c:pt>
                <c:pt idx="575">
                  <c:v>2495.170000000001</c:v>
                </c:pt>
                <c:pt idx="576">
                  <c:v>2510.0600000000009</c:v>
                </c:pt>
                <c:pt idx="577">
                  <c:v>2520.0700000000011</c:v>
                </c:pt>
                <c:pt idx="578">
                  <c:v>2529.380000000001</c:v>
                </c:pt>
                <c:pt idx="579">
                  <c:v>2534.7300000000009</c:v>
                </c:pt>
                <c:pt idx="580">
                  <c:v>2538.9500000000007</c:v>
                </c:pt>
                <c:pt idx="581">
                  <c:v>2541.6000000000008</c:v>
                </c:pt>
                <c:pt idx="582">
                  <c:v>2543.4900000000007</c:v>
                </c:pt>
                <c:pt idx="583">
                  <c:v>2544.1900000000005</c:v>
                </c:pt>
                <c:pt idx="584">
                  <c:v>2544.4900000000007</c:v>
                </c:pt>
                <c:pt idx="585">
                  <c:v>2574.7300000000005</c:v>
                </c:pt>
                <c:pt idx="586">
                  <c:v>2589.3100000000004</c:v>
                </c:pt>
                <c:pt idx="587">
                  <c:v>2602.3200000000006</c:v>
                </c:pt>
                <c:pt idx="588">
                  <c:v>2612.1500000000005</c:v>
                </c:pt>
                <c:pt idx="589">
                  <c:v>2621.5800000000004</c:v>
                </c:pt>
                <c:pt idx="590">
                  <c:v>2630.9300000000003</c:v>
                </c:pt>
                <c:pt idx="591">
                  <c:v>2636.9400000000005</c:v>
                </c:pt>
                <c:pt idx="592">
                  <c:v>2640.5100000000007</c:v>
                </c:pt>
                <c:pt idx="593">
                  <c:v>2643.7300000000005</c:v>
                </c:pt>
                <c:pt idx="594">
                  <c:v>2646.0400000000004</c:v>
                </c:pt>
                <c:pt idx="595">
                  <c:v>2647.3300000000004</c:v>
                </c:pt>
                <c:pt idx="596">
                  <c:v>2648.2300000000005</c:v>
                </c:pt>
                <c:pt idx="597">
                  <c:v>2648.8600000000006</c:v>
                </c:pt>
                <c:pt idx="598">
                  <c:v>2649.4300000000007</c:v>
                </c:pt>
                <c:pt idx="599">
                  <c:v>2649.8900000000008</c:v>
                </c:pt>
                <c:pt idx="600">
                  <c:v>2657.0200000000009</c:v>
                </c:pt>
                <c:pt idx="601">
                  <c:v>2663.4900000000007</c:v>
                </c:pt>
                <c:pt idx="602">
                  <c:v>2668.9200000000005</c:v>
                </c:pt>
                <c:pt idx="603">
                  <c:v>2673.1800000000007</c:v>
                </c:pt>
                <c:pt idx="604">
                  <c:v>2676.7200000000007</c:v>
                </c:pt>
                <c:pt idx="605">
                  <c:v>2680.1700000000005</c:v>
                </c:pt>
                <c:pt idx="606">
                  <c:v>2683.5600000000004</c:v>
                </c:pt>
                <c:pt idx="607">
                  <c:v>2685.5900000000006</c:v>
                </c:pt>
                <c:pt idx="608">
                  <c:v>2686.9700000000007</c:v>
                </c:pt>
                <c:pt idx="609">
                  <c:v>2687.1700000000005</c:v>
                </c:pt>
                <c:pt idx="610">
                  <c:v>2703.8600000000006</c:v>
                </c:pt>
                <c:pt idx="611">
                  <c:v>2719.4900000000007</c:v>
                </c:pt>
                <c:pt idx="612">
                  <c:v>2730.2800000000007</c:v>
                </c:pt>
                <c:pt idx="613">
                  <c:v>2738.8000000000006</c:v>
                </c:pt>
                <c:pt idx="614">
                  <c:v>2747.1200000000008</c:v>
                </c:pt>
                <c:pt idx="615">
                  <c:v>2750.3700000000008</c:v>
                </c:pt>
                <c:pt idx="616">
                  <c:v>2753.0400000000009</c:v>
                </c:pt>
                <c:pt idx="617">
                  <c:v>2754.6600000000008</c:v>
                </c:pt>
                <c:pt idx="618">
                  <c:v>2756.2500000000009</c:v>
                </c:pt>
                <c:pt idx="619">
                  <c:v>2757.3400000000011</c:v>
                </c:pt>
                <c:pt idx="620">
                  <c:v>2758.0500000000011</c:v>
                </c:pt>
                <c:pt idx="621">
                  <c:v>2758.650000000001</c:v>
                </c:pt>
                <c:pt idx="622">
                  <c:v>2770.9800000000009</c:v>
                </c:pt>
                <c:pt idx="623">
                  <c:v>2781.8500000000008</c:v>
                </c:pt>
                <c:pt idx="624">
                  <c:v>2791.5900000000006</c:v>
                </c:pt>
                <c:pt idx="625">
                  <c:v>2801.2500000000005</c:v>
                </c:pt>
                <c:pt idx="626">
                  <c:v>2808.2600000000007</c:v>
                </c:pt>
                <c:pt idx="627">
                  <c:v>2815.1600000000008</c:v>
                </c:pt>
                <c:pt idx="628">
                  <c:v>2821.7000000000007</c:v>
                </c:pt>
                <c:pt idx="629">
                  <c:v>2827.4400000000005</c:v>
                </c:pt>
                <c:pt idx="630">
                  <c:v>2832.8100000000004</c:v>
                </c:pt>
                <c:pt idx="631">
                  <c:v>2836.9900000000002</c:v>
                </c:pt>
                <c:pt idx="632">
                  <c:v>2841.07</c:v>
                </c:pt>
                <c:pt idx="633">
                  <c:v>2842.9700000000003</c:v>
                </c:pt>
                <c:pt idx="634">
                  <c:v>2844.0600000000004</c:v>
                </c:pt>
                <c:pt idx="635">
                  <c:v>2844.8900000000003</c:v>
                </c:pt>
                <c:pt idx="636">
                  <c:v>2845.4000000000005</c:v>
                </c:pt>
                <c:pt idx="637">
                  <c:v>2862.3900000000003</c:v>
                </c:pt>
                <c:pt idx="638">
                  <c:v>2876.9700000000003</c:v>
                </c:pt>
                <c:pt idx="639">
                  <c:v>2891.3300000000004</c:v>
                </c:pt>
                <c:pt idx="640">
                  <c:v>2904.1000000000004</c:v>
                </c:pt>
                <c:pt idx="641">
                  <c:v>2915.9700000000003</c:v>
                </c:pt>
                <c:pt idx="642">
                  <c:v>2925.0200000000004</c:v>
                </c:pt>
                <c:pt idx="643">
                  <c:v>2931.6300000000006</c:v>
                </c:pt>
                <c:pt idx="644">
                  <c:v>2934.8000000000006</c:v>
                </c:pt>
                <c:pt idx="645">
                  <c:v>2937.2900000000004</c:v>
                </c:pt>
                <c:pt idx="646">
                  <c:v>2939.5600000000004</c:v>
                </c:pt>
                <c:pt idx="647">
                  <c:v>2941.4100000000003</c:v>
                </c:pt>
                <c:pt idx="648">
                  <c:v>2943.05</c:v>
                </c:pt>
                <c:pt idx="649">
                  <c:v>2944.28</c:v>
                </c:pt>
                <c:pt idx="650">
                  <c:v>2944.9100000000003</c:v>
                </c:pt>
                <c:pt idx="651">
                  <c:v>2970.7500000000005</c:v>
                </c:pt>
                <c:pt idx="652">
                  <c:v>2990.6000000000004</c:v>
                </c:pt>
                <c:pt idx="653">
                  <c:v>3005.2300000000005</c:v>
                </c:pt>
                <c:pt idx="654">
                  <c:v>3016.3600000000006</c:v>
                </c:pt>
                <c:pt idx="655">
                  <c:v>3026.8400000000006</c:v>
                </c:pt>
                <c:pt idx="656">
                  <c:v>3035.4400000000005</c:v>
                </c:pt>
                <c:pt idx="657">
                  <c:v>3043.8600000000006</c:v>
                </c:pt>
                <c:pt idx="658">
                  <c:v>3051.4200000000005</c:v>
                </c:pt>
                <c:pt idx="659">
                  <c:v>3058.8500000000004</c:v>
                </c:pt>
                <c:pt idx="660">
                  <c:v>3066.0200000000004</c:v>
                </c:pt>
                <c:pt idx="661">
                  <c:v>3072.2800000000007</c:v>
                </c:pt>
                <c:pt idx="662">
                  <c:v>3076.5400000000009</c:v>
                </c:pt>
                <c:pt idx="663">
                  <c:v>3079.5000000000009</c:v>
                </c:pt>
                <c:pt idx="664">
                  <c:v>3081.900000000001</c:v>
                </c:pt>
                <c:pt idx="665">
                  <c:v>3082.9600000000009</c:v>
                </c:pt>
                <c:pt idx="666">
                  <c:v>3090.0800000000008</c:v>
                </c:pt>
                <c:pt idx="667">
                  <c:v>3095.1400000000008</c:v>
                </c:pt>
                <c:pt idx="668">
                  <c:v>3099.9700000000007</c:v>
                </c:pt>
                <c:pt idx="669">
                  <c:v>3104.6200000000008</c:v>
                </c:pt>
                <c:pt idx="670">
                  <c:v>3108.880000000001</c:v>
                </c:pt>
                <c:pt idx="671">
                  <c:v>3112.9500000000012</c:v>
                </c:pt>
                <c:pt idx="672">
                  <c:v>3116.2900000000013</c:v>
                </c:pt>
                <c:pt idx="673">
                  <c:v>3118.3700000000013</c:v>
                </c:pt>
                <c:pt idx="674">
                  <c:v>3120.3100000000013</c:v>
                </c:pt>
                <c:pt idx="675">
                  <c:v>3122.2300000000014</c:v>
                </c:pt>
                <c:pt idx="676">
                  <c:v>3124.0600000000013</c:v>
                </c:pt>
                <c:pt idx="677">
                  <c:v>3125.4300000000012</c:v>
                </c:pt>
                <c:pt idx="678">
                  <c:v>3126.4400000000014</c:v>
                </c:pt>
                <c:pt idx="679">
                  <c:v>3126.5400000000013</c:v>
                </c:pt>
                <c:pt idx="680">
                  <c:v>3165.1200000000013</c:v>
                </c:pt>
                <c:pt idx="681">
                  <c:v>3197.2900000000013</c:v>
                </c:pt>
                <c:pt idx="682">
                  <c:v>3218.4900000000011</c:v>
                </c:pt>
                <c:pt idx="683">
                  <c:v>3237.3700000000013</c:v>
                </c:pt>
                <c:pt idx="684">
                  <c:v>3251.8000000000011</c:v>
                </c:pt>
                <c:pt idx="685">
                  <c:v>3263.1600000000012</c:v>
                </c:pt>
                <c:pt idx="686">
                  <c:v>3273.860000000001</c:v>
                </c:pt>
                <c:pt idx="687">
                  <c:v>3282.2100000000009</c:v>
                </c:pt>
                <c:pt idx="688">
                  <c:v>3289.5600000000009</c:v>
                </c:pt>
                <c:pt idx="689">
                  <c:v>3294.3700000000008</c:v>
                </c:pt>
                <c:pt idx="690">
                  <c:v>3298.8000000000006</c:v>
                </c:pt>
                <c:pt idx="691">
                  <c:v>3301.8900000000008</c:v>
                </c:pt>
                <c:pt idx="692">
                  <c:v>3304.5200000000009</c:v>
                </c:pt>
                <c:pt idx="693">
                  <c:v>3306.8400000000011</c:v>
                </c:pt>
                <c:pt idx="694">
                  <c:v>3309.0500000000011</c:v>
                </c:pt>
                <c:pt idx="695">
                  <c:v>3311.0600000000013</c:v>
                </c:pt>
                <c:pt idx="696">
                  <c:v>3312.7800000000011</c:v>
                </c:pt>
                <c:pt idx="697">
                  <c:v>3314.3700000000013</c:v>
                </c:pt>
                <c:pt idx="698">
                  <c:v>3315.9100000000012</c:v>
                </c:pt>
                <c:pt idx="699">
                  <c:v>3317.110000000001</c:v>
                </c:pt>
                <c:pt idx="700">
                  <c:v>3318.3100000000009</c:v>
                </c:pt>
                <c:pt idx="701">
                  <c:v>3319.400000000001</c:v>
                </c:pt>
                <c:pt idx="702">
                  <c:v>3333.6800000000012</c:v>
                </c:pt>
                <c:pt idx="703">
                  <c:v>3345.7900000000013</c:v>
                </c:pt>
                <c:pt idx="704">
                  <c:v>3356.8600000000015</c:v>
                </c:pt>
                <c:pt idx="705">
                  <c:v>3364.7800000000016</c:v>
                </c:pt>
                <c:pt idx="706">
                  <c:v>3369.7900000000018</c:v>
                </c:pt>
                <c:pt idx="707">
                  <c:v>3373.6800000000017</c:v>
                </c:pt>
                <c:pt idx="708">
                  <c:v>3377.4700000000016</c:v>
                </c:pt>
                <c:pt idx="709">
                  <c:v>3380.1200000000017</c:v>
                </c:pt>
                <c:pt idx="710">
                  <c:v>3381.6500000000019</c:v>
                </c:pt>
                <c:pt idx="711">
                  <c:v>3382.3500000000017</c:v>
                </c:pt>
                <c:pt idx="712">
                  <c:v>3382.5500000000015</c:v>
                </c:pt>
                <c:pt idx="713">
                  <c:v>3415.7600000000016</c:v>
                </c:pt>
                <c:pt idx="714">
                  <c:v>3426.1900000000014</c:v>
                </c:pt>
                <c:pt idx="715">
                  <c:v>3436.5200000000013</c:v>
                </c:pt>
                <c:pt idx="716">
                  <c:v>3446.6400000000012</c:v>
                </c:pt>
                <c:pt idx="717">
                  <c:v>3456.5100000000011</c:v>
                </c:pt>
                <c:pt idx="718">
                  <c:v>3466.2200000000012</c:v>
                </c:pt>
                <c:pt idx="719">
                  <c:v>3475.2800000000011</c:v>
                </c:pt>
                <c:pt idx="720">
                  <c:v>3483.360000000001</c:v>
                </c:pt>
                <c:pt idx="721">
                  <c:v>3489.5600000000009</c:v>
                </c:pt>
                <c:pt idx="722">
                  <c:v>3494.650000000001</c:v>
                </c:pt>
                <c:pt idx="723">
                  <c:v>3498.7100000000009</c:v>
                </c:pt>
                <c:pt idx="724">
                  <c:v>3502.2200000000012</c:v>
                </c:pt>
                <c:pt idx="725">
                  <c:v>3505.4700000000012</c:v>
                </c:pt>
                <c:pt idx="726">
                  <c:v>3508.4600000000009</c:v>
                </c:pt>
                <c:pt idx="727">
                  <c:v>3510.6600000000008</c:v>
                </c:pt>
                <c:pt idx="728">
                  <c:v>3512.2400000000007</c:v>
                </c:pt>
                <c:pt idx="729">
                  <c:v>3513.2900000000009</c:v>
                </c:pt>
                <c:pt idx="730">
                  <c:v>3514.190000000001</c:v>
                </c:pt>
                <c:pt idx="731">
                  <c:v>3514.900000000001</c:v>
                </c:pt>
                <c:pt idx="732">
                  <c:v>3515.2000000000012</c:v>
                </c:pt>
                <c:pt idx="733">
                  <c:v>3515.4800000000014</c:v>
                </c:pt>
                <c:pt idx="734">
                  <c:v>3531.0000000000014</c:v>
                </c:pt>
                <c:pt idx="735">
                  <c:v>3545.5400000000013</c:v>
                </c:pt>
                <c:pt idx="736">
                  <c:v>3556.3300000000013</c:v>
                </c:pt>
                <c:pt idx="737">
                  <c:v>3566.4000000000015</c:v>
                </c:pt>
                <c:pt idx="738">
                  <c:v>3574.5800000000013</c:v>
                </c:pt>
                <c:pt idx="739">
                  <c:v>3582.6900000000014</c:v>
                </c:pt>
                <c:pt idx="740">
                  <c:v>3590.0500000000015</c:v>
                </c:pt>
                <c:pt idx="741">
                  <c:v>3596.7300000000014</c:v>
                </c:pt>
                <c:pt idx="742">
                  <c:v>3603.2500000000014</c:v>
                </c:pt>
                <c:pt idx="743">
                  <c:v>3607.5000000000014</c:v>
                </c:pt>
                <c:pt idx="744">
                  <c:v>3609.9200000000014</c:v>
                </c:pt>
                <c:pt idx="745">
                  <c:v>3611.4100000000012</c:v>
                </c:pt>
                <c:pt idx="746">
                  <c:v>3612.1700000000014</c:v>
                </c:pt>
                <c:pt idx="747">
                  <c:v>3612.3800000000015</c:v>
                </c:pt>
                <c:pt idx="748">
                  <c:v>3644.6700000000014</c:v>
                </c:pt>
                <c:pt idx="749">
                  <c:v>3666.2500000000014</c:v>
                </c:pt>
                <c:pt idx="750">
                  <c:v>3679.6900000000014</c:v>
                </c:pt>
                <c:pt idx="751">
                  <c:v>3689.4200000000014</c:v>
                </c:pt>
                <c:pt idx="752">
                  <c:v>3699.1200000000013</c:v>
                </c:pt>
                <c:pt idx="753">
                  <c:v>3708.0900000000011</c:v>
                </c:pt>
                <c:pt idx="754">
                  <c:v>3716.8500000000013</c:v>
                </c:pt>
                <c:pt idx="755">
                  <c:v>3725.1300000000015</c:v>
                </c:pt>
                <c:pt idx="756">
                  <c:v>3730.7900000000013</c:v>
                </c:pt>
                <c:pt idx="757">
                  <c:v>3735.7400000000011</c:v>
                </c:pt>
                <c:pt idx="758">
                  <c:v>3740.2000000000012</c:v>
                </c:pt>
                <c:pt idx="759">
                  <c:v>3743.690000000001</c:v>
                </c:pt>
                <c:pt idx="760">
                  <c:v>3746.6400000000008</c:v>
                </c:pt>
                <c:pt idx="761">
                  <c:v>3749.5800000000008</c:v>
                </c:pt>
                <c:pt idx="762">
                  <c:v>3752.2500000000009</c:v>
                </c:pt>
                <c:pt idx="763">
                  <c:v>3754.8900000000008</c:v>
                </c:pt>
                <c:pt idx="764">
                  <c:v>3757.4600000000009</c:v>
                </c:pt>
                <c:pt idx="765">
                  <c:v>3760.0100000000011</c:v>
                </c:pt>
                <c:pt idx="766">
                  <c:v>3761.1000000000013</c:v>
                </c:pt>
                <c:pt idx="767">
                  <c:v>3762.1100000000015</c:v>
                </c:pt>
                <c:pt idx="768">
                  <c:v>3763.1100000000015</c:v>
                </c:pt>
                <c:pt idx="769">
                  <c:v>3763.9000000000015</c:v>
                </c:pt>
                <c:pt idx="770">
                  <c:v>3823.6100000000015</c:v>
                </c:pt>
                <c:pt idx="771">
                  <c:v>3878.1500000000015</c:v>
                </c:pt>
                <c:pt idx="772">
                  <c:v>3895.5200000000013</c:v>
                </c:pt>
                <c:pt idx="773">
                  <c:v>3912.5000000000014</c:v>
                </c:pt>
                <c:pt idx="774">
                  <c:v>3925.2400000000011</c:v>
                </c:pt>
                <c:pt idx="775">
                  <c:v>3936.440000000001</c:v>
                </c:pt>
                <c:pt idx="776">
                  <c:v>3946.9600000000009</c:v>
                </c:pt>
                <c:pt idx="777">
                  <c:v>3956.4900000000011</c:v>
                </c:pt>
                <c:pt idx="778">
                  <c:v>3965.1400000000012</c:v>
                </c:pt>
                <c:pt idx="779">
                  <c:v>3973.7900000000013</c:v>
                </c:pt>
                <c:pt idx="780">
                  <c:v>3982.3900000000012</c:v>
                </c:pt>
                <c:pt idx="781">
                  <c:v>3990.360000000001</c:v>
                </c:pt>
                <c:pt idx="782">
                  <c:v>3996.5600000000009</c:v>
                </c:pt>
                <c:pt idx="783">
                  <c:v>4002.6400000000008</c:v>
                </c:pt>
                <c:pt idx="784">
                  <c:v>4008.7000000000007</c:v>
                </c:pt>
                <c:pt idx="785">
                  <c:v>4014.1900000000005</c:v>
                </c:pt>
                <c:pt idx="786">
                  <c:v>4019.6400000000003</c:v>
                </c:pt>
                <c:pt idx="787">
                  <c:v>4023.7300000000005</c:v>
                </c:pt>
                <c:pt idx="788">
                  <c:v>4027.4200000000005</c:v>
                </c:pt>
                <c:pt idx="789">
                  <c:v>4030.7400000000007</c:v>
                </c:pt>
                <c:pt idx="790">
                  <c:v>4033.7500000000009</c:v>
                </c:pt>
                <c:pt idx="791">
                  <c:v>4036.630000000001</c:v>
                </c:pt>
                <c:pt idx="792">
                  <c:v>4039.3500000000008</c:v>
                </c:pt>
                <c:pt idx="793">
                  <c:v>4041.8100000000009</c:v>
                </c:pt>
                <c:pt idx="794">
                  <c:v>4044.1400000000008</c:v>
                </c:pt>
                <c:pt idx="795">
                  <c:v>4046.0700000000006</c:v>
                </c:pt>
                <c:pt idx="796">
                  <c:v>4046.7900000000004</c:v>
                </c:pt>
                <c:pt idx="797">
                  <c:v>4062.7900000000004</c:v>
                </c:pt>
                <c:pt idx="798">
                  <c:v>4076.53</c:v>
                </c:pt>
                <c:pt idx="799">
                  <c:v>4088.52</c:v>
                </c:pt>
                <c:pt idx="800">
                  <c:v>4095.81</c:v>
                </c:pt>
                <c:pt idx="801">
                  <c:v>4097.3999999999996</c:v>
                </c:pt>
                <c:pt idx="802">
                  <c:v>4098.99</c:v>
                </c:pt>
                <c:pt idx="803">
                  <c:v>4100.51</c:v>
                </c:pt>
                <c:pt idx="804">
                  <c:v>4101.7300000000005</c:v>
                </c:pt>
                <c:pt idx="805">
                  <c:v>4102.2400000000007</c:v>
                </c:pt>
                <c:pt idx="806">
                  <c:v>4102.7300000000005</c:v>
                </c:pt>
                <c:pt idx="807">
                  <c:v>4177.1900000000005</c:v>
                </c:pt>
                <c:pt idx="808">
                  <c:v>4197.3500000000004</c:v>
                </c:pt>
                <c:pt idx="809">
                  <c:v>4204.3700000000008</c:v>
                </c:pt>
                <c:pt idx="810">
                  <c:v>4208.4500000000007</c:v>
                </c:pt>
                <c:pt idx="811">
                  <c:v>4208.8500000000004</c:v>
                </c:pt>
                <c:pt idx="812">
                  <c:v>4218.05</c:v>
                </c:pt>
                <c:pt idx="813">
                  <c:v>4225.99</c:v>
                </c:pt>
                <c:pt idx="814">
                  <c:v>4229.3</c:v>
                </c:pt>
                <c:pt idx="815">
                  <c:v>4232.2</c:v>
                </c:pt>
                <c:pt idx="816">
                  <c:v>4235.05</c:v>
                </c:pt>
                <c:pt idx="817">
                  <c:v>4237.54</c:v>
                </c:pt>
                <c:pt idx="818">
                  <c:v>4238.04</c:v>
                </c:pt>
                <c:pt idx="819">
                  <c:v>4238.09</c:v>
                </c:pt>
                <c:pt idx="820">
                  <c:v>4327.96</c:v>
                </c:pt>
                <c:pt idx="821">
                  <c:v>4343.96</c:v>
                </c:pt>
                <c:pt idx="822">
                  <c:v>4356.22</c:v>
                </c:pt>
                <c:pt idx="823">
                  <c:v>4367.3200000000006</c:v>
                </c:pt>
                <c:pt idx="824">
                  <c:v>4371.0700000000006</c:v>
                </c:pt>
                <c:pt idx="825">
                  <c:v>4382.9500000000007</c:v>
                </c:pt>
                <c:pt idx="826">
                  <c:v>4389.2600000000011</c:v>
                </c:pt>
                <c:pt idx="827">
                  <c:v>4395.4000000000015</c:v>
                </c:pt>
                <c:pt idx="828">
                  <c:v>4400.3900000000012</c:v>
                </c:pt>
                <c:pt idx="829">
                  <c:v>4403.5300000000016</c:v>
                </c:pt>
                <c:pt idx="830">
                  <c:v>4404.5200000000013</c:v>
                </c:pt>
                <c:pt idx="831">
                  <c:v>4413.3700000000017</c:v>
                </c:pt>
                <c:pt idx="832">
                  <c:v>4422.1800000000021</c:v>
                </c:pt>
                <c:pt idx="833">
                  <c:v>4427.9400000000023</c:v>
                </c:pt>
                <c:pt idx="834">
                  <c:v>4428.8500000000022</c:v>
                </c:pt>
                <c:pt idx="835">
                  <c:v>4461.510000000002</c:v>
                </c:pt>
                <c:pt idx="836">
                  <c:v>4464.8200000000024</c:v>
                </c:pt>
                <c:pt idx="837">
                  <c:v>4466.8200000000024</c:v>
                </c:pt>
                <c:pt idx="838">
                  <c:v>4481.9200000000028</c:v>
                </c:pt>
                <c:pt idx="839">
                  <c:v>4492.3800000000028</c:v>
                </c:pt>
                <c:pt idx="840">
                  <c:v>4500.3800000000028</c:v>
                </c:pt>
                <c:pt idx="841">
                  <c:v>4504.5300000000025</c:v>
                </c:pt>
                <c:pt idx="842">
                  <c:v>4508.4800000000023</c:v>
                </c:pt>
                <c:pt idx="843">
                  <c:v>4511.7000000000025</c:v>
                </c:pt>
                <c:pt idx="844">
                  <c:v>4513.6700000000028</c:v>
                </c:pt>
                <c:pt idx="845">
                  <c:v>4515.5400000000027</c:v>
                </c:pt>
                <c:pt idx="846">
                  <c:v>4517.1700000000028</c:v>
                </c:pt>
                <c:pt idx="847">
                  <c:v>4518.1600000000026</c:v>
                </c:pt>
                <c:pt idx="848">
                  <c:v>4520.7700000000023</c:v>
                </c:pt>
                <c:pt idx="849">
                  <c:v>4538.4200000000019</c:v>
                </c:pt>
                <c:pt idx="850">
                  <c:v>4548.1800000000021</c:v>
                </c:pt>
                <c:pt idx="851">
                  <c:v>4554.8600000000024</c:v>
                </c:pt>
                <c:pt idx="852">
                  <c:v>4556.0700000000024</c:v>
                </c:pt>
                <c:pt idx="853">
                  <c:v>4557.0600000000022</c:v>
                </c:pt>
                <c:pt idx="854">
                  <c:v>4563.1400000000021</c:v>
                </c:pt>
                <c:pt idx="855">
                  <c:v>4569.010000000002</c:v>
                </c:pt>
                <c:pt idx="856">
                  <c:v>4571.800000000002</c:v>
                </c:pt>
                <c:pt idx="857">
                  <c:v>4574.1100000000024</c:v>
                </c:pt>
                <c:pt idx="858">
                  <c:v>4575.3200000000024</c:v>
                </c:pt>
                <c:pt idx="859">
                  <c:v>4592.4100000000026</c:v>
                </c:pt>
                <c:pt idx="860">
                  <c:v>4601.1200000000026</c:v>
                </c:pt>
                <c:pt idx="861">
                  <c:v>4608.2800000000025</c:v>
                </c:pt>
                <c:pt idx="862">
                  <c:v>4611.8900000000021</c:v>
                </c:pt>
                <c:pt idx="863">
                  <c:v>4614.6700000000019</c:v>
                </c:pt>
                <c:pt idx="864">
                  <c:v>4616.300000000002</c:v>
                </c:pt>
                <c:pt idx="865">
                  <c:v>4628.8100000000022</c:v>
                </c:pt>
                <c:pt idx="866">
                  <c:v>4638.2700000000023</c:v>
                </c:pt>
                <c:pt idx="867">
                  <c:v>4643.5300000000025</c:v>
                </c:pt>
                <c:pt idx="868">
                  <c:v>4648.6000000000022</c:v>
                </c:pt>
                <c:pt idx="869">
                  <c:v>4653.3700000000026</c:v>
                </c:pt>
                <c:pt idx="870">
                  <c:v>4655.8800000000028</c:v>
                </c:pt>
                <c:pt idx="871">
                  <c:v>4657.9900000000025</c:v>
                </c:pt>
                <c:pt idx="872">
                  <c:v>4659.9800000000023</c:v>
                </c:pt>
                <c:pt idx="873">
                  <c:v>4661.8200000000024</c:v>
                </c:pt>
                <c:pt idx="874">
                  <c:v>4662.5200000000023</c:v>
                </c:pt>
                <c:pt idx="875">
                  <c:v>4672.090000000002</c:v>
                </c:pt>
                <c:pt idx="876">
                  <c:v>4678.2400000000016</c:v>
                </c:pt>
                <c:pt idx="877">
                  <c:v>4682.0800000000017</c:v>
                </c:pt>
                <c:pt idx="878">
                  <c:v>4683.4700000000021</c:v>
                </c:pt>
                <c:pt idx="879">
                  <c:v>4712.3500000000022</c:v>
                </c:pt>
                <c:pt idx="880">
                  <c:v>4726.9600000000019</c:v>
                </c:pt>
                <c:pt idx="881">
                  <c:v>4732.6300000000019</c:v>
                </c:pt>
                <c:pt idx="882">
                  <c:v>4736.7900000000018</c:v>
                </c:pt>
                <c:pt idx="883">
                  <c:v>4739.6700000000019</c:v>
                </c:pt>
                <c:pt idx="884">
                  <c:v>4741.0300000000016</c:v>
                </c:pt>
                <c:pt idx="885">
                  <c:v>4741.5300000000016</c:v>
                </c:pt>
                <c:pt idx="886">
                  <c:v>4786.3300000000017</c:v>
                </c:pt>
                <c:pt idx="887">
                  <c:v>4804.1300000000019</c:v>
                </c:pt>
                <c:pt idx="888">
                  <c:v>4813.1100000000015</c:v>
                </c:pt>
                <c:pt idx="889">
                  <c:v>4821.9900000000016</c:v>
                </c:pt>
                <c:pt idx="890">
                  <c:v>4826.0800000000017</c:v>
                </c:pt>
                <c:pt idx="891">
                  <c:v>4858.9800000000014</c:v>
                </c:pt>
                <c:pt idx="892">
                  <c:v>4864.2400000000016</c:v>
                </c:pt>
                <c:pt idx="893">
                  <c:v>4866.8700000000017</c:v>
                </c:pt>
                <c:pt idx="894">
                  <c:v>4868.7700000000013</c:v>
                </c:pt>
                <c:pt idx="895">
                  <c:v>4870.170000000001</c:v>
                </c:pt>
                <c:pt idx="896">
                  <c:v>4888.7500000000009</c:v>
                </c:pt>
                <c:pt idx="897">
                  <c:v>4899.0700000000006</c:v>
                </c:pt>
                <c:pt idx="898">
                  <c:v>4905.26</c:v>
                </c:pt>
                <c:pt idx="899">
                  <c:v>4909.7</c:v>
                </c:pt>
                <c:pt idx="900">
                  <c:v>4913.66</c:v>
                </c:pt>
                <c:pt idx="901">
                  <c:v>4917.32</c:v>
                </c:pt>
                <c:pt idx="902">
                  <c:v>4989.8099999999995</c:v>
                </c:pt>
                <c:pt idx="903">
                  <c:v>5025.82</c:v>
                </c:pt>
                <c:pt idx="904">
                  <c:v>5054.41</c:v>
                </c:pt>
                <c:pt idx="905">
                  <c:v>5077.3499999999995</c:v>
                </c:pt>
                <c:pt idx="906">
                  <c:v>5084.7299999999996</c:v>
                </c:pt>
                <c:pt idx="907">
                  <c:v>5091.08</c:v>
                </c:pt>
                <c:pt idx="908">
                  <c:v>5094.8</c:v>
                </c:pt>
                <c:pt idx="909">
                  <c:v>5095.8900000000003</c:v>
                </c:pt>
                <c:pt idx="910">
                  <c:v>5108.55</c:v>
                </c:pt>
                <c:pt idx="911">
                  <c:v>5113.75</c:v>
                </c:pt>
                <c:pt idx="912">
                  <c:v>5117.49</c:v>
                </c:pt>
                <c:pt idx="913">
                  <c:v>5118.08</c:v>
                </c:pt>
                <c:pt idx="914">
                  <c:v>5145.0199999999995</c:v>
                </c:pt>
                <c:pt idx="915">
                  <c:v>5156.66</c:v>
                </c:pt>
                <c:pt idx="916">
                  <c:v>5165.5</c:v>
                </c:pt>
                <c:pt idx="917">
                  <c:v>5174.24</c:v>
                </c:pt>
                <c:pt idx="918">
                  <c:v>5182.6499999999996</c:v>
                </c:pt>
                <c:pt idx="919">
                  <c:v>5190.83</c:v>
                </c:pt>
                <c:pt idx="920">
                  <c:v>5198</c:v>
                </c:pt>
                <c:pt idx="921">
                  <c:v>5203.88</c:v>
                </c:pt>
                <c:pt idx="922">
                  <c:v>5206.83</c:v>
                </c:pt>
                <c:pt idx="923">
                  <c:v>5208.6499999999996</c:v>
                </c:pt>
                <c:pt idx="924">
                  <c:v>5209.24</c:v>
                </c:pt>
                <c:pt idx="925">
                  <c:v>5221.3499999999995</c:v>
                </c:pt>
                <c:pt idx="926">
                  <c:v>5228.7499999999991</c:v>
                </c:pt>
                <c:pt idx="927">
                  <c:v>5234.0199999999995</c:v>
                </c:pt>
                <c:pt idx="928">
                  <c:v>5238.4799999999996</c:v>
                </c:pt>
                <c:pt idx="929">
                  <c:v>5254.5499999999993</c:v>
                </c:pt>
                <c:pt idx="930">
                  <c:v>5263.61</c:v>
                </c:pt>
                <c:pt idx="931">
                  <c:v>5268.0599999999995</c:v>
                </c:pt>
                <c:pt idx="932">
                  <c:v>5270.4599999999991</c:v>
                </c:pt>
                <c:pt idx="933">
                  <c:v>5271.5899999999992</c:v>
                </c:pt>
                <c:pt idx="934">
                  <c:v>5272.3799999999992</c:v>
                </c:pt>
                <c:pt idx="935">
                  <c:v>5280.4199999999992</c:v>
                </c:pt>
                <c:pt idx="936">
                  <c:v>5288.2899999999991</c:v>
                </c:pt>
                <c:pt idx="937">
                  <c:v>5295.8999999999987</c:v>
                </c:pt>
                <c:pt idx="938">
                  <c:v>5302.869999999999</c:v>
                </c:pt>
                <c:pt idx="939">
                  <c:v>5308.5299999999988</c:v>
                </c:pt>
                <c:pt idx="940">
                  <c:v>5310.5199999999986</c:v>
                </c:pt>
                <c:pt idx="941">
                  <c:v>5311.2599999999984</c:v>
                </c:pt>
                <c:pt idx="942">
                  <c:v>5356.5399999999981</c:v>
                </c:pt>
                <c:pt idx="943">
                  <c:v>5372.3099999999986</c:v>
                </c:pt>
                <c:pt idx="944">
                  <c:v>5381.9999999999982</c:v>
                </c:pt>
                <c:pt idx="945">
                  <c:v>5390.3199999999979</c:v>
                </c:pt>
                <c:pt idx="946">
                  <c:v>5398.4199999999983</c:v>
                </c:pt>
                <c:pt idx="947">
                  <c:v>5404.239999999998</c:v>
                </c:pt>
                <c:pt idx="948">
                  <c:v>5409.9999999999982</c:v>
                </c:pt>
                <c:pt idx="949">
                  <c:v>5414.3299999999981</c:v>
                </c:pt>
                <c:pt idx="950">
                  <c:v>5438.6399999999985</c:v>
                </c:pt>
                <c:pt idx="951">
                  <c:v>5455.6599999999989</c:v>
                </c:pt>
                <c:pt idx="952">
                  <c:v>5465.2799999999988</c:v>
                </c:pt>
                <c:pt idx="953">
                  <c:v>5474.4999999999991</c:v>
                </c:pt>
                <c:pt idx="954">
                  <c:v>5481.4399999999987</c:v>
                </c:pt>
                <c:pt idx="955">
                  <c:v>5482.5599999999986</c:v>
                </c:pt>
                <c:pt idx="956">
                  <c:v>5483.1499999999987</c:v>
                </c:pt>
                <c:pt idx="957">
                  <c:v>5483.6599999999989</c:v>
                </c:pt>
                <c:pt idx="958">
                  <c:v>5505.079999999999</c:v>
                </c:pt>
                <c:pt idx="959">
                  <c:v>5518.0199999999986</c:v>
                </c:pt>
                <c:pt idx="960">
                  <c:v>5520.8399999999983</c:v>
                </c:pt>
                <c:pt idx="961">
                  <c:v>5522.8199999999979</c:v>
                </c:pt>
                <c:pt idx="962">
                  <c:v>5523.5099999999975</c:v>
                </c:pt>
                <c:pt idx="963">
                  <c:v>5538.7499999999973</c:v>
                </c:pt>
                <c:pt idx="964">
                  <c:v>5546.4799999999968</c:v>
                </c:pt>
                <c:pt idx="965">
                  <c:v>5551.3499999999967</c:v>
                </c:pt>
                <c:pt idx="966">
                  <c:v>5553.9899999999971</c:v>
                </c:pt>
                <c:pt idx="967">
                  <c:v>5555.069999999997</c:v>
                </c:pt>
                <c:pt idx="968">
                  <c:v>5555.8299999999972</c:v>
                </c:pt>
                <c:pt idx="969">
                  <c:v>5596.4299999999976</c:v>
                </c:pt>
                <c:pt idx="970">
                  <c:v>5623.7099999999973</c:v>
                </c:pt>
                <c:pt idx="971">
                  <c:v>5633.4099999999971</c:v>
                </c:pt>
                <c:pt idx="972">
                  <c:v>5638.1699999999973</c:v>
                </c:pt>
                <c:pt idx="973">
                  <c:v>5639.2599999999975</c:v>
                </c:pt>
                <c:pt idx="974">
                  <c:v>5639.9699999999975</c:v>
                </c:pt>
                <c:pt idx="975">
                  <c:v>5657.6199999999972</c:v>
                </c:pt>
                <c:pt idx="976">
                  <c:v>5668.9999999999973</c:v>
                </c:pt>
                <c:pt idx="977">
                  <c:v>5674.1699999999973</c:v>
                </c:pt>
                <c:pt idx="978">
                  <c:v>5678.0399999999972</c:v>
                </c:pt>
                <c:pt idx="979">
                  <c:v>5684.8499999999976</c:v>
                </c:pt>
                <c:pt idx="980">
                  <c:v>5687.5099999999975</c:v>
                </c:pt>
                <c:pt idx="981">
                  <c:v>5688.9299999999976</c:v>
                </c:pt>
                <c:pt idx="982">
                  <c:v>5690.0399999999972</c:v>
                </c:pt>
                <c:pt idx="983">
                  <c:v>5731.7999999999975</c:v>
                </c:pt>
                <c:pt idx="984">
                  <c:v>5741.3299999999972</c:v>
                </c:pt>
                <c:pt idx="985">
                  <c:v>5749.9999999999973</c:v>
                </c:pt>
                <c:pt idx="986">
                  <c:v>5756.6799999999976</c:v>
                </c:pt>
                <c:pt idx="987">
                  <c:v>5762.1799999999976</c:v>
                </c:pt>
                <c:pt idx="988">
                  <c:v>5767.2799999999979</c:v>
                </c:pt>
                <c:pt idx="989">
                  <c:v>5771.0999999999976</c:v>
                </c:pt>
                <c:pt idx="990">
                  <c:v>5774.7899999999972</c:v>
                </c:pt>
                <c:pt idx="991">
                  <c:v>5778.4099999999971</c:v>
                </c:pt>
                <c:pt idx="992">
                  <c:v>5780.1899999999969</c:v>
                </c:pt>
                <c:pt idx="993">
                  <c:v>5800.7699999999968</c:v>
                </c:pt>
                <c:pt idx="994">
                  <c:v>5819.6599999999971</c:v>
                </c:pt>
                <c:pt idx="995">
                  <c:v>5835.0499999999975</c:v>
                </c:pt>
                <c:pt idx="996">
                  <c:v>5850.0599999999977</c:v>
                </c:pt>
                <c:pt idx="997">
                  <c:v>5859.6299999999974</c:v>
                </c:pt>
                <c:pt idx="998">
                  <c:v>5861.7199999999975</c:v>
                </c:pt>
                <c:pt idx="999">
                  <c:v>5863.7299999999977</c:v>
                </c:pt>
                <c:pt idx="1000">
                  <c:v>5865.5699999999979</c:v>
                </c:pt>
                <c:pt idx="1001">
                  <c:v>5877.7699999999977</c:v>
                </c:pt>
                <c:pt idx="1002">
                  <c:v>5879.2599999999975</c:v>
                </c:pt>
                <c:pt idx="1003">
                  <c:v>5892.8099999999977</c:v>
                </c:pt>
                <c:pt idx="1004">
                  <c:v>5902.5699999999979</c:v>
                </c:pt>
                <c:pt idx="1005">
                  <c:v>5911.2899999999981</c:v>
                </c:pt>
                <c:pt idx="1006">
                  <c:v>5914.0399999999981</c:v>
                </c:pt>
                <c:pt idx="1007">
                  <c:v>5915.8999999999978</c:v>
                </c:pt>
                <c:pt idx="1008">
                  <c:v>5995.3099999999977</c:v>
                </c:pt>
                <c:pt idx="1009">
                  <c:v>6003.1899999999978</c:v>
                </c:pt>
                <c:pt idx="1010">
                  <c:v>6008.5899999999974</c:v>
                </c:pt>
                <c:pt idx="1011">
                  <c:v>6012.2999999999975</c:v>
                </c:pt>
                <c:pt idx="1012">
                  <c:v>6022.1499999999978</c:v>
                </c:pt>
                <c:pt idx="1013">
                  <c:v>6031.5599999999977</c:v>
                </c:pt>
                <c:pt idx="1014">
                  <c:v>6039.1299999999974</c:v>
                </c:pt>
                <c:pt idx="1015">
                  <c:v>6068.9799999999977</c:v>
                </c:pt>
                <c:pt idx="1016">
                  <c:v>6075.8099999999977</c:v>
                </c:pt>
                <c:pt idx="1017">
                  <c:v>6081.8599999999979</c:v>
                </c:pt>
                <c:pt idx="1018">
                  <c:v>6087.3199999999979</c:v>
                </c:pt>
                <c:pt idx="1019">
                  <c:v>6091.909999999998</c:v>
                </c:pt>
                <c:pt idx="1020">
                  <c:v>6095.9799999999977</c:v>
                </c:pt>
                <c:pt idx="1021">
                  <c:v>6098.3199999999979</c:v>
                </c:pt>
                <c:pt idx="1022">
                  <c:v>6099.409999999998</c:v>
                </c:pt>
                <c:pt idx="1023">
                  <c:v>6100.4199999999983</c:v>
                </c:pt>
                <c:pt idx="1024">
                  <c:v>6116.659999999998</c:v>
                </c:pt>
                <c:pt idx="1025">
                  <c:v>6128.3599999999979</c:v>
                </c:pt>
                <c:pt idx="1026">
                  <c:v>6137.4999999999982</c:v>
                </c:pt>
                <c:pt idx="1027">
                  <c:v>6143.7899999999981</c:v>
                </c:pt>
                <c:pt idx="1028">
                  <c:v>6145.489999999998</c:v>
                </c:pt>
                <c:pt idx="1029">
                  <c:v>6146.6199999999981</c:v>
                </c:pt>
                <c:pt idx="1030">
                  <c:v>6146.8199999999979</c:v>
                </c:pt>
                <c:pt idx="1031">
                  <c:v>6180.5499999999975</c:v>
                </c:pt>
                <c:pt idx="1032">
                  <c:v>6192.6099999999979</c:v>
                </c:pt>
                <c:pt idx="1033">
                  <c:v>6198.4299999999976</c:v>
                </c:pt>
                <c:pt idx="1034">
                  <c:v>6202.6899999999978</c:v>
                </c:pt>
                <c:pt idx="1035">
                  <c:v>6205.9699999999975</c:v>
                </c:pt>
                <c:pt idx="1036">
                  <c:v>6207.1899999999978</c:v>
                </c:pt>
                <c:pt idx="1037">
                  <c:v>6216.6799999999976</c:v>
                </c:pt>
                <c:pt idx="1038">
                  <c:v>6225.2999999999975</c:v>
                </c:pt>
                <c:pt idx="1039">
                  <c:v>6232.5799999999972</c:v>
                </c:pt>
                <c:pt idx="1040">
                  <c:v>6237.1499999999969</c:v>
                </c:pt>
                <c:pt idx="1041">
                  <c:v>6241.4499999999971</c:v>
                </c:pt>
                <c:pt idx="1042">
                  <c:v>6244.569999999997</c:v>
                </c:pt>
                <c:pt idx="1043">
                  <c:v>6245.8699999999972</c:v>
                </c:pt>
                <c:pt idx="1044">
                  <c:v>6247.069999999997</c:v>
                </c:pt>
                <c:pt idx="1045">
                  <c:v>6264.0999999999967</c:v>
                </c:pt>
                <c:pt idx="1046">
                  <c:v>6277.1699999999964</c:v>
                </c:pt>
                <c:pt idx="1047">
                  <c:v>6287.4099999999962</c:v>
                </c:pt>
                <c:pt idx="1048">
                  <c:v>6293.3499999999958</c:v>
                </c:pt>
                <c:pt idx="1049">
                  <c:v>6298.8799999999956</c:v>
                </c:pt>
                <c:pt idx="1050">
                  <c:v>6303.9099999999953</c:v>
                </c:pt>
                <c:pt idx="1051">
                  <c:v>6304.8199999999952</c:v>
                </c:pt>
                <c:pt idx="1052">
                  <c:v>6305.3599999999951</c:v>
                </c:pt>
                <c:pt idx="1053">
                  <c:v>6322.0999999999949</c:v>
                </c:pt>
                <c:pt idx="1054">
                  <c:v>6332.1599999999953</c:v>
                </c:pt>
                <c:pt idx="1055">
                  <c:v>6339.7399999999952</c:v>
                </c:pt>
                <c:pt idx="1056">
                  <c:v>6343.9999999999955</c:v>
                </c:pt>
                <c:pt idx="1057">
                  <c:v>6346.0899999999956</c:v>
                </c:pt>
                <c:pt idx="1058">
                  <c:v>6347.939999999996</c:v>
                </c:pt>
                <c:pt idx="1059">
                  <c:v>6349.439999999996</c:v>
                </c:pt>
                <c:pt idx="1060">
                  <c:v>6350.6399999999958</c:v>
                </c:pt>
                <c:pt idx="1061">
                  <c:v>6376.8699999999953</c:v>
                </c:pt>
                <c:pt idx="1062">
                  <c:v>6386.5899999999956</c:v>
                </c:pt>
                <c:pt idx="1063">
                  <c:v>6396.1299999999956</c:v>
                </c:pt>
                <c:pt idx="1064">
                  <c:v>6400.8899999999958</c:v>
                </c:pt>
                <c:pt idx="1065">
                  <c:v>6405.0899999999956</c:v>
                </c:pt>
                <c:pt idx="1066">
                  <c:v>6408.439999999996</c:v>
                </c:pt>
                <c:pt idx="1067">
                  <c:v>6411.7199999999957</c:v>
                </c:pt>
                <c:pt idx="1068">
                  <c:v>6414.0599999999959</c:v>
                </c:pt>
                <c:pt idx="1069">
                  <c:v>6415.7499999999955</c:v>
                </c:pt>
                <c:pt idx="1070">
                  <c:v>6417.0399999999954</c:v>
                </c:pt>
                <c:pt idx="1071">
                  <c:v>6417.6499999999951</c:v>
                </c:pt>
                <c:pt idx="1072">
                  <c:v>6433.6199999999953</c:v>
                </c:pt>
                <c:pt idx="1073">
                  <c:v>6448.4299999999957</c:v>
                </c:pt>
                <c:pt idx="1074">
                  <c:v>6457.8699999999953</c:v>
                </c:pt>
                <c:pt idx="1075">
                  <c:v>6461.8499999999949</c:v>
                </c:pt>
                <c:pt idx="1076">
                  <c:v>6462.5799999999945</c:v>
                </c:pt>
                <c:pt idx="1077">
                  <c:v>6473.0699999999943</c:v>
                </c:pt>
                <c:pt idx="1078">
                  <c:v>6483.309999999994</c:v>
                </c:pt>
                <c:pt idx="1079">
                  <c:v>6488.2099999999937</c:v>
                </c:pt>
                <c:pt idx="1080">
                  <c:v>6490.2199999999939</c:v>
                </c:pt>
                <c:pt idx="1081">
                  <c:v>6491.639999999994</c:v>
                </c:pt>
                <c:pt idx="1082">
                  <c:v>6492.2299999999941</c:v>
                </c:pt>
                <c:pt idx="1083">
                  <c:v>6516.9799999999941</c:v>
                </c:pt>
                <c:pt idx="1084">
                  <c:v>6527.9799999999941</c:v>
                </c:pt>
                <c:pt idx="1085">
                  <c:v>6537.0699999999943</c:v>
                </c:pt>
                <c:pt idx="1086">
                  <c:v>6541.7299999999941</c:v>
                </c:pt>
                <c:pt idx="1087">
                  <c:v>6544.7999999999938</c:v>
                </c:pt>
                <c:pt idx="1088">
                  <c:v>6545.7399999999934</c:v>
                </c:pt>
                <c:pt idx="1089">
                  <c:v>6556.2699999999932</c:v>
                </c:pt>
                <c:pt idx="1090">
                  <c:v>6566.6699999999928</c:v>
                </c:pt>
                <c:pt idx="1091">
                  <c:v>6575.8999999999924</c:v>
                </c:pt>
                <c:pt idx="1092">
                  <c:v>6583.5999999999922</c:v>
                </c:pt>
                <c:pt idx="1093">
                  <c:v>6588.9599999999919</c:v>
                </c:pt>
                <c:pt idx="1094">
                  <c:v>6592.549999999992</c:v>
                </c:pt>
                <c:pt idx="1095">
                  <c:v>6593.8299999999917</c:v>
                </c:pt>
                <c:pt idx="1096">
                  <c:v>6636.6499999999915</c:v>
                </c:pt>
                <c:pt idx="1097">
                  <c:v>6653.5099999999911</c:v>
                </c:pt>
                <c:pt idx="1098">
                  <c:v>6669.5999999999913</c:v>
                </c:pt>
                <c:pt idx="1099">
                  <c:v>6681.4399999999914</c:v>
                </c:pt>
                <c:pt idx="1100">
                  <c:v>6692.9699999999912</c:v>
                </c:pt>
                <c:pt idx="1101">
                  <c:v>6703.5199999999913</c:v>
                </c:pt>
                <c:pt idx="1102">
                  <c:v>6709.0799999999917</c:v>
                </c:pt>
                <c:pt idx="1103">
                  <c:v>6713.2299999999914</c:v>
                </c:pt>
                <c:pt idx="1104">
                  <c:v>6716.419999999991</c:v>
                </c:pt>
                <c:pt idx="1105">
                  <c:v>6717.8599999999906</c:v>
                </c:pt>
                <c:pt idx="1106">
                  <c:v>6733.7599999999902</c:v>
                </c:pt>
                <c:pt idx="1107">
                  <c:v>6746.5699999999906</c:v>
                </c:pt>
                <c:pt idx="1108">
                  <c:v>6758.1899999999905</c:v>
                </c:pt>
                <c:pt idx="1109">
                  <c:v>6764.2799999999907</c:v>
                </c:pt>
                <c:pt idx="1110">
                  <c:v>6769.8699999999908</c:v>
                </c:pt>
                <c:pt idx="1111">
                  <c:v>6773.879999999991</c:v>
                </c:pt>
                <c:pt idx="1112">
                  <c:v>6775.9499999999907</c:v>
                </c:pt>
                <c:pt idx="1113">
                  <c:v>6802.3299999999908</c:v>
                </c:pt>
                <c:pt idx="1114">
                  <c:v>6827.2499999999909</c:v>
                </c:pt>
                <c:pt idx="1115">
                  <c:v>6845.5699999999906</c:v>
                </c:pt>
                <c:pt idx="1116">
                  <c:v>6862.5299999999907</c:v>
                </c:pt>
                <c:pt idx="1117">
                  <c:v>6878.1099999999906</c:v>
                </c:pt>
                <c:pt idx="1118">
                  <c:v>6890.8399999999901</c:v>
                </c:pt>
                <c:pt idx="1119">
                  <c:v>6902.5899999999901</c:v>
                </c:pt>
                <c:pt idx="1120">
                  <c:v>6913.5999999999904</c:v>
                </c:pt>
                <c:pt idx="1121">
                  <c:v>6919.5499999999902</c:v>
                </c:pt>
                <c:pt idx="1122">
                  <c:v>6932.8899999999903</c:v>
                </c:pt>
                <c:pt idx="1123">
                  <c:v>6943.5899999999901</c:v>
                </c:pt>
                <c:pt idx="1124">
                  <c:v>6948.1599999999899</c:v>
                </c:pt>
                <c:pt idx="1125">
                  <c:v>6951.9499999999898</c:v>
                </c:pt>
                <c:pt idx="1126">
                  <c:v>6952.6299999999901</c:v>
                </c:pt>
                <c:pt idx="1127">
                  <c:v>6974.3099999999904</c:v>
                </c:pt>
                <c:pt idx="1128">
                  <c:v>6991.5599999999904</c:v>
                </c:pt>
                <c:pt idx="1129">
                  <c:v>6997.2699999999904</c:v>
                </c:pt>
                <c:pt idx="1130">
                  <c:v>7002.0399999999909</c:v>
                </c:pt>
                <c:pt idx="1131">
                  <c:v>7005.1499999999905</c:v>
                </c:pt>
                <c:pt idx="1132">
                  <c:v>7021.1599999999908</c:v>
                </c:pt>
                <c:pt idx="1133">
                  <c:v>7036.419999999991</c:v>
                </c:pt>
                <c:pt idx="1134">
                  <c:v>7048.2699999999913</c:v>
                </c:pt>
                <c:pt idx="1135">
                  <c:v>7057.2199999999912</c:v>
                </c:pt>
                <c:pt idx="1136">
                  <c:v>7064.6599999999908</c:v>
                </c:pt>
                <c:pt idx="1137">
                  <c:v>7071.5099999999911</c:v>
                </c:pt>
                <c:pt idx="1138">
                  <c:v>7077.6499999999915</c:v>
                </c:pt>
                <c:pt idx="1139">
                  <c:v>7082.6199999999917</c:v>
                </c:pt>
                <c:pt idx="1140">
                  <c:v>7085.9599999999919</c:v>
                </c:pt>
                <c:pt idx="1141">
                  <c:v>7087.9899999999916</c:v>
                </c:pt>
                <c:pt idx="1142">
                  <c:v>7114.6399999999912</c:v>
                </c:pt>
                <c:pt idx="1143">
                  <c:v>7125.0499999999911</c:v>
                </c:pt>
                <c:pt idx="1144">
                  <c:v>7134.1099999999915</c:v>
                </c:pt>
                <c:pt idx="1145">
                  <c:v>7137.9499999999916</c:v>
                </c:pt>
                <c:pt idx="1146">
                  <c:v>7138.4499999999916</c:v>
                </c:pt>
                <c:pt idx="1147">
                  <c:v>7162.089999999992</c:v>
                </c:pt>
                <c:pt idx="1148">
                  <c:v>7168.9699999999921</c:v>
                </c:pt>
                <c:pt idx="1149">
                  <c:v>7174.0799999999917</c:v>
                </c:pt>
                <c:pt idx="1150">
                  <c:v>7177.9599999999919</c:v>
                </c:pt>
                <c:pt idx="1151">
                  <c:v>7179.0599999999922</c:v>
                </c:pt>
                <c:pt idx="1152">
                  <c:v>7186.1499999999924</c:v>
                </c:pt>
                <c:pt idx="1153">
                  <c:v>7189.049999999992</c:v>
                </c:pt>
                <c:pt idx="1154">
                  <c:v>7191.0699999999924</c:v>
                </c:pt>
                <c:pt idx="1155">
                  <c:v>7191.9099999999926</c:v>
                </c:pt>
                <c:pt idx="1156">
                  <c:v>7208.2099999999928</c:v>
                </c:pt>
                <c:pt idx="1157">
                  <c:v>7215.179999999993</c:v>
                </c:pt>
                <c:pt idx="1158">
                  <c:v>7235.1199999999926</c:v>
                </c:pt>
                <c:pt idx="1159">
                  <c:v>7245.679999999993</c:v>
                </c:pt>
                <c:pt idx="1160">
                  <c:v>7253.969999999993</c:v>
                </c:pt>
                <c:pt idx="1161">
                  <c:v>7261.4799999999932</c:v>
                </c:pt>
                <c:pt idx="1162">
                  <c:v>7268.3199999999933</c:v>
                </c:pt>
                <c:pt idx="1163">
                  <c:v>7274.4599999999937</c:v>
                </c:pt>
                <c:pt idx="1164">
                  <c:v>7277.2199999999939</c:v>
                </c:pt>
                <c:pt idx="1165">
                  <c:v>7279.9399999999941</c:v>
                </c:pt>
                <c:pt idx="1166">
                  <c:v>7281.6799999999939</c:v>
                </c:pt>
                <c:pt idx="1167">
                  <c:v>7283.389999999994</c:v>
                </c:pt>
                <c:pt idx="1168">
                  <c:v>7306.1199999999935</c:v>
                </c:pt>
                <c:pt idx="1169">
                  <c:v>7326.4499999999935</c:v>
                </c:pt>
                <c:pt idx="1170">
                  <c:v>7344.5799999999936</c:v>
                </c:pt>
                <c:pt idx="1171">
                  <c:v>7355.4899999999934</c:v>
                </c:pt>
                <c:pt idx="1172">
                  <c:v>7364.7399999999934</c:v>
                </c:pt>
                <c:pt idx="1173">
                  <c:v>7373.7299999999932</c:v>
                </c:pt>
                <c:pt idx="1174">
                  <c:v>7376.7699999999932</c:v>
                </c:pt>
                <c:pt idx="1175">
                  <c:v>7378.3699999999935</c:v>
                </c:pt>
                <c:pt idx="1176">
                  <c:v>7379.7499999999936</c:v>
                </c:pt>
                <c:pt idx="1177">
                  <c:v>7381.059999999994</c:v>
                </c:pt>
                <c:pt idx="1178">
                  <c:v>7410.3999999999942</c:v>
                </c:pt>
                <c:pt idx="1179">
                  <c:v>7422.3199999999943</c:v>
                </c:pt>
                <c:pt idx="1180">
                  <c:v>7428.8199999999943</c:v>
                </c:pt>
                <c:pt idx="1181">
                  <c:v>7433.8799999999947</c:v>
                </c:pt>
                <c:pt idx="1182">
                  <c:v>7455.5299999999943</c:v>
                </c:pt>
                <c:pt idx="1183">
                  <c:v>7464.8299999999945</c:v>
                </c:pt>
                <c:pt idx="1184">
                  <c:v>7472.6099999999942</c:v>
                </c:pt>
                <c:pt idx="1185">
                  <c:v>7476.309999999994</c:v>
                </c:pt>
                <c:pt idx="1186">
                  <c:v>7479.4099999999944</c:v>
                </c:pt>
                <c:pt idx="1187">
                  <c:v>7480.7799999999943</c:v>
                </c:pt>
                <c:pt idx="1188">
                  <c:v>7482.0699999999943</c:v>
                </c:pt>
                <c:pt idx="1189">
                  <c:v>7507.1699999999946</c:v>
                </c:pt>
                <c:pt idx="1190">
                  <c:v>7523.2799999999943</c:v>
                </c:pt>
                <c:pt idx="1191">
                  <c:v>7531.5099999999939</c:v>
                </c:pt>
                <c:pt idx="1192">
                  <c:v>7537.4999999999936</c:v>
                </c:pt>
                <c:pt idx="1193">
                  <c:v>7540.4699999999939</c:v>
                </c:pt>
                <c:pt idx="1194">
                  <c:v>7541.849999999994</c:v>
                </c:pt>
                <c:pt idx="1195">
                  <c:v>7542.2299999999941</c:v>
                </c:pt>
                <c:pt idx="1196">
                  <c:v>7558.309999999994</c:v>
                </c:pt>
                <c:pt idx="1197">
                  <c:v>7566.5499999999938</c:v>
                </c:pt>
                <c:pt idx="1198">
                  <c:v>7569.4299999999939</c:v>
                </c:pt>
                <c:pt idx="1199">
                  <c:v>7630.2899999999936</c:v>
                </c:pt>
                <c:pt idx="1200">
                  <c:v>7651.9199999999937</c:v>
                </c:pt>
                <c:pt idx="1201">
                  <c:v>7672.8199999999933</c:v>
                </c:pt>
                <c:pt idx="1202">
                  <c:v>7677.4999999999936</c:v>
                </c:pt>
                <c:pt idx="1203">
                  <c:v>7681.4599999999937</c:v>
                </c:pt>
                <c:pt idx="1204">
                  <c:v>7681.9599999999937</c:v>
                </c:pt>
                <c:pt idx="1205">
                  <c:v>7714.0099999999939</c:v>
                </c:pt>
                <c:pt idx="1206">
                  <c:v>7738.1199999999935</c:v>
                </c:pt>
                <c:pt idx="1207">
                  <c:v>7758.4799999999932</c:v>
                </c:pt>
                <c:pt idx="1208">
                  <c:v>7777.0799999999936</c:v>
                </c:pt>
                <c:pt idx="1209">
                  <c:v>7791.8699999999935</c:v>
                </c:pt>
                <c:pt idx="1210">
                  <c:v>7806.4099999999935</c:v>
                </c:pt>
                <c:pt idx="1211">
                  <c:v>7818.1399999999931</c:v>
                </c:pt>
                <c:pt idx="1212">
                  <c:v>7828.8599999999933</c:v>
                </c:pt>
                <c:pt idx="1213">
                  <c:v>7838.1099999999933</c:v>
                </c:pt>
                <c:pt idx="1214">
                  <c:v>7846.5999999999931</c:v>
                </c:pt>
                <c:pt idx="1215">
                  <c:v>7855.0499999999929</c:v>
                </c:pt>
                <c:pt idx="1216">
                  <c:v>7863.1399999999931</c:v>
                </c:pt>
                <c:pt idx="1217">
                  <c:v>7868.8499999999931</c:v>
                </c:pt>
                <c:pt idx="1218">
                  <c:v>7888.8899999999931</c:v>
                </c:pt>
                <c:pt idx="1219">
                  <c:v>7903.0399999999927</c:v>
                </c:pt>
                <c:pt idx="1220">
                  <c:v>7916.6099999999924</c:v>
                </c:pt>
                <c:pt idx="1221">
                  <c:v>7929.4499999999925</c:v>
                </c:pt>
                <c:pt idx="1222">
                  <c:v>7938.7599999999929</c:v>
                </c:pt>
                <c:pt idx="1223">
                  <c:v>7947.5599999999931</c:v>
                </c:pt>
                <c:pt idx="1224">
                  <c:v>7953.6399999999931</c:v>
                </c:pt>
                <c:pt idx="1225">
                  <c:v>7956.7099999999928</c:v>
                </c:pt>
                <c:pt idx="1226">
                  <c:v>8011.0699999999924</c:v>
                </c:pt>
                <c:pt idx="1227">
                  <c:v>8028.6899999999923</c:v>
                </c:pt>
                <c:pt idx="1228">
                  <c:v>8041.3199999999924</c:v>
                </c:pt>
                <c:pt idx="1229">
                  <c:v>8048.9199999999928</c:v>
                </c:pt>
                <c:pt idx="1230">
                  <c:v>8056.3799999999928</c:v>
                </c:pt>
                <c:pt idx="1231">
                  <c:v>8062.4999999999927</c:v>
                </c:pt>
                <c:pt idx="1232">
                  <c:v>8067.3199999999924</c:v>
                </c:pt>
                <c:pt idx="1233">
                  <c:v>8084.6699999999928</c:v>
                </c:pt>
                <c:pt idx="1234">
                  <c:v>8091.5099999999929</c:v>
                </c:pt>
                <c:pt idx="1235">
                  <c:v>8098.0099999999929</c:v>
                </c:pt>
                <c:pt idx="1236">
                  <c:v>8099.5299999999934</c:v>
                </c:pt>
                <c:pt idx="1237">
                  <c:v>8184.3599999999933</c:v>
                </c:pt>
                <c:pt idx="1238">
                  <c:v>8232.5199999999932</c:v>
                </c:pt>
                <c:pt idx="1239">
                  <c:v>8249.5799999999927</c:v>
                </c:pt>
                <c:pt idx="1240">
                  <c:v>8263.2399999999925</c:v>
                </c:pt>
                <c:pt idx="1241">
                  <c:v>8270.5599999999922</c:v>
                </c:pt>
                <c:pt idx="1242">
                  <c:v>8277.6099999999915</c:v>
                </c:pt>
                <c:pt idx="1243">
                  <c:v>8284.3399999999911</c:v>
                </c:pt>
                <c:pt idx="1244">
                  <c:v>8289.6099999999915</c:v>
                </c:pt>
                <c:pt idx="1245">
                  <c:v>8292.7499999999909</c:v>
                </c:pt>
                <c:pt idx="1246">
                  <c:v>8293.6499999999905</c:v>
                </c:pt>
                <c:pt idx="1247">
                  <c:v>8315.5799999999908</c:v>
                </c:pt>
                <c:pt idx="1248">
                  <c:v>8328.8399999999911</c:v>
                </c:pt>
                <c:pt idx="1249">
                  <c:v>8338.8399999999911</c:v>
                </c:pt>
                <c:pt idx="1250">
                  <c:v>8348.2899999999918</c:v>
                </c:pt>
                <c:pt idx="1251">
                  <c:v>8351.3299999999927</c:v>
                </c:pt>
                <c:pt idx="1252">
                  <c:v>8354.1599999999926</c:v>
                </c:pt>
                <c:pt idx="1253">
                  <c:v>8451.8999999999924</c:v>
                </c:pt>
                <c:pt idx="1254">
                  <c:v>8516.4599999999919</c:v>
                </c:pt>
                <c:pt idx="1255">
                  <c:v>8550.8899999999921</c:v>
                </c:pt>
                <c:pt idx="1256">
                  <c:v>8564.1899999999914</c:v>
                </c:pt>
                <c:pt idx="1257">
                  <c:v>8574.169999999991</c:v>
                </c:pt>
                <c:pt idx="1258">
                  <c:v>8582.3599999999915</c:v>
                </c:pt>
                <c:pt idx="1259">
                  <c:v>8589.5699999999906</c:v>
                </c:pt>
                <c:pt idx="1260">
                  <c:v>8595.5099999999911</c:v>
                </c:pt>
                <c:pt idx="1261">
                  <c:v>8599.4599999999919</c:v>
                </c:pt>
                <c:pt idx="1262">
                  <c:v>8614.7599999999911</c:v>
                </c:pt>
                <c:pt idx="1263">
                  <c:v>8626.3999999999905</c:v>
                </c:pt>
                <c:pt idx="1264">
                  <c:v>8637.3699999999899</c:v>
                </c:pt>
                <c:pt idx="1265">
                  <c:v>8645.4099999999908</c:v>
                </c:pt>
                <c:pt idx="1266">
                  <c:v>8699.1199999999899</c:v>
                </c:pt>
                <c:pt idx="1267">
                  <c:v>8748.0999999999894</c:v>
                </c:pt>
                <c:pt idx="1268">
                  <c:v>8763.4499999999898</c:v>
                </c:pt>
                <c:pt idx="1269">
                  <c:v>8776.20999999999</c:v>
                </c:pt>
                <c:pt idx="1270">
                  <c:v>8785.5899999999892</c:v>
                </c:pt>
                <c:pt idx="1271">
                  <c:v>8794.6299999999901</c:v>
                </c:pt>
                <c:pt idx="1272">
                  <c:v>8803.3999999999905</c:v>
                </c:pt>
                <c:pt idx="1273">
                  <c:v>8810.53999999999</c:v>
                </c:pt>
                <c:pt idx="1274">
                  <c:v>8816.9499999999898</c:v>
                </c:pt>
                <c:pt idx="1275">
                  <c:v>8823.2699999999895</c:v>
                </c:pt>
                <c:pt idx="1276">
                  <c:v>8829.1399999999903</c:v>
                </c:pt>
                <c:pt idx="1277">
                  <c:v>8832.0499999999902</c:v>
                </c:pt>
                <c:pt idx="1278">
                  <c:v>8834.5499999999902</c:v>
                </c:pt>
                <c:pt idx="1279">
                  <c:v>8836.4399999999896</c:v>
                </c:pt>
                <c:pt idx="1280">
                  <c:v>8838.2499999999891</c:v>
                </c:pt>
                <c:pt idx="1281">
                  <c:v>8903.1499999999887</c:v>
                </c:pt>
                <c:pt idx="1282">
                  <c:v>8935.5299999999879</c:v>
                </c:pt>
                <c:pt idx="1283">
                  <c:v>8955.5399999999881</c:v>
                </c:pt>
                <c:pt idx="1284">
                  <c:v>8973.3099999999886</c:v>
                </c:pt>
                <c:pt idx="1285">
                  <c:v>8989.3799999999883</c:v>
                </c:pt>
                <c:pt idx="1286">
                  <c:v>9004.579999999989</c:v>
                </c:pt>
                <c:pt idx="1287">
                  <c:v>9016.3699999999899</c:v>
                </c:pt>
                <c:pt idx="1288">
                  <c:v>9026.8699999999899</c:v>
                </c:pt>
                <c:pt idx="1289">
                  <c:v>9035.7599999999893</c:v>
                </c:pt>
                <c:pt idx="1290">
                  <c:v>9042.45999999999</c:v>
                </c:pt>
                <c:pt idx="1291">
                  <c:v>9046.8799999999901</c:v>
                </c:pt>
                <c:pt idx="1292">
                  <c:v>9048.169999999991</c:v>
                </c:pt>
                <c:pt idx="1293">
                  <c:v>9049.4599999999919</c:v>
                </c:pt>
                <c:pt idx="1294">
                  <c:v>9050.6999999999916</c:v>
                </c:pt>
                <c:pt idx="1295">
                  <c:v>9051.5299999999916</c:v>
                </c:pt>
                <c:pt idx="1296">
                  <c:v>9077.0799999999908</c:v>
                </c:pt>
                <c:pt idx="1297">
                  <c:v>9099.7199999999903</c:v>
                </c:pt>
                <c:pt idx="1298">
                  <c:v>9109.4099999999908</c:v>
                </c:pt>
                <c:pt idx="1299">
                  <c:v>9118.6099999999915</c:v>
                </c:pt>
                <c:pt idx="1300">
                  <c:v>9125.8699999999917</c:v>
                </c:pt>
                <c:pt idx="1301">
                  <c:v>9132.549999999992</c:v>
                </c:pt>
                <c:pt idx="1302">
                  <c:v>9138.9199999999928</c:v>
                </c:pt>
                <c:pt idx="1303">
                  <c:v>9144.9799999999923</c:v>
                </c:pt>
                <c:pt idx="1304">
                  <c:v>9150.1999999999916</c:v>
                </c:pt>
                <c:pt idx="1305">
                  <c:v>9154.9099999999908</c:v>
                </c:pt>
                <c:pt idx="1306">
                  <c:v>9158.6599999999908</c:v>
                </c:pt>
                <c:pt idx="1307">
                  <c:v>9160.7399999999907</c:v>
                </c:pt>
                <c:pt idx="1308">
                  <c:v>9234.3599999999915</c:v>
                </c:pt>
                <c:pt idx="1309">
                  <c:v>9254.3499999999913</c:v>
                </c:pt>
                <c:pt idx="1310">
                  <c:v>9267.3499999999913</c:v>
                </c:pt>
                <c:pt idx="1311">
                  <c:v>9277.9799999999905</c:v>
                </c:pt>
                <c:pt idx="1312">
                  <c:v>9288.5199999999913</c:v>
                </c:pt>
                <c:pt idx="1313">
                  <c:v>9296.3999999999905</c:v>
                </c:pt>
                <c:pt idx="1314">
                  <c:v>9303.6899999999914</c:v>
                </c:pt>
                <c:pt idx="1315">
                  <c:v>9308.919999999991</c:v>
                </c:pt>
                <c:pt idx="1316">
                  <c:v>9313.1499999999905</c:v>
                </c:pt>
                <c:pt idx="1317">
                  <c:v>9316.4399999999914</c:v>
                </c:pt>
                <c:pt idx="1318">
                  <c:v>9319.669999999991</c:v>
                </c:pt>
                <c:pt idx="1319">
                  <c:v>9319.7099999999919</c:v>
                </c:pt>
                <c:pt idx="1320">
                  <c:v>9387.9099999999926</c:v>
                </c:pt>
                <c:pt idx="1321">
                  <c:v>9423.2899999999918</c:v>
                </c:pt>
                <c:pt idx="1322">
                  <c:v>9440.5399999999918</c:v>
                </c:pt>
                <c:pt idx="1323">
                  <c:v>9455.8399999999911</c:v>
                </c:pt>
                <c:pt idx="1324">
                  <c:v>9465.7499999999909</c:v>
                </c:pt>
                <c:pt idx="1325">
                  <c:v>9472.2699999999913</c:v>
                </c:pt>
                <c:pt idx="1326">
                  <c:v>9477.6999999999916</c:v>
                </c:pt>
                <c:pt idx="1327">
                  <c:v>9481.6299999999919</c:v>
                </c:pt>
                <c:pt idx="1328">
                  <c:v>9485.1699999999928</c:v>
                </c:pt>
                <c:pt idx="1329">
                  <c:v>9488.4699999999921</c:v>
                </c:pt>
                <c:pt idx="1330">
                  <c:v>9491.299999999992</c:v>
                </c:pt>
                <c:pt idx="1331">
                  <c:v>9492.3099999999922</c:v>
                </c:pt>
                <c:pt idx="1332">
                  <c:v>9492.929999999993</c:v>
                </c:pt>
                <c:pt idx="1333">
                  <c:v>9534.9399999999932</c:v>
                </c:pt>
                <c:pt idx="1334">
                  <c:v>9571.1199999999935</c:v>
                </c:pt>
                <c:pt idx="1335">
                  <c:v>9597.929999999993</c:v>
                </c:pt>
                <c:pt idx="1336">
                  <c:v>9621.0599999999922</c:v>
                </c:pt>
                <c:pt idx="1337">
                  <c:v>9632.0199999999913</c:v>
                </c:pt>
                <c:pt idx="1338">
                  <c:v>9637.7599999999911</c:v>
                </c:pt>
                <c:pt idx="1339">
                  <c:v>9643.1599999999908</c:v>
                </c:pt>
                <c:pt idx="1340">
                  <c:v>9645.6999999999916</c:v>
                </c:pt>
                <c:pt idx="1341">
                  <c:v>9648.1299999999919</c:v>
                </c:pt>
                <c:pt idx="1342">
                  <c:v>9650.0999999999913</c:v>
                </c:pt>
                <c:pt idx="1343">
                  <c:v>9651.6999999999916</c:v>
                </c:pt>
                <c:pt idx="1344">
                  <c:v>9684.4299999999912</c:v>
                </c:pt>
                <c:pt idx="1345">
                  <c:v>9703.2599999999911</c:v>
                </c:pt>
                <c:pt idx="1346">
                  <c:v>9717.8799999999919</c:v>
                </c:pt>
                <c:pt idx="1347">
                  <c:v>9730.0599999999922</c:v>
                </c:pt>
                <c:pt idx="1348">
                  <c:v>9740.2099999999919</c:v>
                </c:pt>
                <c:pt idx="1349">
                  <c:v>9747.9799999999923</c:v>
                </c:pt>
                <c:pt idx="1350">
                  <c:v>9754.5199999999932</c:v>
                </c:pt>
                <c:pt idx="1351">
                  <c:v>9759.6999999999935</c:v>
                </c:pt>
                <c:pt idx="1352">
                  <c:v>9764.8499999999931</c:v>
                </c:pt>
                <c:pt idx="1353">
                  <c:v>9768.7399999999925</c:v>
                </c:pt>
                <c:pt idx="1354">
                  <c:v>9770.4199999999928</c:v>
                </c:pt>
                <c:pt idx="1355">
                  <c:v>9770.679999999993</c:v>
                </c:pt>
                <c:pt idx="1356">
                  <c:v>9770.8599999999933</c:v>
                </c:pt>
                <c:pt idx="1357">
                  <c:v>9793.6099999999933</c:v>
                </c:pt>
                <c:pt idx="1358">
                  <c:v>9813.9399999999932</c:v>
                </c:pt>
                <c:pt idx="1359">
                  <c:v>9832.0399999999936</c:v>
                </c:pt>
                <c:pt idx="1360">
                  <c:v>9843.7399999999943</c:v>
                </c:pt>
                <c:pt idx="1361">
                  <c:v>9853.9299999999948</c:v>
                </c:pt>
                <c:pt idx="1362">
                  <c:v>9861.7399999999943</c:v>
                </c:pt>
                <c:pt idx="1363">
                  <c:v>9865.8699999999935</c:v>
                </c:pt>
                <c:pt idx="1364">
                  <c:v>9868.9699999999939</c:v>
                </c:pt>
                <c:pt idx="1365">
                  <c:v>9870.7599999999948</c:v>
                </c:pt>
                <c:pt idx="1366">
                  <c:v>9872.3799999999956</c:v>
                </c:pt>
                <c:pt idx="1367">
                  <c:v>9886.8899999999958</c:v>
                </c:pt>
                <c:pt idx="1368">
                  <c:v>9900.1799999999967</c:v>
                </c:pt>
                <c:pt idx="1369">
                  <c:v>9910.1399999999958</c:v>
                </c:pt>
                <c:pt idx="1370">
                  <c:v>9916.5699999999961</c:v>
                </c:pt>
                <c:pt idx="1371">
                  <c:v>9921.5099999999966</c:v>
                </c:pt>
                <c:pt idx="1372">
                  <c:v>9926.0499999999975</c:v>
                </c:pt>
                <c:pt idx="1373">
                  <c:v>9983.239999999998</c:v>
                </c:pt>
                <c:pt idx="1374">
                  <c:v>10011.879999999997</c:v>
                </c:pt>
                <c:pt idx="1375">
                  <c:v>10036.109999999997</c:v>
                </c:pt>
                <c:pt idx="1376">
                  <c:v>10057.329999999996</c:v>
                </c:pt>
                <c:pt idx="1377">
                  <c:v>10076.449999999997</c:v>
                </c:pt>
                <c:pt idx="1378">
                  <c:v>10094.769999999997</c:v>
                </c:pt>
                <c:pt idx="1379">
                  <c:v>10108.659999999996</c:v>
                </c:pt>
                <c:pt idx="1380">
                  <c:v>10121.939999999997</c:v>
                </c:pt>
                <c:pt idx="1381">
                  <c:v>10129.229999999998</c:v>
                </c:pt>
                <c:pt idx="1382">
                  <c:v>10130.729999999998</c:v>
                </c:pt>
                <c:pt idx="1383">
                  <c:v>10160.339999999998</c:v>
                </c:pt>
                <c:pt idx="1384">
                  <c:v>10184.719999999998</c:v>
                </c:pt>
                <c:pt idx="1385">
                  <c:v>10204.689999999997</c:v>
                </c:pt>
                <c:pt idx="1386">
                  <c:v>10223.019999999997</c:v>
                </c:pt>
                <c:pt idx="1387">
                  <c:v>10238.949999999997</c:v>
                </c:pt>
                <c:pt idx="1388">
                  <c:v>10251.419999999996</c:v>
                </c:pt>
                <c:pt idx="1389">
                  <c:v>10260.249999999996</c:v>
                </c:pt>
                <c:pt idx="1390">
                  <c:v>10266.109999999997</c:v>
                </c:pt>
                <c:pt idx="1391">
                  <c:v>10271.489999999996</c:v>
                </c:pt>
                <c:pt idx="1392">
                  <c:v>10276.379999999996</c:v>
                </c:pt>
                <c:pt idx="1393">
                  <c:v>10277.609999999995</c:v>
                </c:pt>
                <c:pt idx="1394">
                  <c:v>10278.209999999995</c:v>
                </c:pt>
                <c:pt idx="1395">
                  <c:v>10296.019999999995</c:v>
                </c:pt>
                <c:pt idx="1396">
                  <c:v>10312.039999999995</c:v>
                </c:pt>
                <c:pt idx="1397">
                  <c:v>10321.509999999995</c:v>
                </c:pt>
                <c:pt idx="1398">
                  <c:v>10329.159999999994</c:v>
                </c:pt>
                <c:pt idx="1399">
                  <c:v>10336.359999999995</c:v>
                </c:pt>
                <c:pt idx="1400">
                  <c:v>10342.679999999995</c:v>
                </c:pt>
                <c:pt idx="1401">
                  <c:v>10348.209999999995</c:v>
                </c:pt>
                <c:pt idx="1402">
                  <c:v>10348.809999999996</c:v>
                </c:pt>
                <c:pt idx="1403">
                  <c:v>10348.819999999996</c:v>
                </c:pt>
                <c:pt idx="1404">
                  <c:v>10441.919999999996</c:v>
                </c:pt>
                <c:pt idx="1405">
                  <c:v>10502.369999999997</c:v>
                </c:pt>
                <c:pt idx="1406">
                  <c:v>10539.479999999998</c:v>
                </c:pt>
                <c:pt idx="1407">
                  <c:v>10574.579999999998</c:v>
                </c:pt>
                <c:pt idx="1408">
                  <c:v>10594.729999999998</c:v>
                </c:pt>
                <c:pt idx="1409">
                  <c:v>10610.619999999997</c:v>
                </c:pt>
                <c:pt idx="1410">
                  <c:v>10625.019999999997</c:v>
                </c:pt>
                <c:pt idx="1411">
                  <c:v>10637.209999999997</c:v>
                </c:pt>
                <c:pt idx="1412">
                  <c:v>10648.709999999997</c:v>
                </c:pt>
                <c:pt idx="1413">
                  <c:v>10658.589999999997</c:v>
                </c:pt>
                <c:pt idx="1414">
                  <c:v>10666.669999999996</c:v>
                </c:pt>
                <c:pt idx="1415">
                  <c:v>10669.909999999996</c:v>
                </c:pt>
                <c:pt idx="1416">
                  <c:v>10672.969999999996</c:v>
                </c:pt>
                <c:pt idx="1417">
                  <c:v>10673.459999999995</c:v>
                </c:pt>
                <c:pt idx="1418">
                  <c:v>10711.129999999996</c:v>
                </c:pt>
                <c:pt idx="1419">
                  <c:v>10741.669999999996</c:v>
                </c:pt>
                <c:pt idx="1420">
                  <c:v>10758.869999999997</c:v>
                </c:pt>
                <c:pt idx="1421">
                  <c:v>10775.849999999997</c:v>
                </c:pt>
                <c:pt idx="1422">
                  <c:v>10791.619999999997</c:v>
                </c:pt>
                <c:pt idx="1423">
                  <c:v>10796.489999999998</c:v>
                </c:pt>
                <c:pt idx="1424">
                  <c:v>10797.479999999998</c:v>
                </c:pt>
                <c:pt idx="1425">
                  <c:v>10859.949999999997</c:v>
                </c:pt>
                <c:pt idx="1426">
                  <c:v>10920.039999999997</c:v>
                </c:pt>
                <c:pt idx="1427">
                  <c:v>10967.369999999997</c:v>
                </c:pt>
                <c:pt idx="1428">
                  <c:v>10990.779999999997</c:v>
                </c:pt>
                <c:pt idx="1429">
                  <c:v>11003.129999999997</c:v>
                </c:pt>
                <c:pt idx="1430">
                  <c:v>11012.109999999997</c:v>
                </c:pt>
                <c:pt idx="1431">
                  <c:v>11020.899999999998</c:v>
                </c:pt>
                <c:pt idx="1432">
                  <c:v>11023.209999999997</c:v>
                </c:pt>
                <c:pt idx="1433">
                  <c:v>11025.129999999997</c:v>
                </c:pt>
                <c:pt idx="1434">
                  <c:v>11027.029999999997</c:v>
                </c:pt>
                <c:pt idx="1435">
                  <c:v>11027.709999999997</c:v>
                </c:pt>
                <c:pt idx="1436">
                  <c:v>11028.299999999997</c:v>
                </c:pt>
                <c:pt idx="1437">
                  <c:v>11098.159999999998</c:v>
                </c:pt>
                <c:pt idx="1438">
                  <c:v>11115.769999999999</c:v>
                </c:pt>
                <c:pt idx="1439">
                  <c:v>11129.399999999998</c:v>
                </c:pt>
                <c:pt idx="1440">
                  <c:v>11141.759999999998</c:v>
                </c:pt>
                <c:pt idx="1441">
                  <c:v>11151.269999999999</c:v>
                </c:pt>
                <c:pt idx="1442">
                  <c:v>11155.949999999999</c:v>
                </c:pt>
                <c:pt idx="1443">
                  <c:v>11160.38</c:v>
                </c:pt>
                <c:pt idx="1444">
                  <c:v>11164.14</c:v>
                </c:pt>
                <c:pt idx="1445">
                  <c:v>11165.64</c:v>
                </c:pt>
                <c:pt idx="1446">
                  <c:v>11166.93</c:v>
                </c:pt>
                <c:pt idx="1447">
                  <c:v>11167.130000000001</c:v>
                </c:pt>
                <c:pt idx="1448">
                  <c:v>11212.78</c:v>
                </c:pt>
                <c:pt idx="1449">
                  <c:v>11257.050000000001</c:v>
                </c:pt>
                <c:pt idx="1450">
                  <c:v>11294.45</c:v>
                </c:pt>
                <c:pt idx="1451">
                  <c:v>11327.36</c:v>
                </c:pt>
                <c:pt idx="1452">
                  <c:v>11356.61</c:v>
                </c:pt>
                <c:pt idx="1453">
                  <c:v>11373.54</c:v>
                </c:pt>
                <c:pt idx="1454">
                  <c:v>11387.720000000001</c:v>
                </c:pt>
                <c:pt idx="1455">
                  <c:v>11401.420000000002</c:v>
                </c:pt>
                <c:pt idx="1456">
                  <c:v>11412.610000000002</c:v>
                </c:pt>
                <c:pt idx="1457">
                  <c:v>11422.720000000003</c:v>
                </c:pt>
                <c:pt idx="1458">
                  <c:v>11432.260000000004</c:v>
                </c:pt>
                <c:pt idx="1459">
                  <c:v>11439.160000000003</c:v>
                </c:pt>
                <c:pt idx="1460">
                  <c:v>11445.700000000004</c:v>
                </c:pt>
                <c:pt idx="1461">
                  <c:v>11449.770000000004</c:v>
                </c:pt>
                <c:pt idx="1462">
                  <c:v>11453.550000000005</c:v>
                </c:pt>
                <c:pt idx="1463">
                  <c:v>11457.020000000004</c:v>
                </c:pt>
                <c:pt idx="1464">
                  <c:v>11459.740000000003</c:v>
                </c:pt>
                <c:pt idx="1465">
                  <c:v>11460.920000000004</c:v>
                </c:pt>
                <c:pt idx="1466">
                  <c:v>11461.910000000003</c:v>
                </c:pt>
                <c:pt idx="1467">
                  <c:v>11462.660000000003</c:v>
                </c:pt>
                <c:pt idx="1468">
                  <c:v>11486.760000000004</c:v>
                </c:pt>
                <c:pt idx="1469">
                  <c:v>11508.350000000004</c:v>
                </c:pt>
                <c:pt idx="1470">
                  <c:v>11516.710000000005</c:v>
                </c:pt>
                <c:pt idx="1471">
                  <c:v>11524.420000000004</c:v>
                </c:pt>
                <c:pt idx="1472">
                  <c:v>11531.310000000003</c:v>
                </c:pt>
                <c:pt idx="1473">
                  <c:v>11536.580000000004</c:v>
                </c:pt>
                <c:pt idx="1474">
                  <c:v>11541.220000000003</c:v>
                </c:pt>
                <c:pt idx="1475">
                  <c:v>11543.720000000003</c:v>
                </c:pt>
                <c:pt idx="1476">
                  <c:v>11545.330000000004</c:v>
                </c:pt>
                <c:pt idx="1477">
                  <c:v>11546.720000000003</c:v>
                </c:pt>
                <c:pt idx="1478">
                  <c:v>11547.790000000003</c:v>
                </c:pt>
                <c:pt idx="1479">
                  <c:v>11548.710000000003</c:v>
                </c:pt>
                <c:pt idx="1480">
                  <c:v>11548.770000000002</c:v>
                </c:pt>
                <c:pt idx="1481">
                  <c:v>11648.070000000002</c:v>
                </c:pt>
                <c:pt idx="1482">
                  <c:v>11715.890000000001</c:v>
                </c:pt>
                <c:pt idx="1483">
                  <c:v>11766.260000000002</c:v>
                </c:pt>
                <c:pt idx="1484">
                  <c:v>11816.590000000002</c:v>
                </c:pt>
                <c:pt idx="1485">
                  <c:v>11847.000000000002</c:v>
                </c:pt>
                <c:pt idx="1486">
                  <c:v>11872.110000000002</c:v>
                </c:pt>
                <c:pt idx="1487">
                  <c:v>11895.900000000003</c:v>
                </c:pt>
                <c:pt idx="1488">
                  <c:v>11918.220000000003</c:v>
                </c:pt>
                <c:pt idx="1489">
                  <c:v>11938.550000000003</c:v>
                </c:pt>
                <c:pt idx="1490">
                  <c:v>11951.350000000002</c:v>
                </c:pt>
                <c:pt idx="1491">
                  <c:v>11958.730000000001</c:v>
                </c:pt>
                <c:pt idx="1492">
                  <c:v>11965.740000000002</c:v>
                </c:pt>
                <c:pt idx="1493">
                  <c:v>11972.300000000001</c:v>
                </c:pt>
                <c:pt idx="1494">
                  <c:v>11977.78</c:v>
                </c:pt>
                <c:pt idx="1495">
                  <c:v>11982.35</c:v>
                </c:pt>
                <c:pt idx="1496">
                  <c:v>11985.98</c:v>
                </c:pt>
                <c:pt idx="1497">
                  <c:v>12074.289999999999</c:v>
                </c:pt>
                <c:pt idx="1498">
                  <c:v>12150.289999999999</c:v>
                </c:pt>
                <c:pt idx="1499">
                  <c:v>12216.029999999999</c:v>
                </c:pt>
                <c:pt idx="1500">
                  <c:v>12268.47</c:v>
                </c:pt>
                <c:pt idx="1501">
                  <c:v>12315.89</c:v>
                </c:pt>
                <c:pt idx="1502">
                  <c:v>12362.72</c:v>
                </c:pt>
                <c:pt idx="1503">
                  <c:v>12402.869999999999</c:v>
                </c:pt>
                <c:pt idx="1504">
                  <c:v>12425.96</c:v>
                </c:pt>
                <c:pt idx="1505">
                  <c:v>12447.419999999998</c:v>
                </c:pt>
                <c:pt idx="1506">
                  <c:v>12468.46</c:v>
                </c:pt>
                <c:pt idx="1507">
                  <c:v>12488.8</c:v>
                </c:pt>
                <c:pt idx="1508">
                  <c:v>12503.06</c:v>
                </c:pt>
                <c:pt idx="1509">
                  <c:v>12516.64</c:v>
                </c:pt>
                <c:pt idx="1510">
                  <c:v>12530.09</c:v>
                </c:pt>
                <c:pt idx="1511">
                  <c:v>12542.55</c:v>
                </c:pt>
                <c:pt idx="1512">
                  <c:v>12554.97</c:v>
                </c:pt>
                <c:pt idx="1513">
                  <c:v>12565.22</c:v>
                </c:pt>
                <c:pt idx="1514">
                  <c:v>12573.66</c:v>
                </c:pt>
                <c:pt idx="1515">
                  <c:v>12581.539999999999</c:v>
                </c:pt>
                <c:pt idx="1516">
                  <c:v>12588.82</c:v>
                </c:pt>
                <c:pt idx="1517">
                  <c:v>12594.81</c:v>
                </c:pt>
                <c:pt idx="1518">
                  <c:v>12599.859999999999</c:v>
                </c:pt>
                <c:pt idx="1519">
                  <c:v>12603.9</c:v>
                </c:pt>
                <c:pt idx="1520">
                  <c:v>12605.96</c:v>
                </c:pt>
                <c:pt idx="1521">
                  <c:v>12607.869999999999</c:v>
                </c:pt>
                <c:pt idx="1522">
                  <c:v>12640.269999999999</c:v>
                </c:pt>
                <c:pt idx="1523">
                  <c:v>12666.189999999999</c:v>
                </c:pt>
                <c:pt idx="1524">
                  <c:v>12690.539999999999</c:v>
                </c:pt>
                <c:pt idx="1525">
                  <c:v>12711.679999999998</c:v>
                </c:pt>
                <c:pt idx="1526">
                  <c:v>12732.149999999998</c:v>
                </c:pt>
                <c:pt idx="1527">
                  <c:v>12748.739999999998</c:v>
                </c:pt>
                <c:pt idx="1528">
                  <c:v>12765.089999999998</c:v>
                </c:pt>
                <c:pt idx="1529">
                  <c:v>12779.309999999998</c:v>
                </c:pt>
                <c:pt idx="1530">
                  <c:v>12793.439999999997</c:v>
                </c:pt>
                <c:pt idx="1531">
                  <c:v>12806.599999999997</c:v>
                </c:pt>
                <c:pt idx="1532">
                  <c:v>12815.549999999997</c:v>
                </c:pt>
                <c:pt idx="1533">
                  <c:v>12822.389999999998</c:v>
                </c:pt>
                <c:pt idx="1534">
                  <c:v>12828.729999999998</c:v>
                </c:pt>
                <c:pt idx="1535">
                  <c:v>12835.039999999997</c:v>
                </c:pt>
                <c:pt idx="1536">
                  <c:v>12840.129999999997</c:v>
                </c:pt>
                <c:pt idx="1537">
                  <c:v>12844.639999999998</c:v>
                </c:pt>
                <c:pt idx="1538">
                  <c:v>12849.119999999997</c:v>
                </c:pt>
                <c:pt idx="1539">
                  <c:v>12852.939999999997</c:v>
                </c:pt>
                <c:pt idx="1540">
                  <c:v>12855.899999999996</c:v>
                </c:pt>
                <c:pt idx="1541">
                  <c:v>12857.539999999995</c:v>
                </c:pt>
                <c:pt idx="1542">
                  <c:v>12858.879999999996</c:v>
                </c:pt>
                <c:pt idx="1543">
                  <c:v>12859.509999999995</c:v>
                </c:pt>
                <c:pt idx="1544">
                  <c:v>12860.109999999995</c:v>
                </c:pt>
                <c:pt idx="1545">
                  <c:v>12931.649999999996</c:v>
                </c:pt>
                <c:pt idx="1546">
                  <c:v>12968.789999999995</c:v>
                </c:pt>
                <c:pt idx="1547">
                  <c:v>13004.199999999995</c:v>
                </c:pt>
                <c:pt idx="1548">
                  <c:v>13024.949999999995</c:v>
                </c:pt>
                <c:pt idx="1549">
                  <c:v>13044.569999999996</c:v>
                </c:pt>
                <c:pt idx="1550">
                  <c:v>13061.169999999996</c:v>
                </c:pt>
                <c:pt idx="1551">
                  <c:v>13075.299999999996</c:v>
                </c:pt>
                <c:pt idx="1552">
                  <c:v>13088.769999999995</c:v>
                </c:pt>
                <c:pt idx="1553">
                  <c:v>13100.949999999995</c:v>
                </c:pt>
                <c:pt idx="1554">
                  <c:v>13112.669999999995</c:v>
                </c:pt>
                <c:pt idx="1555">
                  <c:v>13124.189999999995</c:v>
                </c:pt>
                <c:pt idx="1556">
                  <c:v>13132.829999999994</c:v>
                </c:pt>
                <c:pt idx="1557">
                  <c:v>13141.399999999994</c:v>
                </c:pt>
                <c:pt idx="1558">
                  <c:v>13149.249999999995</c:v>
                </c:pt>
                <c:pt idx="1559">
                  <c:v>13155.549999999994</c:v>
                </c:pt>
                <c:pt idx="1560">
                  <c:v>13161.299999999994</c:v>
                </c:pt>
                <c:pt idx="1561">
                  <c:v>13166.029999999993</c:v>
                </c:pt>
                <c:pt idx="1562">
                  <c:v>13169.839999999993</c:v>
                </c:pt>
                <c:pt idx="1563">
                  <c:v>13173.319999999992</c:v>
                </c:pt>
                <c:pt idx="1564">
                  <c:v>13176.299999999992</c:v>
                </c:pt>
                <c:pt idx="1565">
                  <c:v>13178.199999999992</c:v>
                </c:pt>
                <c:pt idx="1566">
                  <c:v>13179.699999999992</c:v>
                </c:pt>
                <c:pt idx="1567">
                  <c:v>13270.089999999991</c:v>
                </c:pt>
                <c:pt idx="1568">
                  <c:v>13323.949999999992</c:v>
                </c:pt>
                <c:pt idx="1569">
                  <c:v>13370.949999999992</c:v>
                </c:pt>
                <c:pt idx="1570">
                  <c:v>13395.409999999991</c:v>
                </c:pt>
                <c:pt idx="1571">
                  <c:v>13418.569999999991</c:v>
                </c:pt>
                <c:pt idx="1572">
                  <c:v>13438.70999999999</c:v>
                </c:pt>
                <c:pt idx="1573">
                  <c:v>13458.399999999991</c:v>
                </c:pt>
                <c:pt idx="1574">
                  <c:v>13475.61999999999</c:v>
                </c:pt>
                <c:pt idx="1575">
                  <c:v>13492.54999999999</c:v>
                </c:pt>
                <c:pt idx="1576">
                  <c:v>13509.349999999989</c:v>
                </c:pt>
                <c:pt idx="1577">
                  <c:v>13523.839999999989</c:v>
                </c:pt>
                <c:pt idx="1578">
                  <c:v>13536.989999999989</c:v>
                </c:pt>
                <c:pt idx="1579">
                  <c:v>13549.979999999989</c:v>
                </c:pt>
                <c:pt idx="1580">
                  <c:v>13560.539999999988</c:v>
                </c:pt>
                <c:pt idx="1581">
                  <c:v>13569.699999999988</c:v>
                </c:pt>
                <c:pt idx="1582">
                  <c:v>13578.169999999987</c:v>
                </c:pt>
                <c:pt idx="1583">
                  <c:v>13586.569999999987</c:v>
                </c:pt>
                <c:pt idx="1584">
                  <c:v>13594.919999999987</c:v>
                </c:pt>
                <c:pt idx="1585">
                  <c:v>13600.219999999987</c:v>
                </c:pt>
                <c:pt idx="1586">
                  <c:v>13604.719999999987</c:v>
                </c:pt>
                <c:pt idx="1587">
                  <c:v>13608.599999999986</c:v>
                </c:pt>
                <c:pt idx="1588">
                  <c:v>13610.409999999985</c:v>
                </c:pt>
                <c:pt idx="1589">
                  <c:v>13657.639999999985</c:v>
                </c:pt>
                <c:pt idx="1590">
                  <c:v>13704.309999999985</c:v>
                </c:pt>
                <c:pt idx="1591">
                  <c:v>13741.549999999985</c:v>
                </c:pt>
                <c:pt idx="1592">
                  <c:v>13772.199999999984</c:v>
                </c:pt>
                <c:pt idx="1593">
                  <c:v>13800.659999999983</c:v>
                </c:pt>
                <c:pt idx="1594">
                  <c:v>13823.889999999983</c:v>
                </c:pt>
                <c:pt idx="1595">
                  <c:v>13845.119999999983</c:v>
                </c:pt>
                <c:pt idx="1596">
                  <c:v>13864.539999999983</c:v>
                </c:pt>
                <c:pt idx="1597">
                  <c:v>13878.069999999983</c:v>
                </c:pt>
                <c:pt idx="1598">
                  <c:v>13891.089999999984</c:v>
                </c:pt>
                <c:pt idx="1599">
                  <c:v>13903.639999999983</c:v>
                </c:pt>
                <c:pt idx="1600">
                  <c:v>13916.029999999982</c:v>
                </c:pt>
                <c:pt idx="1601">
                  <c:v>13928.389999999983</c:v>
                </c:pt>
                <c:pt idx="1602">
                  <c:v>13939.319999999983</c:v>
                </c:pt>
                <c:pt idx="1603">
                  <c:v>13950.129999999983</c:v>
                </c:pt>
                <c:pt idx="1604">
                  <c:v>13960.259999999982</c:v>
                </c:pt>
                <c:pt idx="1605">
                  <c:v>13970.099999999982</c:v>
                </c:pt>
                <c:pt idx="1606">
                  <c:v>13978.919999999982</c:v>
                </c:pt>
                <c:pt idx="1607">
                  <c:v>13987.439999999982</c:v>
                </c:pt>
                <c:pt idx="1608">
                  <c:v>13995.029999999982</c:v>
                </c:pt>
                <c:pt idx="1609">
                  <c:v>14002.339999999982</c:v>
                </c:pt>
                <c:pt idx="1610">
                  <c:v>14008.779999999982</c:v>
                </c:pt>
                <c:pt idx="1611">
                  <c:v>14014.389999999983</c:v>
                </c:pt>
                <c:pt idx="1612">
                  <c:v>14019.449999999983</c:v>
                </c:pt>
                <c:pt idx="1613">
                  <c:v>14024.289999999983</c:v>
                </c:pt>
                <c:pt idx="1614">
                  <c:v>14028.909999999983</c:v>
                </c:pt>
                <c:pt idx="1615">
                  <c:v>14032.289999999983</c:v>
                </c:pt>
                <c:pt idx="1616">
                  <c:v>14035.319999999983</c:v>
                </c:pt>
                <c:pt idx="1617">
                  <c:v>14036.889999999983</c:v>
                </c:pt>
                <c:pt idx="1618">
                  <c:v>14038.389999999983</c:v>
                </c:pt>
                <c:pt idx="1619">
                  <c:v>14039.719999999983</c:v>
                </c:pt>
                <c:pt idx="1620">
                  <c:v>14040.079999999984</c:v>
                </c:pt>
                <c:pt idx="1621">
                  <c:v>14093.279999999984</c:v>
                </c:pt>
                <c:pt idx="1622">
                  <c:v>14136.549999999985</c:v>
                </c:pt>
                <c:pt idx="1623">
                  <c:v>14172.449999999984</c:v>
                </c:pt>
                <c:pt idx="1624">
                  <c:v>14205.899999999985</c:v>
                </c:pt>
                <c:pt idx="1625">
                  <c:v>14238.119999999984</c:v>
                </c:pt>
                <c:pt idx="1626">
                  <c:v>14267.879999999985</c:v>
                </c:pt>
                <c:pt idx="1627">
                  <c:v>14295.759999999984</c:v>
                </c:pt>
                <c:pt idx="1628">
                  <c:v>14320.009999999984</c:v>
                </c:pt>
                <c:pt idx="1629">
                  <c:v>14338.589999999984</c:v>
                </c:pt>
                <c:pt idx="1630">
                  <c:v>14355.109999999984</c:v>
                </c:pt>
                <c:pt idx="1631">
                  <c:v>14370.569999999983</c:v>
                </c:pt>
                <c:pt idx="1632">
                  <c:v>14384.069999999983</c:v>
                </c:pt>
                <c:pt idx="1633">
                  <c:v>14396.859999999984</c:v>
                </c:pt>
                <c:pt idx="1634">
                  <c:v>14405.619999999984</c:v>
                </c:pt>
                <c:pt idx="1635">
                  <c:v>14413.689999999984</c:v>
                </c:pt>
                <c:pt idx="1636">
                  <c:v>14421.739999999983</c:v>
                </c:pt>
                <c:pt idx="1637">
                  <c:v>14428.419999999984</c:v>
                </c:pt>
                <c:pt idx="1638">
                  <c:v>14433.989999999983</c:v>
                </c:pt>
                <c:pt idx="1639">
                  <c:v>14439.239999999983</c:v>
                </c:pt>
                <c:pt idx="1640">
                  <c:v>14444.279999999984</c:v>
                </c:pt>
                <c:pt idx="1641">
                  <c:v>14449.149999999985</c:v>
                </c:pt>
                <c:pt idx="1642">
                  <c:v>14453.839999999986</c:v>
                </c:pt>
                <c:pt idx="1643">
                  <c:v>14457.909999999985</c:v>
                </c:pt>
                <c:pt idx="1644">
                  <c:v>14461.639999999985</c:v>
                </c:pt>
                <c:pt idx="1645">
                  <c:v>14464.249999999985</c:v>
                </c:pt>
                <c:pt idx="1646">
                  <c:v>14466.739999999985</c:v>
                </c:pt>
                <c:pt idx="1647">
                  <c:v>14469.149999999985</c:v>
                </c:pt>
                <c:pt idx="1648">
                  <c:v>14470.749999999985</c:v>
                </c:pt>
                <c:pt idx="1649">
                  <c:v>14471.389999999985</c:v>
                </c:pt>
                <c:pt idx="1650">
                  <c:v>14471.699999999984</c:v>
                </c:pt>
                <c:pt idx="1651">
                  <c:v>14533.119999999984</c:v>
                </c:pt>
                <c:pt idx="1652">
                  <c:v>14591.199999999984</c:v>
                </c:pt>
                <c:pt idx="1653">
                  <c:v>14640.649999999985</c:v>
                </c:pt>
                <c:pt idx="1654">
                  <c:v>14688.779999999984</c:v>
                </c:pt>
                <c:pt idx="1655">
                  <c:v>14731.029999999984</c:v>
                </c:pt>
                <c:pt idx="1656">
                  <c:v>14772.459999999985</c:v>
                </c:pt>
                <c:pt idx="1657">
                  <c:v>14804.789999999985</c:v>
                </c:pt>
                <c:pt idx="1658">
                  <c:v>14834.839999999984</c:v>
                </c:pt>
                <c:pt idx="1659">
                  <c:v>14864.539999999985</c:v>
                </c:pt>
                <c:pt idx="1660">
                  <c:v>14888.619999999984</c:v>
                </c:pt>
                <c:pt idx="1661">
                  <c:v>14910.139999999985</c:v>
                </c:pt>
                <c:pt idx="1662">
                  <c:v>14929.729999999985</c:v>
                </c:pt>
                <c:pt idx="1663">
                  <c:v>14946.649999999985</c:v>
                </c:pt>
                <c:pt idx="1664">
                  <c:v>14961.959999999985</c:v>
                </c:pt>
                <c:pt idx="1665">
                  <c:v>14976.839999999984</c:v>
                </c:pt>
                <c:pt idx="1666">
                  <c:v>14989.769999999984</c:v>
                </c:pt>
                <c:pt idx="1667">
                  <c:v>15002.369999999984</c:v>
                </c:pt>
                <c:pt idx="1668">
                  <c:v>15013.609999999984</c:v>
                </c:pt>
                <c:pt idx="1669">
                  <c:v>15024.689999999984</c:v>
                </c:pt>
                <c:pt idx="1670">
                  <c:v>15034.349999999984</c:v>
                </c:pt>
                <c:pt idx="1671">
                  <c:v>15043.809999999983</c:v>
                </c:pt>
                <c:pt idx="1672">
                  <c:v>15051.989999999983</c:v>
                </c:pt>
                <c:pt idx="1673">
                  <c:v>15059.579999999984</c:v>
                </c:pt>
                <c:pt idx="1674">
                  <c:v>15067.059999999983</c:v>
                </c:pt>
                <c:pt idx="1675">
                  <c:v>15074.349999999984</c:v>
                </c:pt>
                <c:pt idx="1676">
                  <c:v>15080.959999999985</c:v>
                </c:pt>
                <c:pt idx="1677">
                  <c:v>15086.619999999984</c:v>
                </c:pt>
                <c:pt idx="1678">
                  <c:v>15092.049999999985</c:v>
                </c:pt>
                <c:pt idx="1679">
                  <c:v>15097.149999999985</c:v>
                </c:pt>
                <c:pt idx="1680">
                  <c:v>15101.919999999986</c:v>
                </c:pt>
                <c:pt idx="1681">
                  <c:v>15106.609999999986</c:v>
                </c:pt>
                <c:pt idx="1682">
                  <c:v>15111.079999999985</c:v>
                </c:pt>
                <c:pt idx="1683">
                  <c:v>15115.499999999985</c:v>
                </c:pt>
                <c:pt idx="1684">
                  <c:v>15118.649999999985</c:v>
                </c:pt>
                <c:pt idx="1685">
                  <c:v>15121.409999999985</c:v>
                </c:pt>
                <c:pt idx="1686">
                  <c:v>15123.969999999985</c:v>
                </c:pt>
                <c:pt idx="1687">
                  <c:v>15126.099999999984</c:v>
                </c:pt>
                <c:pt idx="1688">
                  <c:v>15128.179999999984</c:v>
                </c:pt>
                <c:pt idx="1689">
                  <c:v>15129.649999999983</c:v>
                </c:pt>
                <c:pt idx="1690">
                  <c:v>15131.099999999984</c:v>
                </c:pt>
                <c:pt idx="1691">
                  <c:v>15132.209999999985</c:v>
                </c:pt>
                <c:pt idx="1692">
                  <c:v>15133.219999999985</c:v>
                </c:pt>
                <c:pt idx="1693">
                  <c:v>15249.799999999985</c:v>
                </c:pt>
                <c:pt idx="1694">
                  <c:v>15309.069999999985</c:v>
                </c:pt>
                <c:pt idx="1695">
                  <c:v>15366.509999999986</c:v>
                </c:pt>
                <c:pt idx="1696">
                  <c:v>15418.559999999985</c:v>
                </c:pt>
                <c:pt idx="1697">
                  <c:v>15464.939999999984</c:v>
                </c:pt>
                <c:pt idx="1698">
                  <c:v>15510.799999999985</c:v>
                </c:pt>
                <c:pt idx="1699">
                  <c:v>15555.789999999985</c:v>
                </c:pt>
                <c:pt idx="1700">
                  <c:v>15600.479999999985</c:v>
                </c:pt>
                <c:pt idx="1701">
                  <c:v>15645.009999999986</c:v>
                </c:pt>
                <c:pt idx="1702">
                  <c:v>15689.249999999985</c:v>
                </c:pt>
                <c:pt idx="1703">
                  <c:v>15730.319999999985</c:v>
                </c:pt>
                <c:pt idx="1704">
                  <c:v>15770.959999999985</c:v>
                </c:pt>
                <c:pt idx="1705">
                  <c:v>15809.319999999985</c:v>
                </c:pt>
                <c:pt idx="1706">
                  <c:v>15844.569999999985</c:v>
                </c:pt>
                <c:pt idx="1707">
                  <c:v>15879.819999999985</c:v>
                </c:pt>
                <c:pt idx="1708">
                  <c:v>15914.979999999985</c:v>
                </c:pt>
                <c:pt idx="1709">
                  <c:v>15948.199999999984</c:v>
                </c:pt>
                <c:pt idx="1710">
                  <c:v>15978.539999999985</c:v>
                </c:pt>
                <c:pt idx="1711">
                  <c:v>16007.889999999985</c:v>
                </c:pt>
                <c:pt idx="1712">
                  <c:v>16036.259999999986</c:v>
                </c:pt>
                <c:pt idx="1713">
                  <c:v>16063.299999999987</c:v>
                </c:pt>
                <c:pt idx="1714">
                  <c:v>16088.479999999987</c:v>
                </c:pt>
                <c:pt idx="1715">
                  <c:v>16112.789999999986</c:v>
                </c:pt>
                <c:pt idx="1716">
                  <c:v>16136.459999999986</c:v>
                </c:pt>
                <c:pt idx="1717">
                  <c:v>16156.289999999986</c:v>
                </c:pt>
                <c:pt idx="1718">
                  <c:v>16174.549999999987</c:v>
                </c:pt>
                <c:pt idx="1719">
                  <c:v>16191.949999999986</c:v>
                </c:pt>
                <c:pt idx="1720">
                  <c:v>16208.999999999985</c:v>
                </c:pt>
                <c:pt idx="1721">
                  <c:v>16225.739999999985</c:v>
                </c:pt>
                <c:pt idx="1722">
                  <c:v>16242.369999999984</c:v>
                </c:pt>
                <c:pt idx="1723">
                  <c:v>16258.749999999984</c:v>
                </c:pt>
                <c:pt idx="1724">
                  <c:v>16274.469999999983</c:v>
                </c:pt>
                <c:pt idx="1725">
                  <c:v>16289.199999999983</c:v>
                </c:pt>
                <c:pt idx="1726">
                  <c:v>16303.759999999982</c:v>
                </c:pt>
                <c:pt idx="1727">
                  <c:v>16317.799999999983</c:v>
                </c:pt>
                <c:pt idx="1728">
                  <c:v>16331.529999999982</c:v>
                </c:pt>
                <c:pt idx="1729">
                  <c:v>16344.989999999982</c:v>
                </c:pt>
                <c:pt idx="1730">
                  <c:v>16357.799999999981</c:v>
                </c:pt>
                <c:pt idx="1731">
                  <c:v>16370.229999999981</c:v>
                </c:pt>
                <c:pt idx="1732">
                  <c:v>16382.349999999982</c:v>
                </c:pt>
                <c:pt idx="1733">
                  <c:v>16393.769999999982</c:v>
                </c:pt>
                <c:pt idx="1734">
                  <c:v>16405.129999999983</c:v>
                </c:pt>
                <c:pt idx="1735">
                  <c:v>16415.969999999983</c:v>
                </c:pt>
                <c:pt idx="1736">
                  <c:v>16426.549999999985</c:v>
                </c:pt>
                <c:pt idx="1737">
                  <c:v>16436.789999999986</c:v>
                </c:pt>
                <c:pt idx="1738">
                  <c:v>16447.019999999986</c:v>
                </c:pt>
                <c:pt idx="1739">
                  <c:v>16457.229999999985</c:v>
                </c:pt>
                <c:pt idx="1740">
                  <c:v>16467.439999999984</c:v>
                </c:pt>
                <c:pt idx="1741">
                  <c:v>16476.389999999985</c:v>
                </c:pt>
                <c:pt idx="1742">
                  <c:v>16485.009999999984</c:v>
                </c:pt>
                <c:pt idx="1743">
                  <c:v>16493.209999999985</c:v>
                </c:pt>
                <c:pt idx="1744">
                  <c:v>16501.089999999986</c:v>
                </c:pt>
                <c:pt idx="1745">
                  <c:v>16508.889999999985</c:v>
                </c:pt>
                <c:pt idx="1746">
                  <c:v>16516.399999999983</c:v>
                </c:pt>
                <c:pt idx="1747">
                  <c:v>16523.719999999983</c:v>
                </c:pt>
                <c:pt idx="1748">
                  <c:v>16530.999999999982</c:v>
                </c:pt>
                <c:pt idx="1749">
                  <c:v>16538.00999999998</c:v>
                </c:pt>
                <c:pt idx="1750">
                  <c:v>16544.929999999978</c:v>
                </c:pt>
                <c:pt idx="1751">
                  <c:v>16551.709999999977</c:v>
                </c:pt>
                <c:pt idx="1752">
                  <c:v>16558.329999999976</c:v>
                </c:pt>
                <c:pt idx="1753">
                  <c:v>16564.759999999977</c:v>
                </c:pt>
                <c:pt idx="1754">
                  <c:v>16570.999999999978</c:v>
                </c:pt>
                <c:pt idx="1755">
                  <c:v>16577.07999999998</c:v>
                </c:pt>
                <c:pt idx="1756">
                  <c:v>16583.029999999981</c:v>
                </c:pt>
                <c:pt idx="1757">
                  <c:v>16588.769999999982</c:v>
                </c:pt>
                <c:pt idx="1758">
                  <c:v>16594.479999999981</c:v>
                </c:pt>
                <c:pt idx="1759">
                  <c:v>16600.129999999983</c:v>
                </c:pt>
                <c:pt idx="1760">
                  <c:v>16605.779999999984</c:v>
                </c:pt>
                <c:pt idx="1761">
                  <c:v>16611.149999999983</c:v>
                </c:pt>
                <c:pt idx="1762">
                  <c:v>16616.469999999983</c:v>
                </c:pt>
                <c:pt idx="1763">
                  <c:v>16621.629999999983</c:v>
                </c:pt>
                <c:pt idx="1764">
                  <c:v>16626.579999999984</c:v>
                </c:pt>
                <c:pt idx="1765">
                  <c:v>16631.349999999984</c:v>
                </c:pt>
                <c:pt idx="1766">
                  <c:v>16636.049999999985</c:v>
                </c:pt>
                <c:pt idx="1767">
                  <c:v>16640.719999999983</c:v>
                </c:pt>
                <c:pt idx="1768">
                  <c:v>16645.379999999983</c:v>
                </c:pt>
                <c:pt idx="1769">
                  <c:v>16649.979999999981</c:v>
                </c:pt>
                <c:pt idx="1770">
                  <c:v>16654.549999999981</c:v>
                </c:pt>
                <c:pt idx="1771">
                  <c:v>16658.949999999983</c:v>
                </c:pt>
                <c:pt idx="1772">
                  <c:v>16663.249999999982</c:v>
                </c:pt>
                <c:pt idx="1773">
                  <c:v>16667.519999999982</c:v>
                </c:pt>
                <c:pt idx="1774">
                  <c:v>16671.749999999982</c:v>
                </c:pt>
                <c:pt idx="1775">
                  <c:v>16675.719999999983</c:v>
                </c:pt>
                <c:pt idx="1776">
                  <c:v>16679.629999999983</c:v>
                </c:pt>
                <c:pt idx="1777">
                  <c:v>16683.249999999982</c:v>
                </c:pt>
                <c:pt idx="1778">
                  <c:v>16686.809999999983</c:v>
                </c:pt>
                <c:pt idx="1779">
                  <c:v>16690.319999999982</c:v>
                </c:pt>
                <c:pt idx="1780">
                  <c:v>16693.639999999981</c:v>
                </c:pt>
                <c:pt idx="1781">
                  <c:v>16696.839999999982</c:v>
                </c:pt>
                <c:pt idx="1782">
                  <c:v>16699.879999999983</c:v>
                </c:pt>
                <c:pt idx="1783">
                  <c:v>16702.829999999984</c:v>
                </c:pt>
                <c:pt idx="1784">
                  <c:v>16705.729999999985</c:v>
                </c:pt>
                <c:pt idx="1785">
                  <c:v>16708.529999999984</c:v>
                </c:pt>
                <c:pt idx="1786">
                  <c:v>16711.249999999985</c:v>
                </c:pt>
                <c:pt idx="1787">
                  <c:v>16713.949999999986</c:v>
                </c:pt>
                <c:pt idx="1788">
                  <c:v>16716.559999999987</c:v>
                </c:pt>
                <c:pt idx="1789">
                  <c:v>16719.159999999985</c:v>
                </c:pt>
                <c:pt idx="1790">
                  <c:v>16721.729999999985</c:v>
                </c:pt>
                <c:pt idx="1791">
                  <c:v>16724.159999999985</c:v>
                </c:pt>
                <c:pt idx="1792">
                  <c:v>16726.569999999985</c:v>
                </c:pt>
                <c:pt idx="1793">
                  <c:v>16728.949999999986</c:v>
                </c:pt>
                <c:pt idx="1794">
                  <c:v>16731.279999999988</c:v>
                </c:pt>
                <c:pt idx="1795">
                  <c:v>16733.549999999988</c:v>
                </c:pt>
                <c:pt idx="1796">
                  <c:v>16735.819999999989</c:v>
                </c:pt>
                <c:pt idx="1797">
                  <c:v>16737.919999999987</c:v>
                </c:pt>
                <c:pt idx="1798">
                  <c:v>16740.009999999987</c:v>
                </c:pt>
                <c:pt idx="1799">
                  <c:v>16742.079999999987</c:v>
                </c:pt>
                <c:pt idx="1800">
                  <c:v>16744.099999999988</c:v>
                </c:pt>
                <c:pt idx="1801">
                  <c:v>16746.099999999988</c:v>
                </c:pt>
                <c:pt idx="1802">
                  <c:v>16747.989999999987</c:v>
                </c:pt>
                <c:pt idx="1803">
                  <c:v>16749.849999999988</c:v>
                </c:pt>
                <c:pt idx="1804">
                  <c:v>16751.669999999987</c:v>
                </c:pt>
                <c:pt idx="1805">
                  <c:v>16753.269999999986</c:v>
                </c:pt>
                <c:pt idx="1806">
                  <c:v>16754.709999999985</c:v>
                </c:pt>
                <c:pt idx="1807">
                  <c:v>16756.119999999984</c:v>
                </c:pt>
                <c:pt idx="1808">
                  <c:v>16757.429999999986</c:v>
                </c:pt>
                <c:pt idx="1809">
                  <c:v>16758.659999999985</c:v>
                </c:pt>
                <c:pt idx="1810">
                  <c:v>16759.869999999984</c:v>
                </c:pt>
                <c:pt idx="1811">
                  <c:v>16761.029999999984</c:v>
                </c:pt>
                <c:pt idx="1812">
                  <c:v>16762.169999999984</c:v>
                </c:pt>
                <c:pt idx="1813">
                  <c:v>16763.239999999983</c:v>
                </c:pt>
                <c:pt idx="1814">
                  <c:v>16764.279999999984</c:v>
                </c:pt>
                <c:pt idx="1815">
                  <c:v>16765.309999999983</c:v>
                </c:pt>
                <c:pt idx="1816">
                  <c:v>16766.299999999985</c:v>
                </c:pt>
                <c:pt idx="1817">
                  <c:v>16767.249999999985</c:v>
                </c:pt>
                <c:pt idx="1818">
                  <c:v>16768.149999999987</c:v>
                </c:pt>
                <c:pt idx="1819">
                  <c:v>16769.049999999988</c:v>
                </c:pt>
                <c:pt idx="1820">
                  <c:v>16769.929999999989</c:v>
                </c:pt>
                <c:pt idx="1821">
                  <c:v>16770.749999999989</c:v>
                </c:pt>
                <c:pt idx="1822">
                  <c:v>16771.549999999988</c:v>
                </c:pt>
                <c:pt idx="1823">
                  <c:v>16772.259999999987</c:v>
                </c:pt>
                <c:pt idx="1824">
                  <c:v>16772.929999999986</c:v>
                </c:pt>
                <c:pt idx="1825">
                  <c:v>16773.539999999986</c:v>
                </c:pt>
                <c:pt idx="1826">
                  <c:v>16774.149999999987</c:v>
                </c:pt>
                <c:pt idx="1827">
                  <c:v>16774.739999999987</c:v>
                </c:pt>
                <c:pt idx="1828">
                  <c:v>16775.239999999987</c:v>
                </c:pt>
                <c:pt idx="1829">
                  <c:v>16775.729999999989</c:v>
                </c:pt>
                <c:pt idx="1830">
                  <c:v>16776.19999999999</c:v>
                </c:pt>
                <c:pt idx="1831">
                  <c:v>16776.659999999989</c:v>
                </c:pt>
                <c:pt idx="1832">
                  <c:v>16777.10999999999</c:v>
                </c:pt>
                <c:pt idx="1833">
                  <c:v>16777.53999999999</c:v>
                </c:pt>
                <c:pt idx="1834">
                  <c:v>16777.94999999999</c:v>
                </c:pt>
                <c:pt idx="1835">
                  <c:v>16778.339999999989</c:v>
                </c:pt>
                <c:pt idx="1836">
                  <c:v>16778.71999999999</c:v>
                </c:pt>
                <c:pt idx="1837">
                  <c:v>16779.089999999989</c:v>
                </c:pt>
                <c:pt idx="1838">
                  <c:v>16779.389999999989</c:v>
                </c:pt>
                <c:pt idx="1839">
                  <c:v>16779.659999999989</c:v>
                </c:pt>
                <c:pt idx="1840">
                  <c:v>16779.929999999989</c:v>
                </c:pt>
                <c:pt idx="1841">
                  <c:v>16780.179999999989</c:v>
                </c:pt>
                <c:pt idx="1842">
                  <c:v>16780.339999999989</c:v>
                </c:pt>
                <c:pt idx="1843">
                  <c:v>16780.37999999999</c:v>
                </c:pt>
              </c:numCache>
            </c:numRef>
          </c:xVal>
          <c:yVal>
            <c:numRef>
              <c:f>'MTO iCorridor AADTT'!$L$2:$L$1845</c:f>
              <c:numCache>
                <c:formatCode>_-* #,##0_-;\-* #,##0_-;_-* "-"??_-;_-@_-</c:formatCode>
                <c:ptCount val="1844"/>
                <c:pt idx="0">
                  <c:v>46100</c:v>
                </c:pt>
                <c:pt idx="1">
                  <c:v>92000</c:v>
                </c:pt>
                <c:pt idx="2">
                  <c:v>137000</c:v>
                </c:pt>
                <c:pt idx="3">
                  <c:v>179900</c:v>
                </c:pt>
                <c:pt idx="4">
                  <c:v>222300</c:v>
                </c:pt>
                <c:pt idx="5">
                  <c:v>264400</c:v>
                </c:pt>
                <c:pt idx="6">
                  <c:v>306200</c:v>
                </c:pt>
                <c:pt idx="7">
                  <c:v>346700</c:v>
                </c:pt>
                <c:pt idx="8">
                  <c:v>387000</c:v>
                </c:pt>
                <c:pt idx="9">
                  <c:v>424200</c:v>
                </c:pt>
                <c:pt idx="10">
                  <c:v>459600</c:v>
                </c:pt>
                <c:pt idx="11">
                  <c:v>494600</c:v>
                </c:pt>
                <c:pt idx="12">
                  <c:v>528100</c:v>
                </c:pt>
                <c:pt idx="13">
                  <c:v>561400</c:v>
                </c:pt>
                <c:pt idx="14">
                  <c:v>594400</c:v>
                </c:pt>
                <c:pt idx="15">
                  <c:v>627000</c:v>
                </c:pt>
                <c:pt idx="16">
                  <c:v>659400</c:v>
                </c:pt>
                <c:pt idx="17">
                  <c:v>691700</c:v>
                </c:pt>
                <c:pt idx="18">
                  <c:v>724000</c:v>
                </c:pt>
                <c:pt idx="19">
                  <c:v>756000</c:v>
                </c:pt>
                <c:pt idx="20">
                  <c:v>787700</c:v>
                </c:pt>
                <c:pt idx="21">
                  <c:v>819400</c:v>
                </c:pt>
                <c:pt idx="22">
                  <c:v>849800</c:v>
                </c:pt>
                <c:pt idx="23">
                  <c:v>879700</c:v>
                </c:pt>
                <c:pt idx="24">
                  <c:v>909400</c:v>
                </c:pt>
                <c:pt idx="25">
                  <c:v>939100</c:v>
                </c:pt>
                <c:pt idx="26">
                  <c:v>968700</c:v>
                </c:pt>
                <c:pt idx="27">
                  <c:v>998300</c:v>
                </c:pt>
                <c:pt idx="28">
                  <c:v>1027300</c:v>
                </c:pt>
                <c:pt idx="29">
                  <c:v>1056100</c:v>
                </c:pt>
                <c:pt idx="30">
                  <c:v>1084800</c:v>
                </c:pt>
                <c:pt idx="31">
                  <c:v>1113400</c:v>
                </c:pt>
                <c:pt idx="32">
                  <c:v>1142000</c:v>
                </c:pt>
                <c:pt idx="33">
                  <c:v>1170500</c:v>
                </c:pt>
                <c:pt idx="34">
                  <c:v>1198900</c:v>
                </c:pt>
                <c:pt idx="35">
                  <c:v>1227100</c:v>
                </c:pt>
                <c:pt idx="36">
                  <c:v>1255200</c:v>
                </c:pt>
                <c:pt idx="37">
                  <c:v>1283300</c:v>
                </c:pt>
                <c:pt idx="38">
                  <c:v>1311200</c:v>
                </c:pt>
                <c:pt idx="39">
                  <c:v>1338900</c:v>
                </c:pt>
                <c:pt idx="40">
                  <c:v>1366500</c:v>
                </c:pt>
                <c:pt idx="41">
                  <c:v>1394000</c:v>
                </c:pt>
                <c:pt idx="42">
                  <c:v>1421400</c:v>
                </c:pt>
                <c:pt idx="43">
                  <c:v>1448700</c:v>
                </c:pt>
                <c:pt idx="44">
                  <c:v>1475500</c:v>
                </c:pt>
                <c:pt idx="45">
                  <c:v>1502300</c:v>
                </c:pt>
                <c:pt idx="46">
                  <c:v>1528900</c:v>
                </c:pt>
                <c:pt idx="47">
                  <c:v>1555500</c:v>
                </c:pt>
                <c:pt idx="48">
                  <c:v>1581700</c:v>
                </c:pt>
                <c:pt idx="49">
                  <c:v>1607600</c:v>
                </c:pt>
                <c:pt idx="50">
                  <c:v>1633400</c:v>
                </c:pt>
                <c:pt idx="51">
                  <c:v>1658800</c:v>
                </c:pt>
                <c:pt idx="52">
                  <c:v>1684000</c:v>
                </c:pt>
                <c:pt idx="53">
                  <c:v>1708900</c:v>
                </c:pt>
                <c:pt idx="54">
                  <c:v>1733800</c:v>
                </c:pt>
                <c:pt idx="55">
                  <c:v>1758100</c:v>
                </c:pt>
                <c:pt idx="56">
                  <c:v>1781600</c:v>
                </c:pt>
                <c:pt idx="57">
                  <c:v>1805000</c:v>
                </c:pt>
                <c:pt idx="58">
                  <c:v>1828400</c:v>
                </c:pt>
                <c:pt idx="59">
                  <c:v>1851700</c:v>
                </c:pt>
                <c:pt idx="60">
                  <c:v>1874400</c:v>
                </c:pt>
                <c:pt idx="61">
                  <c:v>1897100</c:v>
                </c:pt>
                <c:pt idx="62">
                  <c:v>1919800</c:v>
                </c:pt>
                <c:pt idx="63">
                  <c:v>1942200</c:v>
                </c:pt>
                <c:pt idx="64">
                  <c:v>1964500</c:v>
                </c:pt>
                <c:pt idx="65">
                  <c:v>1986700</c:v>
                </c:pt>
                <c:pt idx="66">
                  <c:v>2008800</c:v>
                </c:pt>
                <c:pt idx="67">
                  <c:v>2030800</c:v>
                </c:pt>
                <c:pt idx="68">
                  <c:v>2052300</c:v>
                </c:pt>
                <c:pt idx="69">
                  <c:v>2073700</c:v>
                </c:pt>
                <c:pt idx="70">
                  <c:v>2095000</c:v>
                </c:pt>
                <c:pt idx="71">
                  <c:v>2116300</c:v>
                </c:pt>
                <c:pt idx="72">
                  <c:v>2137400</c:v>
                </c:pt>
                <c:pt idx="73">
                  <c:v>2158400</c:v>
                </c:pt>
                <c:pt idx="74">
                  <c:v>2179200</c:v>
                </c:pt>
                <c:pt idx="75">
                  <c:v>2200000</c:v>
                </c:pt>
                <c:pt idx="76">
                  <c:v>2220600</c:v>
                </c:pt>
                <c:pt idx="77">
                  <c:v>2241200</c:v>
                </c:pt>
                <c:pt idx="78">
                  <c:v>2261800</c:v>
                </c:pt>
                <c:pt idx="79">
                  <c:v>2282200</c:v>
                </c:pt>
                <c:pt idx="80">
                  <c:v>2302600</c:v>
                </c:pt>
                <c:pt idx="81">
                  <c:v>2323000</c:v>
                </c:pt>
                <c:pt idx="82">
                  <c:v>2343300</c:v>
                </c:pt>
                <c:pt idx="83">
                  <c:v>2363600</c:v>
                </c:pt>
                <c:pt idx="84">
                  <c:v>2383900</c:v>
                </c:pt>
                <c:pt idx="85">
                  <c:v>2403900</c:v>
                </c:pt>
                <c:pt idx="86">
                  <c:v>2423900</c:v>
                </c:pt>
                <c:pt idx="87">
                  <c:v>2443800</c:v>
                </c:pt>
                <c:pt idx="88">
                  <c:v>2463600</c:v>
                </c:pt>
                <c:pt idx="89">
                  <c:v>2483100</c:v>
                </c:pt>
                <c:pt idx="90">
                  <c:v>2502500</c:v>
                </c:pt>
                <c:pt idx="91">
                  <c:v>2521900</c:v>
                </c:pt>
                <c:pt idx="92">
                  <c:v>2541100</c:v>
                </c:pt>
                <c:pt idx="93">
                  <c:v>2560200</c:v>
                </c:pt>
                <c:pt idx="94">
                  <c:v>2579000</c:v>
                </c:pt>
                <c:pt idx="95">
                  <c:v>2597700</c:v>
                </c:pt>
                <c:pt idx="96">
                  <c:v>2616300</c:v>
                </c:pt>
                <c:pt idx="97">
                  <c:v>2634900</c:v>
                </c:pt>
                <c:pt idx="98">
                  <c:v>2653300</c:v>
                </c:pt>
                <c:pt idx="99">
                  <c:v>2671600</c:v>
                </c:pt>
                <c:pt idx="100">
                  <c:v>2689800</c:v>
                </c:pt>
                <c:pt idx="101">
                  <c:v>2707900</c:v>
                </c:pt>
                <c:pt idx="102">
                  <c:v>2725800</c:v>
                </c:pt>
                <c:pt idx="103">
                  <c:v>2743700</c:v>
                </c:pt>
                <c:pt idx="104">
                  <c:v>2761300</c:v>
                </c:pt>
                <c:pt idx="105">
                  <c:v>2778600</c:v>
                </c:pt>
                <c:pt idx="106">
                  <c:v>2795800</c:v>
                </c:pt>
                <c:pt idx="107">
                  <c:v>2812800</c:v>
                </c:pt>
                <c:pt idx="108">
                  <c:v>2829700</c:v>
                </c:pt>
                <c:pt idx="109">
                  <c:v>2846100</c:v>
                </c:pt>
                <c:pt idx="110">
                  <c:v>2862500</c:v>
                </c:pt>
                <c:pt idx="111">
                  <c:v>2878600</c:v>
                </c:pt>
                <c:pt idx="112">
                  <c:v>2894600</c:v>
                </c:pt>
                <c:pt idx="113">
                  <c:v>2910200</c:v>
                </c:pt>
                <c:pt idx="114">
                  <c:v>2925800</c:v>
                </c:pt>
                <c:pt idx="115">
                  <c:v>2941200</c:v>
                </c:pt>
                <c:pt idx="116">
                  <c:v>2956500</c:v>
                </c:pt>
                <c:pt idx="117">
                  <c:v>2971800</c:v>
                </c:pt>
                <c:pt idx="118">
                  <c:v>2986900</c:v>
                </c:pt>
                <c:pt idx="119">
                  <c:v>3001800</c:v>
                </c:pt>
                <c:pt idx="120">
                  <c:v>3016600</c:v>
                </c:pt>
                <c:pt idx="121">
                  <c:v>3031400</c:v>
                </c:pt>
                <c:pt idx="122">
                  <c:v>3046000</c:v>
                </c:pt>
                <c:pt idx="123">
                  <c:v>3060300</c:v>
                </c:pt>
                <c:pt idx="124">
                  <c:v>3074500</c:v>
                </c:pt>
                <c:pt idx="125">
                  <c:v>3088600</c:v>
                </c:pt>
                <c:pt idx="126">
                  <c:v>3102600</c:v>
                </c:pt>
                <c:pt idx="127">
                  <c:v>3116500</c:v>
                </c:pt>
                <c:pt idx="128">
                  <c:v>3130300</c:v>
                </c:pt>
                <c:pt idx="129">
                  <c:v>3144000</c:v>
                </c:pt>
                <c:pt idx="130">
                  <c:v>3157700</c:v>
                </c:pt>
                <c:pt idx="131">
                  <c:v>3171400</c:v>
                </c:pt>
                <c:pt idx="132">
                  <c:v>3184900</c:v>
                </c:pt>
                <c:pt idx="133">
                  <c:v>3198400</c:v>
                </c:pt>
                <c:pt idx="134">
                  <c:v>3211800</c:v>
                </c:pt>
                <c:pt idx="135">
                  <c:v>3225100</c:v>
                </c:pt>
                <c:pt idx="136">
                  <c:v>3238200</c:v>
                </c:pt>
                <c:pt idx="137">
                  <c:v>3251300</c:v>
                </c:pt>
                <c:pt idx="138">
                  <c:v>3264300</c:v>
                </c:pt>
                <c:pt idx="139">
                  <c:v>3277200</c:v>
                </c:pt>
                <c:pt idx="140">
                  <c:v>3290100</c:v>
                </c:pt>
                <c:pt idx="141">
                  <c:v>3302900</c:v>
                </c:pt>
                <c:pt idx="142">
                  <c:v>3315400</c:v>
                </c:pt>
                <c:pt idx="143">
                  <c:v>3327900</c:v>
                </c:pt>
                <c:pt idx="144">
                  <c:v>3340300</c:v>
                </c:pt>
                <c:pt idx="145">
                  <c:v>3352700</c:v>
                </c:pt>
                <c:pt idx="146">
                  <c:v>3365000</c:v>
                </c:pt>
                <c:pt idx="147">
                  <c:v>3377300</c:v>
                </c:pt>
                <c:pt idx="148">
                  <c:v>3389400</c:v>
                </c:pt>
                <c:pt idx="149">
                  <c:v>3401500</c:v>
                </c:pt>
                <c:pt idx="150">
                  <c:v>3413500</c:v>
                </c:pt>
                <c:pt idx="151">
                  <c:v>3425500</c:v>
                </c:pt>
                <c:pt idx="152">
                  <c:v>3437300</c:v>
                </c:pt>
                <c:pt idx="153">
                  <c:v>3449100</c:v>
                </c:pt>
                <c:pt idx="154">
                  <c:v>3460900</c:v>
                </c:pt>
                <c:pt idx="155">
                  <c:v>3472500</c:v>
                </c:pt>
                <c:pt idx="156">
                  <c:v>3484100</c:v>
                </c:pt>
                <c:pt idx="157">
                  <c:v>3495700</c:v>
                </c:pt>
                <c:pt idx="158">
                  <c:v>3507200</c:v>
                </c:pt>
                <c:pt idx="159">
                  <c:v>3518700</c:v>
                </c:pt>
                <c:pt idx="160">
                  <c:v>3530200</c:v>
                </c:pt>
                <c:pt idx="161">
                  <c:v>3541700</c:v>
                </c:pt>
                <c:pt idx="162">
                  <c:v>3553100</c:v>
                </c:pt>
                <c:pt idx="163">
                  <c:v>3564500</c:v>
                </c:pt>
                <c:pt idx="164">
                  <c:v>3575900</c:v>
                </c:pt>
                <c:pt idx="165">
                  <c:v>3587300</c:v>
                </c:pt>
                <c:pt idx="166">
                  <c:v>3598600</c:v>
                </c:pt>
                <c:pt idx="167">
                  <c:v>3609900</c:v>
                </c:pt>
                <c:pt idx="168">
                  <c:v>3621200</c:v>
                </c:pt>
                <c:pt idx="169">
                  <c:v>3632300</c:v>
                </c:pt>
                <c:pt idx="170">
                  <c:v>3643400</c:v>
                </c:pt>
                <c:pt idx="171">
                  <c:v>3654400</c:v>
                </c:pt>
                <c:pt idx="172">
                  <c:v>3665400</c:v>
                </c:pt>
                <c:pt idx="173">
                  <c:v>3676400</c:v>
                </c:pt>
                <c:pt idx="174">
                  <c:v>3687400</c:v>
                </c:pt>
                <c:pt idx="175">
                  <c:v>3698300</c:v>
                </c:pt>
                <c:pt idx="176">
                  <c:v>3709200</c:v>
                </c:pt>
                <c:pt idx="177">
                  <c:v>3720100</c:v>
                </c:pt>
                <c:pt idx="178">
                  <c:v>3730800</c:v>
                </c:pt>
                <c:pt idx="179">
                  <c:v>3741400</c:v>
                </c:pt>
                <c:pt idx="180">
                  <c:v>3752000</c:v>
                </c:pt>
                <c:pt idx="181">
                  <c:v>3762600</c:v>
                </c:pt>
                <c:pt idx="182">
                  <c:v>3773200</c:v>
                </c:pt>
                <c:pt idx="183">
                  <c:v>3783800</c:v>
                </c:pt>
                <c:pt idx="184">
                  <c:v>3794400</c:v>
                </c:pt>
                <c:pt idx="185">
                  <c:v>3804900</c:v>
                </c:pt>
                <c:pt idx="186">
                  <c:v>3815400</c:v>
                </c:pt>
                <c:pt idx="187">
                  <c:v>3825900</c:v>
                </c:pt>
                <c:pt idx="188">
                  <c:v>3836400</c:v>
                </c:pt>
                <c:pt idx="189">
                  <c:v>3846900</c:v>
                </c:pt>
                <c:pt idx="190">
                  <c:v>3857400</c:v>
                </c:pt>
                <c:pt idx="191">
                  <c:v>3867800</c:v>
                </c:pt>
                <c:pt idx="192">
                  <c:v>3878200</c:v>
                </c:pt>
                <c:pt idx="193">
                  <c:v>3888600</c:v>
                </c:pt>
                <c:pt idx="194">
                  <c:v>3899000</c:v>
                </c:pt>
                <c:pt idx="195">
                  <c:v>3909300</c:v>
                </c:pt>
                <c:pt idx="196">
                  <c:v>3919600</c:v>
                </c:pt>
                <c:pt idx="197">
                  <c:v>3929900</c:v>
                </c:pt>
                <c:pt idx="198">
                  <c:v>3940200</c:v>
                </c:pt>
                <c:pt idx="199">
                  <c:v>3950500</c:v>
                </c:pt>
                <c:pt idx="200">
                  <c:v>3960700</c:v>
                </c:pt>
                <c:pt idx="201">
                  <c:v>3970900</c:v>
                </c:pt>
                <c:pt idx="202">
                  <c:v>3981000</c:v>
                </c:pt>
                <c:pt idx="203">
                  <c:v>3991000</c:v>
                </c:pt>
                <c:pt idx="204">
                  <c:v>4001000</c:v>
                </c:pt>
                <c:pt idx="205">
                  <c:v>4011000</c:v>
                </c:pt>
                <c:pt idx="206">
                  <c:v>4021000</c:v>
                </c:pt>
                <c:pt idx="207">
                  <c:v>4030950</c:v>
                </c:pt>
                <c:pt idx="208">
                  <c:v>4040900</c:v>
                </c:pt>
                <c:pt idx="209">
                  <c:v>4050850</c:v>
                </c:pt>
                <c:pt idx="210">
                  <c:v>4060800</c:v>
                </c:pt>
                <c:pt idx="211">
                  <c:v>4070700</c:v>
                </c:pt>
                <c:pt idx="212">
                  <c:v>4080600</c:v>
                </c:pt>
                <c:pt idx="213">
                  <c:v>4090400</c:v>
                </c:pt>
                <c:pt idx="214">
                  <c:v>4100200</c:v>
                </c:pt>
                <c:pt idx="215">
                  <c:v>4109950</c:v>
                </c:pt>
                <c:pt idx="216">
                  <c:v>4119600</c:v>
                </c:pt>
                <c:pt idx="217">
                  <c:v>4129250</c:v>
                </c:pt>
                <c:pt idx="218">
                  <c:v>4138850</c:v>
                </c:pt>
                <c:pt idx="219">
                  <c:v>4148450</c:v>
                </c:pt>
                <c:pt idx="220">
                  <c:v>4158050</c:v>
                </c:pt>
                <c:pt idx="221">
                  <c:v>4167650</c:v>
                </c:pt>
                <c:pt idx="222">
                  <c:v>4177250</c:v>
                </c:pt>
                <c:pt idx="223">
                  <c:v>4186800</c:v>
                </c:pt>
                <c:pt idx="224">
                  <c:v>4196350</c:v>
                </c:pt>
                <c:pt idx="225">
                  <c:v>4205850</c:v>
                </c:pt>
                <c:pt idx="226">
                  <c:v>4215350</c:v>
                </c:pt>
                <c:pt idx="227">
                  <c:v>4224850</c:v>
                </c:pt>
                <c:pt idx="228">
                  <c:v>4234300</c:v>
                </c:pt>
                <c:pt idx="229">
                  <c:v>4243750</c:v>
                </c:pt>
                <c:pt idx="230">
                  <c:v>4253200</c:v>
                </c:pt>
                <c:pt idx="231">
                  <c:v>4262600</c:v>
                </c:pt>
                <c:pt idx="232">
                  <c:v>4271900</c:v>
                </c:pt>
                <c:pt idx="233">
                  <c:v>4281100</c:v>
                </c:pt>
                <c:pt idx="234">
                  <c:v>4290300</c:v>
                </c:pt>
                <c:pt idx="235">
                  <c:v>4299450</c:v>
                </c:pt>
                <c:pt idx="236">
                  <c:v>4308550</c:v>
                </c:pt>
                <c:pt idx="237">
                  <c:v>4317650</c:v>
                </c:pt>
                <c:pt idx="238">
                  <c:v>4326700</c:v>
                </c:pt>
                <c:pt idx="239">
                  <c:v>4335750</c:v>
                </c:pt>
                <c:pt idx="240">
                  <c:v>4344750</c:v>
                </c:pt>
                <c:pt idx="241">
                  <c:v>4353750</c:v>
                </c:pt>
                <c:pt idx="242">
                  <c:v>4362750</c:v>
                </c:pt>
                <c:pt idx="243">
                  <c:v>4371700</c:v>
                </c:pt>
                <c:pt idx="244">
                  <c:v>4380650</c:v>
                </c:pt>
                <c:pt idx="245">
                  <c:v>4389550</c:v>
                </c:pt>
                <c:pt idx="246">
                  <c:v>4398450</c:v>
                </c:pt>
                <c:pt idx="247">
                  <c:v>4407300</c:v>
                </c:pt>
                <c:pt idx="248">
                  <c:v>4416150</c:v>
                </c:pt>
                <c:pt idx="249">
                  <c:v>4424950</c:v>
                </c:pt>
                <c:pt idx="250">
                  <c:v>4433750</c:v>
                </c:pt>
                <c:pt idx="251">
                  <c:v>4442550</c:v>
                </c:pt>
                <c:pt idx="252">
                  <c:v>4451350</c:v>
                </c:pt>
                <c:pt idx="253">
                  <c:v>4460100</c:v>
                </c:pt>
                <c:pt idx="254">
                  <c:v>4468850</c:v>
                </c:pt>
                <c:pt idx="255">
                  <c:v>4477550</c:v>
                </c:pt>
                <c:pt idx="256">
                  <c:v>4486250</c:v>
                </c:pt>
                <c:pt idx="257">
                  <c:v>4494950</c:v>
                </c:pt>
                <c:pt idx="258">
                  <c:v>4503600</c:v>
                </c:pt>
                <c:pt idx="259">
                  <c:v>4512200</c:v>
                </c:pt>
                <c:pt idx="260">
                  <c:v>4520700</c:v>
                </c:pt>
                <c:pt idx="261">
                  <c:v>4529200</c:v>
                </c:pt>
                <c:pt idx="262">
                  <c:v>4537700</c:v>
                </c:pt>
                <c:pt idx="263">
                  <c:v>4546200</c:v>
                </c:pt>
                <c:pt idx="264">
                  <c:v>4554650</c:v>
                </c:pt>
                <c:pt idx="265">
                  <c:v>4563100</c:v>
                </c:pt>
                <c:pt idx="266">
                  <c:v>4571550</c:v>
                </c:pt>
                <c:pt idx="267">
                  <c:v>4579950</c:v>
                </c:pt>
                <c:pt idx="268">
                  <c:v>4588200</c:v>
                </c:pt>
                <c:pt idx="269">
                  <c:v>4596450</c:v>
                </c:pt>
                <c:pt idx="270">
                  <c:v>4604700</c:v>
                </c:pt>
                <c:pt idx="271">
                  <c:v>4612950</c:v>
                </c:pt>
                <c:pt idx="272">
                  <c:v>4621200</c:v>
                </c:pt>
                <c:pt idx="273">
                  <c:v>4629400</c:v>
                </c:pt>
                <c:pt idx="274">
                  <c:v>4637600</c:v>
                </c:pt>
                <c:pt idx="275">
                  <c:v>4645800</c:v>
                </c:pt>
                <c:pt idx="276">
                  <c:v>4653750</c:v>
                </c:pt>
                <c:pt idx="277">
                  <c:v>4661650</c:v>
                </c:pt>
                <c:pt idx="278">
                  <c:v>4669450</c:v>
                </c:pt>
                <c:pt idx="279">
                  <c:v>4677250</c:v>
                </c:pt>
                <c:pt idx="280">
                  <c:v>4685050</c:v>
                </c:pt>
                <c:pt idx="281">
                  <c:v>4692750</c:v>
                </c:pt>
                <c:pt idx="282">
                  <c:v>4700400</c:v>
                </c:pt>
                <c:pt idx="283">
                  <c:v>4708050</c:v>
                </c:pt>
                <c:pt idx="284">
                  <c:v>4715700</c:v>
                </c:pt>
                <c:pt idx="285">
                  <c:v>4723300</c:v>
                </c:pt>
                <c:pt idx="286">
                  <c:v>4730850</c:v>
                </c:pt>
                <c:pt idx="287">
                  <c:v>4738400</c:v>
                </c:pt>
                <c:pt idx="288">
                  <c:v>4745950</c:v>
                </c:pt>
                <c:pt idx="289">
                  <c:v>4753450</c:v>
                </c:pt>
                <c:pt idx="290">
                  <c:v>4760750</c:v>
                </c:pt>
                <c:pt idx="291">
                  <c:v>4768000</c:v>
                </c:pt>
                <c:pt idx="292">
                  <c:v>4775250</c:v>
                </c:pt>
                <c:pt idx="293">
                  <c:v>4782350</c:v>
                </c:pt>
                <c:pt idx="294">
                  <c:v>4789350</c:v>
                </c:pt>
                <c:pt idx="295">
                  <c:v>4796300</c:v>
                </c:pt>
                <c:pt idx="296">
                  <c:v>4803250</c:v>
                </c:pt>
                <c:pt idx="297">
                  <c:v>4810200</c:v>
                </c:pt>
                <c:pt idx="298">
                  <c:v>4817100</c:v>
                </c:pt>
                <c:pt idx="299">
                  <c:v>4824000</c:v>
                </c:pt>
                <c:pt idx="300">
                  <c:v>4830900</c:v>
                </c:pt>
                <c:pt idx="301">
                  <c:v>4837750</c:v>
                </c:pt>
                <c:pt idx="302">
                  <c:v>4844600</c:v>
                </c:pt>
                <c:pt idx="303">
                  <c:v>4851400</c:v>
                </c:pt>
                <c:pt idx="304">
                  <c:v>4858200</c:v>
                </c:pt>
                <c:pt idx="305">
                  <c:v>4864900</c:v>
                </c:pt>
                <c:pt idx="306">
                  <c:v>4871600</c:v>
                </c:pt>
                <c:pt idx="307">
                  <c:v>4878250</c:v>
                </c:pt>
                <c:pt idx="308">
                  <c:v>4884650</c:v>
                </c:pt>
                <c:pt idx="309">
                  <c:v>4891050</c:v>
                </c:pt>
                <c:pt idx="310">
                  <c:v>4897400</c:v>
                </c:pt>
                <c:pt idx="311">
                  <c:v>4903700</c:v>
                </c:pt>
                <c:pt idx="312">
                  <c:v>4909950</c:v>
                </c:pt>
                <c:pt idx="313">
                  <c:v>4916150</c:v>
                </c:pt>
                <c:pt idx="314">
                  <c:v>4922250</c:v>
                </c:pt>
                <c:pt idx="315">
                  <c:v>4928300</c:v>
                </c:pt>
                <c:pt idx="316">
                  <c:v>4934350</c:v>
                </c:pt>
                <c:pt idx="317">
                  <c:v>4940350</c:v>
                </c:pt>
                <c:pt idx="318">
                  <c:v>4946350</c:v>
                </c:pt>
                <c:pt idx="319">
                  <c:v>4952300</c:v>
                </c:pt>
                <c:pt idx="320">
                  <c:v>4958200</c:v>
                </c:pt>
                <c:pt idx="321">
                  <c:v>4964100</c:v>
                </c:pt>
                <c:pt idx="322">
                  <c:v>4969950</c:v>
                </c:pt>
                <c:pt idx="323">
                  <c:v>4975800</c:v>
                </c:pt>
                <c:pt idx="324">
                  <c:v>4981500</c:v>
                </c:pt>
                <c:pt idx="325">
                  <c:v>4987200</c:v>
                </c:pt>
                <c:pt idx="326">
                  <c:v>4992850</c:v>
                </c:pt>
                <c:pt idx="327">
                  <c:v>4998450</c:v>
                </c:pt>
                <c:pt idx="328">
                  <c:v>5004000</c:v>
                </c:pt>
                <c:pt idx="329">
                  <c:v>5009400</c:v>
                </c:pt>
                <c:pt idx="330">
                  <c:v>5014700</c:v>
                </c:pt>
                <c:pt idx="331">
                  <c:v>5019950</c:v>
                </c:pt>
                <c:pt idx="332">
                  <c:v>5025200</c:v>
                </c:pt>
                <c:pt idx="333">
                  <c:v>5030400</c:v>
                </c:pt>
                <c:pt idx="334">
                  <c:v>5035550</c:v>
                </c:pt>
                <c:pt idx="335">
                  <c:v>5040650</c:v>
                </c:pt>
                <c:pt idx="336">
                  <c:v>5045750</c:v>
                </c:pt>
                <c:pt idx="337">
                  <c:v>5050850</c:v>
                </c:pt>
                <c:pt idx="338">
                  <c:v>5055900</c:v>
                </c:pt>
                <c:pt idx="339">
                  <c:v>5060950</c:v>
                </c:pt>
                <c:pt idx="340">
                  <c:v>5066000</c:v>
                </c:pt>
                <c:pt idx="341">
                  <c:v>5071050</c:v>
                </c:pt>
                <c:pt idx="342">
                  <c:v>5076050</c:v>
                </c:pt>
                <c:pt idx="343">
                  <c:v>5081000</c:v>
                </c:pt>
                <c:pt idx="344">
                  <c:v>5085950</c:v>
                </c:pt>
                <c:pt idx="345">
                  <c:v>5090900</c:v>
                </c:pt>
                <c:pt idx="346">
                  <c:v>5095850</c:v>
                </c:pt>
                <c:pt idx="347">
                  <c:v>5100800</c:v>
                </c:pt>
                <c:pt idx="348">
                  <c:v>5105600</c:v>
                </c:pt>
                <c:pt idx="349">
                  <c:v>5110400</c:v>
                </c:pt>
                <c:pt idx="350">
                  <c:v>5115200</c:v>
                </c:pt>
                <c:pt idx="351">
                  <c:v>5120000</c:v>
                </c:pt>
                <c:pt idx="352">
                  <c:v>5124800</c:v>
                </c:pt>
                <c:pt idx="353">
                  <c:v>5129550</c:v>
                </c:pt>
                <c:pt idx="354">
                  <c:v>5134300</c:v>
                </c:pt>
                <c:pt idx="355">
                  <c:v>5139050</c:v>
                </c:pt>
                <c:pt idx="356">
                  <c:v>5143750</c:v>
                </c:pt>
                <c:pt idx="357">
                  <c:v>5148400</c:v>
                </c:pt>
                <c:pt idx="358">
                  <c:v>5152900</c:v>
                </c:pt>
                <c:pt idx="359">
                  <c:v>5157400</c:v>
                </c:pt>
                <c:pt idx="360">
                  <c:v>5161850</c:v>
                </c:pt>
                <c:pt idx="361">
                  <c:v>5166300</c:v>
                </c:pt>
                <c:pt idx="362">
                  <c:v>5170700</c:v>
                </c:pt>
                <c:pt idx="363">
                  <c:v>5175100</c:v>
                </c:pt>
                <c:pt idx="364">
                  <c:v>5179450</c:v>
                </c:pt>
                <c:pt idx="365">
                  <c:v>5183700</c:v>
                </c:pt>
                <c:pt idx="366">
                  <c:v>5187900</c:v>
                </c:pt>
                <c:pt idx="367">
                  <c:v>5192050</c:v>
                </c:pt>
                <c:pt idx="368">
                  <c:v>5196150</c:v>
                </c:pt>
                <c:pt idx="369">
                  <c:v>5200150</c:v>
                </c:pt>
                <c:pt idx="370">
                  <c:v>5204150</c:v>
                </c:pt>
                <c:pt idx="371">
                  <c:v>5208050</c:v>
                </c:pt>
                <c:pt idx="372">
                  <c:v>5211950</c:v>
                </c:pt>
                <c:pt idx="373">
                  <c:v>5215800</c:v>
                </c:pt>
                <c:pt idx="374">
                  <c:v>5219650</c:v>
                </c:pt>
                <c:pt idx="375">
                  <c:v>5223500</c:v>
                </c:pt>
                <c:pt idx="376">
                  <c:v>5227300</c:v>
                </c:pt>
                <c:pt idx="377">
                  <c:v>5231100</c:v>
                </c:pt>
                <c:pt idx="378">
                  <c:v>5234850</c:v>
                </c:pt>
                <c:pt idx="379">
                  <c:v>5238600</c:v>
                </c:pt>
                <c:pt idx="380">
                  <c:v>5242300</c:v>
                </c:pt>
                <c:pt idx="381">
                  <c:v>5246000</c:v>
                </c:pt>
                <c:pt idx="382">
                  <c:v>5249650</c:v>
                </c:pt>
                <c:pt idx="383">
                  <c:v>5253250</c:v>
                </c:pt>
                <c:pt idx="384">
                  <c:v>5256750</c:v>
                </c:pt>
                <c:pt idx="385">
                  <c:v>5260250</c:v>
                </c:pt>
                <c:pt idx="386">
                  <c:v>5263750</c:v>
                </c:pt>
                <c:pt idx="387">
                  <c:v>5267250</c:v>
                </c:pt>
                <c:pt idx="388">
                  <c:v>5270700</c:v>
                </c:pt>
                <c:pt idx="389">
                  <c:v>5274150</c:v>
                </c:pt>
                <c:pt idx="390">
                  <c:v>5277600</c:v>
                </c:pt>
                <c:pt idx="391">
                  <c:v>5281050</c:v>
                </c:pt>
                <c:pt idx="392">
                  <c:v>5284500</c:v>
                </c:pt>
                <c:pt idx="393">
                  <c:v>5287900</c:v>
                </c:pt>
                <c:pt idx="394">
                  <c:v>5291300</c:v>
                </c:pt>
                <c:pt idx="395">
                  <c:v>5294700</c:v>
                </c:pt>
                <c:pt idx="396">
                  <c:v>5298100</c:v>
                </c:pt>
                <c:pt idx="397">
                  <c:v>5301500</c:v>
                </c:pt>
                <c:pt idx="398">
                  <c:v>5304900</c:v>
                </c:pt>
                <c:pt idx="399">
                  <c:v>5308250</c:v>
                </c:pt>
                <c:pt idx="400">
                  <c:v>5311600</c:v>
                </c:pt>
                <c:pt idx="401">
                  <c:v>5314900</c:v>
                </c:pt>
                <c:pt idx="402">
                  <c:v>5318150</c:v>
                </c:pt>
                <c:pt idx="403">
                  <c:v>5321400</c:v>
                </c:pt>
                <c:pt idx="404">
                  <c:v>5324650</c:v>
                </c:pt>
                <c:pt idx="405">
                  <c:v>5327850</c:v>
                </c:pt>
                <c:pt idx="406">
                  <c:v>5331050</c:v>
                </c:pt>
                <c:pt idx="407">
                  <c:v>5334200</c:v>
                </c:pt>
                <c:pt idx="408">
                  <c:v>5337350</c:v>
                </c:pt>
                <c:pt idx="409">
                  <c:v>5340500</c:v>
                </c:pt>
                <c:pt idx="410">
                  <c:v>5343650</c:v>
                </c:pt>
                <c:pt idx="411">
                  <c:v>5346750</c:v>
                </c:pt>
                <c:pt idx="412">
                  <c:v>5349850</c:v>
                </c:pt>
                <c:pt idx="413">
                  <c:v>5352950</c:v>
                </c:pt>
                <c:pt idx="414">
                  <c:v>5356000</c:v>
                </c:pt>
                <c:pt idx="415">
                  <c:v>5359050</c:v>
                </c:pt>
                <c:pt idx="416">
                  <c:v>5362100</c:v>
                </c:pt>
                <c:pt idx="417">
                  <c:v>5365150</c:v>
                </c:pt>
                <c:pt idx="418">
                  <c:v>5368150</c:v>
                </c:pt>
                <c:pt idx="419">
                  <c:v>5371050</c:v>
                </c:pt>
                <c:pt idx="420">
                  <c:v>5373950</c:v>
                </c:pt>
                <c:pt idx="421">
                  <c:v>5376850</c:v>
                </c:pt>
                <c:pt idx="422">
                  <c:v>5379750</c:v>
                </c:pt>
                <c:pt idx="423">
                  <c:v>5382600</c:v>
                </c:pt>
                <c:pt idx="424">
                  <c:v>5385450</c:v>
                </c:pt>
                <c:pt idx="425">
                  <c:v>5388300</c:v>
                </c:pt>
                <c:pt idx="426">
                  <c:v>5391100</c:v>
                </c:pt>
                <c:pt idx="427">
                  <c:v>5393900</c:v>
                </c:pt>
                <c:pt idx="428">
                  <c:v>5396700</c:v>
                </c:pt>
                <c:pt idx="429">
                  <c:v>5399500</c:v>
                </c:pt>
                <c:pt idx="430">
                  <c:v>5402250</c:v>
                </c:pt>
                <c:pt idx="431">
                  <c:v>5405000</c:v>
                </c:pt>
                <c:pt idx="432">
                  <c:v>5407750</c:v>
                </c:pt>
                <c:pt idx="433">
                  <c:v>5410500</c:v>
                </c:pt>
                <c:pt idx="434">
                  <c:v>5413250</c:v>
                </c:pt>
                <c:pt idx="435">
                  <c:v>5415900</c:v>
                </c:pt>
                <c:pt idx="436">
                  <c:v>5418550</c:v>
                </c:pt>
                <c:pt idx="437">
                  <c:v>5421200</c:v>
                </c:pt>
                <c:pt idx="438">
                  <c:v>5423850</c:v>
                </c:pt>
                <c:pt idx="439">
                  <c:v>5426500</c:v>
                </c:pt>
                <c:pt idx="440">
                  <c:v>5429100</c:v>
                </c:pt>
                <c:pt idx="441">
                  <c:v>5431700</c:v>
                </c:pt>
                <c:pt idx="442">
                  <c:v>5434300</c:v>
                </c:pt>
                <c:pt idx="443">
                  <c:v>5436900</c:v>
                </c:pt>
                <c:pt idx="444">
                  <c:v>5439500</c:v>
                </c:pt>
                <c:pt idx="445">
                  <c:v>5442050</c:v>
                </c:pt>
                <c:pt idx="446">
                  <c:v>5444600</c:v>
                </c:pt>
                <c:pt idx="447">
                  <c:v>5447150</c:v>
                </c:pt>
                <c:pt idx="448">
                  <c:v>5449700</c:v>
                </c:pt>
                <c:pt idx="449">
                  <c:v>5452250</c:v>
                </c:pt>
                <c:pt idx="450">
                  <c:v>5454800</c:v>
                </c:pt>
                <c:pt idx="451">
                  <c:v>5457350</c:v>
                </c:pt>
                <c:pt idx="452">
                  <c:v>5459850</c:v>
                </c:pt>
                <c:pt idx="453">
                  <c:v>5462350</c:v>
                </c:pt>
                <c:pt idx="454">
                  <c:v>5464850</c:v>
                </c:pt>
                <c:pt idx="455">
                  <c:v>5467350</c:v>
                </c:pt>
                <c:pt idx="456">
                  <c:v>5469850</c:v>
                </c:pt>
                <c:pt idx="457">
                  <c:v>5472300</c:v>
                </c:pt>
                <c:pt idx="458">
                  <c:v>5474750</c:v>
                </c:pt>
                <c:pt idx="459">
                  <c:v>5477200</c:v>
                </c:pt>
                <c:pt idx="460">
                  <c:v>5479650</c:v>
                </c:pt>
                <c:pt idx="461">
                  <c:v>5482100</c:v>
                </c:pt>
                <c:pt idx="462">
                  <c:v>5484550</c:v>
                </c:pt>
                <c:pt idx="463">
                  <c:v>5487000</c:v>
                </c:pt>
                <c:pt idx="464">
                  <c:v>5489450</c:v>
                </c:pt>
                <c:pt idx="465">
                  <c:v>5491900</c:v>
                </c:pt>
                <c:pt idx="466">
                  <c:v>5494350</c:v>
                </c:pt>
                <c:pt idx="467">
                  <c:v>5496750</c:v>
                </c:pt>
                <c:pt idx="468">
                  <c:v>5499150</c:v>
                </c:pt>
                <c:pt idx="469">
                  <c:v>5501550</c:v>
                </c:pt>
                <c:pt idx="470">
                  <c:v>5503950</c:v>
                </c:pt>
                <c:pt idx="471">
                  <c:v>5506350</c:v>
                </c:pt>
                <c:pt idx="472">
                  <c:v>5508750</c:v>
                </c:pt>
                <c:pt idx="473">
                  <c:v>5511150</c:v>
                </c:pt>
                <c:pt idx="474">
                  <c:v>5513550</c:v>
                </c:pt>
                <c:pt idx="475">
                  <c:v>5515950</c:v>
                </c:pt>
                <c:pt idx="476">
                  <c:v>5518300</c:v>
                </c:pt>
                <c:pt idx="477">
                  <c:v>5520650</c:v>
                </c:pt>
                <c:pt idx="478">
                  <c:v>5522950</c:v>
                </c:pt>
                <c:pt idx="479">
                  <c:v>5525250</c:v>
                </c:pt>
                <c:pt idx="480">
                  <c:v>5527550</c:v>
                </c:pt>
                <c:pt idx="481">
                  <c:v>5529850</c:v>
                </c:pt>
                <c:pt idx="482">
                  <c:v>5532150</c:v>
                </c:pt>
                <c:pt idx="483">
                  <c:v>5534450</c:v>
                </c:pt>
                <c:pt idx="484">
                  <c:v>5536750</c:v>
                </c:pt>
                <c:pt idx="485">
                  <c:v>5539050</c:v>
                </c:pt>
                <c:pt idx="486">
                  <c:v>5541350</c:v>
                </c:pt>
                <c:pt idx="487">
                  <c:v>5543600</c:v>
                </c:pt>
                <c:pt idx="488">
                  <c:v>5545850</c:v>
                </c:pt>
                <c:pt idx="489">
                  <c:v>5548100</c:v>
                </c:pt>
                <c:pt idx="490">
                  <c:v>5550300</c:v>
                </c:pt>
                <c:pt idx="491">
                  <c:v>5552500</c:v>
                </c:pt>
                <c:pt idx="492">
                  <c:v>5554700</c:v>
                </c:pt>
                <c:pt idx="493">
                  <c:v>5556900</c:v>
                </c:pt>
                <c:pt idx="494">
                  <c:v>5559100</c:v>
                </c:pt>
                <c:pt idx="495">
                  <c:v>5561300</c:v>
                </c:pt>
                <c:pt idx="496">
                  <c:v>5563500</c:v>
                </c:pt>
                <c:pt idx="497">
                  <c:v>5565700</c:v>
                </c:pt>
                <c:pt idx="498">
                  <c:v>5567900</c:v>
                </c:pt>
                <c:pt idx="499">
                  <c:v>5570100</c:v>
                </c:pt>
                <c:pt idx="500">
                  <c:v>5572250</c:v>
                </c:pt>
                <c:pt idx="501">
                  <c:v>5574400</c:v>
                </c:pt>
                <c:pt idx="502">
                  <c:v>5576550</c:v>
                </c:pt>
                <c:pt idx="503">
                  <c:v>5578700</c:v>
                </c:pt>
                <c:pt idx="504">
                  <c:v>5580800</c:v>
                </c:pt>
                <c:pt idx="505">
                  <c:v>5582900</c:v>
                </c:pt>
                <c:pt idx="506">
                  <c:v>5585000</c:v>
                </c:pt>
                <c:pt idx="507">
                  <c:v>5587100</c:v>
                </c:pt>
                <c:pt idx="508">
                  <c:v>5589200</c:v>
                </c:pt>
                <c:pt idx="509">
                  <c:v>5591300</c:v>
                </c:pt>
                <c:pt idx="510">
                  <c:v>5593400</c:v>
                </c:pt>
                <c:pt idx="511">
                  <c:v>5595500</c:v>
                </c:pt>
                <c:pt idx="512">
                  <c:v>5597550</c:v>
                </c:pt>
                <c:pt idx="513">
                  <c:v>5599600</c:v>
                </c:pt>
                <c:pt idx="514">
                  <c:v>5601650</c:v>
                </c:pt>
                <c:pt idx="515">
                  <c:v>5603700</c:v>
                </c:pt>
                <c:pt idx="516">
                  <c:v>5605750</c:v>
                </c:pt>
                <c:pt idx="517">
                  <c:v>5607800</c:v>
                </c:pt>
                <c:pt idx="518">
                  <c:v>5609850</c:v>
                </c:pt>
                <c:pt idx="519">
                  <c:v>5611900</c:v>
                </c:pt>
                <c:pt idx="520">
                  <c:v>5613900</c:v>
                </c:pt>
                <c:pt idx="521">
                  <c:v>5615900</c:v>
                </c:pt>
                <c:pt idx="522">
                  <c:v>5617900</c:v>
                </c:pt>
                <c:pt idx="523">
                  <c:v>5619900</c:v>
                </c:pt>
                <c:pt idx="524">
                  <c:v>5621900</c:v>
                </c:pt>
                <c:pt idx="525">
                  <c:v>5623900</c:v>
                </c:pt>
                <c:pt idx="526">
                  <c:v>5625850</c:v>
                </c:pt>
                <c:pt idx="527">
                  <c:v>5627800</c:v>
                </c:pt>
                <c:pt idx="528">
                  <c:v>5629750</c:v>
                </c:pt>
                <c:pt idx="529">
                  <c:v>5631700</c:v>
                </c:pt>
                <c:pt idx="530">
                  <c:v>5633650</c:v>
                </c:pt>
                <c:pt idx="531">
                  <c:v>5635600</c:v>
                </c:pt>
                <c:pt idx="532">
                  <c:v>5637550</c:v>
                </c:pt>
                <c:pt idx="533">
                  <c:v>5639500</c:v>
                </c:pt>
                <c:pt idx="534">
                  <c:v>5641450</c:v>
                </c:pt>
                <c:pt idx="535">
                  <c:v>5643350</c:v>
                </c:pt>
                <c:pt idx="536">
                  <c:v>5645250</c:v>
                </c:pt>
                <c:pt idx="537">
                  <c:v>5647150</c:v>
                </c:pt>
                <c:pt idx="538">
                  <c:v>5649000</c:v>
                </c:pt>
                <c:pt idx="539">
                  <c:v>5650850</c:v>
                </c:pt>
                <c:pt idx="540">
                  <c:v>5652700</c:v>
                </c:pt>
                <c:pt idx="541">
                  <c:v>5654550</c:v>
                </c:pt>
                <c:pt idx="542">
                  <c:v>5656400</c:v>
                </c:pt>
                <c:pt idx="543">
                  <c:v>5658250</c:v>
                </c:pt>
                <c:pt idx="544">
                  <c:v>5660100</c:v>
                </c:pt>
                <c:pt idx="545">
                  <c:v>5661950</c:v>
                </c:pt>
                <c:pt idx="546">
                  <c:v>5663800</c:v>
                </c:pt>
                <c:pt idx="547">
                  <c:v>5665650</c:v>
                </c:pt>
                <c:pt idx="548">
                  <c:v>5667500</c:v>
                </c:pt>
                <c:pt idx="549">
                  <c:v>5669350</c:v>
                </c:pt>
                <c:pt idx="550">
                  <c:v>5671200</c:v>
                </c:pt>
                <c:pt idx="551">
                  <c:v>5673000</c:v>
                </c:pt>
                <c:pt idx="552">
                  <c:v>5674800</c:v>
                </c:pt>
                <c:pt idx="553">
                  <c:v>5676600</c:v>
                </c:pt>
                <c:pt idx="554">
                  <c:v>5678400</c:v>
                </c:pt>
                <c:pt idx="555">
                  <c:v>5680200</c:v>
                </c:pt>
                <c:pt idx="556">
                  <c:v>5682000</c:v>
                </c:pt>
                <c:pt idx="557">
                  <c:v>5683800</c:v>
                </c:pt>
                <c:pt idx="558">
                  <c:v>5685600</c:v>
                </c:pt>
                <c:pt idx="559">
                  <c:v>5687400</c:v>
                </c:pt>
                <c:pt idx="560">
                  <c:v>5689200</c:v>
                </c:pt>
                <c:pt idx="561">
                  <c:v>5691000</c:v>
                </c:pt>
                <c:pt idx="562">
                  <c:v>5692750</c:v>
                </c:pt>
                <c:pt idx="563">
                  <c:v>5694500</c:v>
                </c:pt>
                <c:pt idx="564">
                  <c:v>5696250</c:v>
                </c:pt>
                <c:pt idx="565">
                  <c:v>5698000</c:v>
                </c:pt>
                <c:pt idx="566">
                  <c:v>5699750</c:v>
                </c:pt>
                <c:pt idx="567">
                  <c:v>5701500</c:v>
                </c:pt>
                <c:pt idx="568">
                  <c:v>5703250</c:v>
                </c:pt>
                <c:pt idx="569">
                  <c:v>5705000</c:v>
                </c:pt>
                <c:pt idx="570">
                  <c:v>5706750</c:v>
                </c:pt>
                <c:pt idx="571">
                  <c:v>5708500</c:v>
                </c:pt>
                <c:pt idx="572">
                  <c:v>5710250</c:v>
                </c:pt>
                <c:pt idx="573">
                  <c:v>5712000</c:v>
                </c:pt>
                <c:pt idx="574">
                  <c:v>5713750</c:v>
                </c:pt>
                <c:pt idx="575">
                  <c:v>5715450</c:v>
                </c:pt>
                <c:pt idx="576">
                  <c:v>5717150</c:v>
                </c:pt>
                <c:pt idx="577">
                  <c:v>5718850</c:v>
                </c:pt>
                <c:pt idx="578">
                  <c:v>5720550</c:v>
                </c:pt>
                <c:pt idx="579">
                  <c:v>5722250</c:v>
                </c:pt>
                <c:pt idx="580">
                  <c:v>5723950</c:v>
                </c:pt>
                <c:pt idx="581">
                  <c:v>5725650</c:v>
                </c:pt>
                <c:pt idx="582">
                  <c:v>5727350</c:v>
                </c:pt>
                <c:pt idx="583">
                  <c:v>5729050</c:v>
                </c:pt>
                <c:pt idx="584">
                  <c:v>5730750</c:v>
                </c:pt>
                <c:pt idx="585">
                  <c:v>5732400</c:v>
                </c:pt>
                <c:pt idx="586">
                  <c:v>5734050</c:v>
                </c:pt>
                <c:pt idx="587">
                  <c:v>5735700</c:v>
                </c:pt>
                <c:pt idx="588">
                  <c:v>5737350</c:v>
                </c:pt>
                <c:pt idx="589">
                  <c:v>5739000</c:v>
                </c:pt>
                <c:pt idx="590">
                  <c:v>5740650</c:v>
                </c:pt>
                <c:pt idx="591">
                  <c:v>5742300</c:v>
                </c:pt>
                <c:pt idx="592">
                  <c:v>5743950</c:v>
                </c:pt>
                <c:pt idx="593">
                  <c:v>5745600</c:v>
                </c:pt>
                <c:pt idx="594">
                  <c:v>5747250</c:v>
                </c:pt>
                <c:pt idx="595">
                  <c:v>5748900</c:v>
                </c:pt>
                <c:pt idx="596">
                  <c:v>5750550</c:v>
                </c:pt>
                <c:pt idx="597">
                  <c:v>5752200</c:v>
                </c:pt>
                <c:pt idx="598">
                  <c:v>5753850</c:v>
                </c:pt>
                <c:pt idx="599">
                  <c:v>5755500</c:v>
                </c:pt>
                <c:pt idx="600">
                  <c:v>5757100</c:v>
                </c:pt>
                <c:pt idx="601">
                  <c:v>5758700</c:v>
                </c:pt>
                <c:pt idx="602">
                  <c:v>5760300</c:v>
                </c:pt>
                <c:pt idx="603">
                  <c:v>5761900</c:v>
                </c:pt>
                <c:pt idx="604">
                  <c:v>5763500</c:v>
                </c:pt>
                <c:pt idx="605">
                  <c:v>5765100</c:v>
                </c:pt>
                <c:pt idx="606">
                  <c:v>5766700</c:v>
                </c:pt>
                <c:pt idx="607">
                  <c:v>5768300</c:v>
                </c:pt>
                <c:pt idx="608">
                  <c:v>5769900</c:v>
                </c:pt>
                <c:pt idx="609">
                  <c:v>5771500</c:v>
                </c:pt>
                <c:pt idx="610">
                  <c:v>5773050</c:v>
                </c:pt>
                <c:pt idx="611">
                  <c:v>5774600</c:v>
                </c:pt>
                <c:pt idx="612">
                  <c:v>5776150</c:v>
                </c:pt>
                <c:pt idx="613">
                  <c:v>5777700</c:v>
                </c:pt>
                <c:pt idx="614">
                  <c:v>5779250</c:v>
                </c:pt>
                <c:pt idx="615">
                  <c:v>5780800</c:v>
                </c:pt>
                <c:pt idx="616">
                  <c:v>5782350</c:v>
                </c:pt>
                <c:pt idx="617">
                  <c:v>5783900</c:v>
                </c:pt>
                <c:pt idx="618">
                  <c:v>5785450</c:v>
                </c:pt>
                <c:pt idx="619">
                  <c:v>5787000</c:v>
                </c:pt>
                <c:pt idx="620">
                  <c:v>5788550</c:v>
                </c:pt>
                <c:pt idx="621">
                  <c:v>5790100</c:v>
                </c:pt>
                <c:pt idx="622">
                  <c:v>5791600</c:v>
                </c:pt>
                <c:pt idx="623">
                  <c:v>5793100</c:v>
                </c:pt>
                <c:pt idx="624">
                  <c:v>5794600</c:v>
                </c:pt>
                <c:pt idx="625">
                  <c:v>5796100</c:v>
                </c:pt>
                <c:pt idx="626">
                  <c:v>5797600</c:v>
                </c:pt>
                <c:pt idx="627">
                  <c:v>5799100</c:v>
                </c:pt>
                <c:pt idx="628">
                  <c:v>5800600</c:v>
                </c:pt>
                <c:pt idx="629">
                  <c:v>5802100</c:v>
                </c:pt>
                <c:pt idx="630">
                  <c:v>5803600</c:v>
                </c:pt>
                <c:pt idx="631">
                  <c:v>5805100</c:v>
                </c:pt>
                <c:pt idx="632">
                  <c:v>5806600</c:v>
                </c:pt>
                <c:pt idx="633">
                  <c:v>5808100</c:v>
                </c:pt>
                <c:pt idx="634">
                  <c:v>5809600</c:v>
                </c:pt>
                <c:pt idx="635">
                  <c:v>5811100</c:v>
                </c:pt>
                <c:pt idx="636">
                  <c:v>5812600</c:v>
                </c:pt>
                <c:pt idx="637">
                  <c:v>5814050</c:v>
                </c:pt>
                <c:pt idx="638">
                  <c:v>5815500</c:v>
                </c:pt>
                <c:pt idx="639">
                  <c:v>5816950</c:v>
                </c:pt>
                <c:pt idx="640">
                  <c:v>5818400</c:v>
                </c:pt>
                <c:pt idx="641">
                  <c:v>5819850</c:v>
                </c:pt>
                <c:pt idx="642">
                  <c:v>5821300</c:v>
                </c:pt>
                <c:pt idx="643">
                  <c:v>5822750</c:v>
                </c:pt>
                <c:pt idx="644">
                  <c:v>5824200</c:v>
                </c:pt>
                <c:pt idx="645">
                  <c:v>5825650</c:v>
                </c:pt>
                <c:pt idx="646">
                  <c:v>5827100</c:v>
                </c:pt>
                <c:pt idx="647">
                  <c:v>5828550</c:v>
                </c:pt>
                <c:pt idx="648">
                  <c:v>5830000</c:v>
                </c:pt>
                <c:pt idx="649">
                  <c:v>5831450</c:v>
                </c:pt>
                <c:pt idx="650">
                  <c:v>5832900</c:v>
                </c:pt>
                <c:pt idx="651">
                  <c:v>5834300</c:v>
                </c:pt>
                <c:pt idx="652">
                  <c:v>5835700</c:v>
                </c:pt>
                <c:pt idx="653">
                  <c:v>5837100</c:v>
                </c:pt>
                <c:pt idx="654">
                  <c:v>5838500</c:v>
                </c:pt>
                <c:pt idx="655">
                  <c:v>5839900</c:v>
                </c:pt>
                <c:pt idx="656">
                  <c:v>5841300</c:v>
                </c:pt>
                <c:pt idx="657">
                  <c:v>5842700</c:v>
                </c:pt>
                <c:pt idx="658">
                  <c:v>5844100</c:v>
                </c:pt>
                <c:pt idx="659">
                  <c:v>5845500</c:v>
                </c:pt>
                <c:pt idx="660">
                  <c:v>5846900</c:v>
                </c:pt>
                <c:pt idx="661">
                  <c:v>5848300</c:v>
                </c:pt>
                <c:pt idx="662">
                  <c:v>5849700</c:v>
                </c:pt>
                <c:pt idx="663">
                  <c:v>5851100</c:v>
                </c:pt>
                <c:pt idx="664">
                  <c:v>5852500</c:v>
                </c:pt>
                <c:pt idx="665">
                  <c:v>5853900</c:v>
                </c:pt>
                <c:pt idx="666">
                  <c:v>5855250</c:v>
                </c:pt>
                <c:pt idx="667">
                  <c:v>5856600</c:v>
                </c:pt>
                <c:pt idx="668">
                  <c:v>5857950</c:v>
                </c:pt>
                <c:pt idx="669">
                  <c:v>5859300</c:v>
                </c:pt>
                <c:pt idx="670">
                  <c:v>5860650</c:v>
                </c:pt>
                <c:pt idx="671">
                  <c:v>5862000</c:v>
                </c:pt>
                <c:pt idx="672">
                  <c:v>5863350</c:v>
                </c:pt>
                <c:pt idx="673">
                  <c:v>5864700</c:v>
                </c:pt>
                <c:pt idx="674">
                  <c:v>5866050</c:v>
                </c:pt>
                <c:pt idx="675">
                  <c:v>5867400</c:v>
                </c:pt>
                <c:pt idx="676">
                  <c:v>5868750</c:v>
                </c:pt>
                <c:pt idx="677">
                  <c:v>5870100</c:v>
                </c:pt>
                <c:pt idx="678">
                  <c:v>5871450</c:v>
                </c:pt>
                <c:pt idx="679">
                  <c:v>5872800</c:v>
                </c:pt>
                <c:pt idx="680">
                  <c:v>5874100</c:v>
                </c:pt>
                <c:pt idx="681">
                  <c:v>5875400</c:v>
                </c:pt>
                <c:pt idx="682">
                  <c:v>5876700</c:v>
                </c:pt>
                <c:pt idx="683">
                  <c:v>5878000</c:v>
                </c:pt>
                <c:pt idx="684">
                  <c:v>5879300</c:v>
                </c:pt>
                <c:pt idx="685">
                  <c:v>5880600</c:v>
                </c:pt>
                <c:pt idx="686">
                  <c:v>5881900</c:v>
                </c:pt>
                <c:pt idx="687">
                  <c:v>5883200</c:v>
                </c:pt>
                <c:pt idx="688">
                  <c:v>5884500</c:v>
                </c:pt>
                <c:pt idx="689">
                  <c:v>5885800</c:v>
                </c:pt>
                <c:pt idx="690">
                  <c:v>5887100</c:v>
                </c:pt>
                <c:pt idx="691">
                  <c:v>5888400</c:v>
                </c:pt>
                <c:pt idx="692">
                  <c:v>5889700</c:v>
                </c:pt>
                <c:pt idx="693">
                  <c:v>5891000</c:v>
                </c:pt>
                <c:pt idx="694">
                  <c:v>5892300</c:v>
                </c:pt>
                <c:pt idx="695">
                  <c:v>5893600</c:v>
                </c:pt>
                <c:pt idx="696">
                  <c:v>5894900</c:v>
                </c:pt>
                <c:pt idx="697">
                  <c:v>5896200</c:v>
                </c:pt>
                <c:pt idx="698">
                  <c:v>5897500</c:v>
                </c:pt>
                <c:pt idx="699">
                  <c:v>5898800</c:v>
                </c:pt>
                <c:pt idx="700">
                  <c:v>5900100</c:v>
                </c:pt>
                <c:pt idx="701">
                  <c:v>5901400</c:v>
                </c:pt>
                <c:pt idx="702">
                  <c:v>5902650</c:v>
                </c:pt>
                <c:pt idx="703">
                  <c:v>5903900</c:v>
                </c:pt>
                <c:pt idx="704">
                  <c:v>5905150</c:v>
                </c:pt>
                <c:pt idx="705">
                  <c:v>5906400</c:v>
                </c:pt>
                <c:pt idx="706">
                  <c:v>5907650</c:v>
                </c:pt>
                <c:pt idx="707">
                  <c:v>5908900</c:v>
                </c:pt>
                <c:pt idx="708">
                  <c:v>5910150</c:v>
                </c:pt>
                <c:pt idx="709">
                  <c:v>5911400</c:v>
                </c:pt>
                <c:pt idx="710">
                  <c:v>5912650</c:v>
                </c:pt>
                <c:pt idx="711">
                  <c:v>5913900</c:v>
                </c:pt>
                <c:pt idx="712">
                  <c:v>5915150</c:v>
                </c:pt>
                <c:pt idx="713">
                  <c:v>5916350</c:v>
                </c:pt>
                <c:pt idx="714">
                  <c:v>5917550</c:v>
                </c:pt>
                <c:pt idx="715">
                  <c:v>5918750</c:v>
                </c:pt>
                <c:pt idx="716">
                  <c:v>5919950</c:v>
                </c:pt>
                <c:pt idx="717">
                  <c:v>5921150</c:v>
                </c:pt>
                <c:pt idx="718">
                  <c:v>5922350</c:v>
                </c:pt>
                <c:pt idx="719">
                  <c:v>5923550</c:v>
                </c:pt>
                <c:pt idx="720">
                  <c:v>5924750</c:v>
                </c:pt>
                <c:pt idx="721">
                  <c:v>5925950</c:v>
                </c:pt>
                <c:pt idx="722">
                  <c:v>5927150</c:v>
                </c:pt>
                <c:pt idx="723">
                  <c:v>5928350</c:v>
                </c:pt>
                <c:pt idx="724">
                  <c:v>5929550</c:v>
                </c:pt>
                <c:pt idx="725">
                  <c:v>5930750</c:v>
                </c:pt>
                <c:pt idx="726">
                  <c:v>5931950</c:v>
                </c:pt>
                <c:pt idx="727">
                  <c:v>5933150</c:v>
                </c:pt>
                <c:pt idx="728">
                  <c:v>5934350</c:v>
                </c:pt>
                <c:pt idx="729">
                  <c:v>5935550</c:v>
                </c:pt>
                <c:pt idx="730">
                  <c:v>5936750</c:v>
                </c:pt>
                <c:pt idx="731">
                  <c:v>5937950</c:v>
                </c:pt>
                <c:pt idx="732">
                  <c:v>5939150</c:v>
                </c:pt>
                <c:pt idx="733">
                  <c:v>5940350</c:v>
                </c:pt>
                <c:pt idx="734">
                  <c:v>5941500</c:v>
                </c:pt>
                <c:pt idx="735">
                  <c:v>5942650</c:v>
                </c:pt>
                <c:pt idx="736">
                  <c:v>5943800</c:v>
                </c:pt>
                <c:pt idx="737">
                  <c:v>5944950</c:v>
                </c:pt>
                <c:pt idx="738">
                  <c:v>5946100</c:v>
                </c:pt>
                <c:pt idx="739">
                  <c:v>5947250</c:v>
                </c:pt>
                <c:pt idx="740">
                  <c:v>5948400</c:v>
                </c:pt>
                <c:pt idx="741">
                  <c:v>5949550</c:v>
                </c:pt>
                <c:pt idx="742">
                  <c:v>5950700</c:v>
                </c:pt>
                <c:pt idx="743">
                  <c:v>5951850</c:v>
                </c:pt>
                <c:pt idx="744">
                  <c:v>5953000</c:v>
                </c:pt>
                <c:pt idx="745">
                  <c:v>5954150</c:v>
                </c:pt>
                <c:pt idx="746">
                  <c:v>5955300</c:v>
                </c:pt>
                <c:pt idx="747">
                  <c:v>5956450</c:v>
                </c:pt>
                <c:pt idx="748">
                  <c:v>5957550</c:v>
                </c:pt>
                <c:pt idx="749">
                  <c:v>5958650</c:v>
                </c:pt>
                <c:pt idx="750">
                  <c:v>5959750</c:v>
                </c:pt>
                <c:pt idx="751">
                  <c:v>5960850</c:v>
                </c:pt>
                <c:pt idx="752">
                  <c:v>5961950</c:v>
                </c:pt>
                <c:pt idx="753">
                  <c:v>5963050</c:v>
                </c:pt>
                <c:pt idx="754">
                  <c:v>5964150</c:v>
                </c:pt>
                <c:pt idx="755">
                  <c:v>5965250</c:v>
                </c:pt>
                <c:pt idx="756">
                  <c:v>5966350</c:v>
                </c:pt>
                <c:pt idx="757">
                  <c:v>5967450</c:v>
                </c:pt>
                <c:pt idx="758">
                  <c:v>5968550</c:v>
                </c:pt>
                <c:pt idx="759">
                  <c:v>5969650</c:v>
                </c:pt>
                <c:pt idx="760">
                  <c:v>5970750</c:v>
                </c:pt>
                <c:pt idx="761">
                  <c:v>5971850</c:v>
                </c:pt>
                <c:pt idx="762">
                  <c:v>5972950</c:v>
                </c:pt>
                <c:pt idx="763">
                  <c:v>5974050</c:v>
                </c:pt>
                <c:pt idx="764">
                  <c:v>5975150</c:v>
                </c:pt>
                <c:pt idx="765">
                  <c:v>5976250</c:v>
                </c:pt>
                <c:pt idx="766">
                  <c:v>5977350</c:v>
                </c:pt>
                <c:pt idx="767">
                  <c:v>5978450</c:v>
                </c:pt>
                <c:pt idx="768">
                  <c:v>5979550</c:v>
                </c:pt>
                <c:pt idx="769">
                  <c:v>5980650</c:v>
                </c:pt>
                <c:pt idx="770">
                  <c:v>5981700</c:v>
                </c:pt>
                <c:pt idx="771">
                  <c:v>5982750</c:v>
                </c:pt>
                <c:pt idx="772">
                  <c:v>5983800</c:v>
                </c:pt>
                <c:pt idx="773">
                  <c:v>5984850</c:v>
                </c:pt>
                <c:pt idx="774">
                  <c:v>5985900</c:v>
                </c:pt>
                <c:pt idx="775">
                  <c:v>5986950</c:v>
                </c:pt>
                <c:pt idx="776">
                  <c:v>5988000</c:v>
                </c:pt>
                <c:pt idx="777">
                  <c:v>5989050</c:v>
                </c:pt>
                <c:pt idx="778">
                  <c:v>5990100</c:v>
                </c:pt>
                <c:pt idx="779">
                  <c:v>5991150</c:v>
                </c:pt>
                <c:pt idx="780">
                  <c:v>5992200</c:v>
                </c:pt>
                <c:pt idx="781">
                  <c:v>5993250</c:v>
                </c:pt>
                <c:pt idx="782">
                  <c:v>5994300</c:v>
                </c:pt>
                <c:pt idx="783">
                  <c:v>5995350</c:v>
                </c:pt>
                <c:pt idx="784">
                  <c:v>5996400</c:v>
                </c:pt>
                <c:pt idx="785">
                  <c:v>5997450</c:v>
                </c:pt>
                <c:pt idx="786">
                  <c:v>5998500</c:v>
                </c:pt>
                <c:pt idx="787">
                  <c:v>5999550</c:v>
                </c:pt>
                <c:pt idx="788">
                  <c:v>6000600</c:v>
                </c:pt>
                <c:pt idx="789">
                  <c:v>6001650</c:v>
                </c:pt>
                <c:pt idx="790">
                  <c:v>6002700</c:v>
                </c:pt>
                <c:pt idx="791">
                  <c:v>6003750</c:v>
                </c:pt>
                <c:pt idx="792">
                  <c:v>6004800</c:v>
                </c:pt>
                <c:pt idx="793">
                  <c:v>6005850</c:v>
                </c:pt>
                <c:pt idx="794">
                  <c:v>6006900</c:v>
                </c:pt>
                <c:pt idx="795">
                  <c:v>6007950</c:v>
                </c:pt>
                <c:pt idx="796">
                  <c:v>6009000</c:v>
                </c:pt>
                <c:pt idx="797">
                  <c:v>6010000</c:v>
                </c:pt>
                <c:pt idx="798">
                  <c:v>6011000</c:v>
                </c:pt>
                <c:pt idx="799">
                  <c:v>6012000</c:v>
                </c:pt>
                <c:pt idx="800">
                  <c:v>6013000</c:v>
                </c:pt>
                <c:pt idx="801">
                  <c:v>6014000</c:v>
                </c:pt>
                <c:pt idx="802">
                  <c:v>6015000</c:v>
                </c:pt>
                <c:pt idx="803">
                  <c:v>6016000</c:v>
                </c:pt>
                <c:pt idx="804">
                  <c:v>6017000</c:v>
                </c:pt>
                <c:pt idx="805">
                  <c:v>6018000</c:v>
                </c:pt>
                <c:pt idx="806">
                  <c:v>6019000</c:v>
                </c:pt>
                <c:pt idx="807">
                  <c:v>6019990</c:v>
                </c:pt>
                <c:pt idx="808">
                  <c:v>6020980</c:v>
                </c:pt>
                <c:pt idx="809">
                  <c:v>6021970</c:v>
                </c:pt>
                <c:pt idx="810">
                  <c:v>6022960</c:v>
                </c:pt>
                <c:pt idx="811">
                  <c:v>6023950</c:v>
                </c:pt>
                <c:pt idx="812">
                  <c:v>6024930</c:v>
                </c:pt>
                <c:pt idx="813">
                  <c:v>6025910</c:v>
                </c:pt>
                <c:pt idx="814">
                  <c:v>6026890</c:v>
                </c:pt>
                <c:pt idx="815">
                  <c:v>6027870</c:v>
                </c:pt>
                <c:pt idx="816">
                  <c:v>6028850</c:v>
                </c:pt>
                <c:pt idx="817">
                  <c:v>6029830</c:v>
                </c:pt>
                <c:pt idx="818">
                  <c:v>6030810</c:v>
                </c:pt>
                <c:pt idx="819">
                  <c:v>6031790</c:v>
                </c:pt>
                <c:pt idx="820">
                  <c:v>6032760</c:v>
                </c:pt>
                <c:pt idx="821">
                  <c:v>6033730</c:v>
                </c:pt>
                <c:pt idx="822">
                  <c:v>6034700</c:v>
                </c:pt>
                <c:pt idx="823">
                  <c:v>6035670</c:v>
                </c:pt>
                <c:pt idx="824">
                  <c:v>6036640</c:v>
                </c:pt>
                <c:pt idx="825">
                  <c:v>6037600</c:v>
                </c:pt>
                <c:pt idx="826">
                  <c:v>6038560</c:v>
                </c:pt>
                <c:pt idx="827">
                  <c:v>6039510</c:v>
                </c:pt>
                <c:pt idx="828">
                  <c:v>6040460</c:v>
                </c:pt>
                <c:pt idx="829">
                  <c:v>6041410</c:v>
                </c:pt>
                <c:pt idx="830">
                  <c:v>6042360</c:v>
                </c:pt>
                <c:pt idx="831">
                  <c:v>6043300</c:v>
                </c:pt>
                <c:pt idx="832">
                  <c:v>6044240</c:v>
                </c:pt>
                <c:pt idx="833">
                  <c:v>6045180</c:v>
                </c:pt>
                <c:pt idx="834">
                  <c:v>6046120</c:v>
                </c:pt>
                <c:pt idx="835">
                  <c:v>6047050</c:v>
                </c:pt>
                <c:pt idx="836">
                  <c:v>6047980</c:v>
                </c:pt>
                <c:pt idx="837">
                  <c:v>6048910</c:v>
                </c:pt>
                <c:pt idx="838">
                  <c:v>6049830</c:v>
                </c:pt>
                <c:pt idx="839">
                  <c:v>6050750</c:v>
                </c:pt>
                <c:pt idx="840">
                  <c:v>6051670</c:v>
                </c:pt>
                <c:pt idx="841">
                  <c:v>6052590</c:v>
                </c:pt>
                <c:pt idx="842">
                  <c:v>6053510</c:v>
                </c:pt>
                <c:pt idx="843">
                  <c:v>6054430</c:v>
                </c:pt>
                <c:pt idx="844">
                  <c:v>6055350</c:v>
                </c:pt>
                <c:pt idx="845">
                  <c:v>6056270</c:v>
                </c:pt>
                <c:pt idx="846">
                  <c:v>6057190</c:v>
                </c:pt>
                <c:pt idx="847">
                  <c:v>6058110</c:v>
                </c:pt>
                <c:pt idx="848">
                  <c:v>6059020</c:v>
                </c:pt>
                <c:pt idx="849">
                  <c:v>6059920</c:v>
                </c:pt>
                <c:pt idx="850">
                  <c:v>6060820</c:v>
                </c:pt>
                <c:pt idx="851">
                  <c:v>6061720</c:v>
                </c:pt>
                <c:pt idx="852">
                  <c:v>6062620</c:v>
                </c:pt>
                <c:pt idx="853">
                  <c:v>6063520</c:v>
                </c:pt>
                <c:pt idx="854">
                  <c:v>6064410</c:v>
                </c:pt>
                <c:pt idx="855">
                  <c:v>6065300</c:v>
                </c:pt>
                <c:pt idx="856">
                  <c:v>6066190</c:v>
                </c:pt>
                <c:pt idx="857">
                  <c:v>6067080</c:v>
                </c:pt>
                <c:pt idx="858">
                  <c:v>6067970</c:v>
                </c:pt>
                <c:pt idx="859">
                  <c:v>6068850</c:v>
                </c:pt>
                <c:pt idx="860">
                  <c:v>6069730</c:v>
                </c:pt>
                <c:pt idx="861">
                  <c:v>6070610</c:v>
                </c:pt>
                <c:pt idx="862">
                  <c:v>6071490</c:v>
                </c:pt>
                <c:pt idx="863">
                  <c:v>6072370</c:v>
                </c:pt>
                <c:pt idx="864">
                  <c:v>6073250</c:v>
                </c:pt>
                <c:pt idx="865">
                  <c:v>6074120</c:v>
                </c:pt>
                <c:pt idx="866">
                  <c:v>6074990</c:v>
                </c:pt>
                <c:pt idx="867">
                  <c:v>6075860</c:v>
                </c:pt>
                <c:pt idx="868">
                  <c:v>6076730</c:v>
                </c:pt>
                <c:pt idx="869">
                  <c:v>6077600</c:v>
                </c:pt>
                <c:pt idx="870">
                  <c:v>6078470</c:v>
                </c:pt>
                <c:pt idx="871">
                  <c:v>6079340</c:v>
                </c:pt>
                <c:pt idx="872">
                  <c:v>6080210</c:v>
                </c:pt>
                <c:pt idx="873">
                  <c:v>6081080</c:v>
                </c:pt>
                <c:pt idx="874">
                  <c:v>6081950</c:v>
                </c:pt>
                <c:pt idx="875">
                  <c:v>6082810</c:v>
                </c:pt>
                <c:pt idx="876">
                  <c:v>6083670</c:v>
                </c:pt>
                <c:pt idx="877">
                  <c:v>6084530</c:v>
                </c:pt>
                <c:pt idx="878">
                  <c:v>6085390</c:v>
                </c:pt>
                <c:pt idx="879">
                  <c:v>6086240</c:v>
                </c:pt>
                <c:pt idx="880">
                  <c:v>6087090</c:v>
                </c:pt>
                <c:pt idx="881">
                  <c:v>6087940</c:v>
                </c:pt>
                <c:pt idx="882">
                  <c:v>6088790</c:v>
                </c:pt>
                <c:pt idx="883">
                  <c:v>6089640</c:v>
                </c:pt>
                <c:pt idx="884">
                  <c:v>6090490</c:v>
                </c:pt>
                <c:pt idx="885">
                  <c:v>6091340</c:v>
                </c:pt>
                <c:pt idx="886">
                  <c:v>6092180</c:v>
                </c:pt>
                <c:pt idx="887">
                  <c:v>6093020</c:v>
                </c:pt>
                <c:pt idx="888">
                  <c:v>6093860</c:v>
                </c:pt>
                <c:pt idx="889">
                  <c:v>6094700</c:v>
                </c:pt>
                <c:pt idx="890">
                  <c:v>6095540</c:v>
                </c:pt>
                <c:pt idx="891">
                  <c:v>6096370</c:v>
                </c:pt>
                <c:pt idx="892">
                  <c:v>6097200</c:v>
                </c:pt>
                <c:pt idx="893">
                  <c:v>6098030</c:v>
                </c:pt>
                <c:pt idx="894">
                  <c:v>6098860</c:v>
                </c:pt>
                <c:pt idx="895">
                  <c:v>6099690</c:v>
                </c:pt>
                <c:pt idx="896">
                  <c:v>6100510</c:v>
                </c:pt>
                <c:pt idx="897">
                  <c:v>6101330</c:v>
                </c:pt>
                <c:pt idx="898">
                  <c:v>6102150</c:v>
                </c:pt>
                <c:pt idx="899">
                  <c:v>6102970</c:v>
                </c:pt>
                <c:pt idx="900">
                  <c:v>6103790</c:v>
                </c:pt>
                <c:pt idx="901">
                  <c:v>6104610</c:v>
                </c:pt>
                <c:pt idx="902">
                  <c:v>6105420</c:v>
                </c:pt>
                <c:pt idx="903">
                  <c:v>6106230</c:v>
                </c:pt>
                <c:pt idx="904">
                  <c:v>6107040</c:v>
                </c:pt>
                <c:pt idx="905">
                  <c:v>6107850</c:v>
                </c:pt>
                <c:pt idx="906">
                  <c:v>6108660</c:v>
                </c:pt>
                <c:pt idx="907">
                  <c:v>6109470</c:v>
                </c:pt>
                <c:pt idx="908">
                  <c:v>6110280</c:v>
                </c:pt>
                <c:pt idx="909">
                  <c:v>6111090</c:v>
                </c:pt>
                <c:pt idx="910">
                  <c:v>6111890</c:v>
                </c:pt>
                <c:pt idx="911">
                  <c:v>6112690</c:v>
                </c:pt>
                <c:pt idx="912">
                  <c:v>6113490</c:v>
                </c:pt>
                <c:pt idx="913">
                  <c:v>6114290</c:v>
                </c:pt>
                <c:pt idx="914">
                  <c:v>6115080</c:v>
                </c:pt>
                <c:pt idx="915">
                  <c:v>6115870</c:v>
                </c:pt>
                <c:pt idx="916">
                  <c:v>6116660</c:v>
                </c:pt>
                <c:pt idx="917">
                  <c:v>6117450</c:v>
                </c:pt>
                <c:pt idx="918">
                  <c:v>6118240</c:v>
                </c:pt>
                <c:pt idx="919">
                  <c:v>6119030</c:v>
                </c:pt>
                <c:pt idx="920">
                  <c:v>6119820</c:v>
                </c:pt>
                <c:pt idx="921">
                  <c:v>6120610</c:v>
                </c:pt>
                <c:pt idx="922">
                  <c:v>6121400</c:v>
                </c:pt>
                <c:pt idx="923">
                  <c:v>6122190</c:v>
                </c:pt>
                <c:pt idx="924">
                  <c:v>6122980</c:v>
                </c:pt>
                <c:pt idx="925">
                  <c:v>6123760</c:v>
                </c:pt>
                <c:pt idx="926">
                  <c:v>6124540</c:v>
                </c:pt>
                <c:pt idx="927">
                  <c:v>6125320</c:v>
                </c:pt>
                <c:pt idx="928">
                  <c:v>6126100</c:v>
                </c:pt>
                <c:pt idx="929">
                  <c:v>6126870</c:v>
                </c:pt>
                <c:pt idx="930">
                  <c:v>6127640</c:v>
                </c:pt>
                <c:pt idx="931">
                  <c:v>6128410</c:v>
                </c:pt>
                <c:pt idx="932">
                  <c:v>6129180</c:v>
                </c:pt>
                <c:pt idx="933">
                  <c:v>6129950</c:v>
                </c:pt>
                <c:pt idx="934">
                  <c:v>6130720</c:v>
                </c:pt>
                <c:pt idx="935">
                  <c:v>6131480</c:v>
                </c:pt>
                <c:pt idx="936">
                  <c:v>6132240</c:v>
                </c:pt>
                <c:pt idx="937">
                  <c:v>6133000</c:v>
                </c:pt>
                <c:pt idx="938">
                  <c:v>6133760</c:v>
                </c:pt>
                <c:pt idx="939">
                  <c:v>6134520</c:v>
                </c:pt>
                <c:pt idx="940">
                  <c:v>6135280</c:v>
                </c:pt>
                <c:pt idx="941">
                  <c:v>6136040</c:v>
                </c:pt>
                <c:pt idx="942">
                  <c:v>6136790</c:v>
                </c:pt>
                <c:pt idx="943">
                  <c:v>6137540</c:v>
                </c:pt>
                <c:pt idx="944">
                  <c:v>6138290</c:v>
                </c:pt>
                <c:pt idx="945">
                  <c:v>6139040</c:v>
                </c:pt>
                <c:pt idx="946">
                  <c:v>6139790</c:v>
                </c:pt>
                <c:pt idx="947">
                  <c:v>6140540</c:v>
                </c:pt>
                <c:pt idx="948">
                  <c:v>6141290</c:v>
                </c:pt>
                <c:pt idx="949">
                  <c:v>6142040</c:v>
                </c:pt>
                <c:pt idx="950">
                  <c:v>6142780</c:v>
                </c:pt>
                <c:pt idx="951">
                  <c:v>6143520</c:v>
                </c:pt>
                <c:pt idx="952">
                  <c:v>6144260</c:v>
                </c:pt>
                <c:pt idx="953">
                  <c:v>6145000</c:v>
                </c:pt>
                <c:pt idx="954">
                  <c:v>6145740</c:v>
                </c:pt>
                <c:pt idx="955">
                  <c:v>6146480</c:v>
                </c:pt>
                <c:pt idx="956">
                  <c:v>6147220</c:v>
                </c:pt>
                <c:pt idx="957">
                  <c:v>6147960</c:v>
                </c:pt>
                <c:pt idx="958">
                  <c:v>6148690</c:v>
                </c:pt>
                <c:pt idx="959">
                  <c:v>6149420</c:v>
                </c:pt>
                <c:pt idx="960">
                  <c:v>6150150</c:v>
                </c:pt>
                <c:pt idx="961">
                  <c:v>6150880</c:v>
                </c:pt>
                <c:pt idx="962">
                  <c:v>6151610</c:v>
                </c:pt>
                <c:pt idx="963">
                  <c:v>6152330</c:v>
                </c:pt>
                <c:pt idx="964">
                  <c:v>6153050</c:v>
                </c:pt>
                <c:pt idx="965">
                  <c:v>6153770</c:v>
                </c:pt>
                <c:pt idx="966">
                  <c:v>6154490</c:v>
                </c:pt>
                <c:pt idx="967">
                  <c:v>6155210</c:v>
                </c:pt>
                <c:pt idx="968">
                  <c:v>6155930</c:v>
                </c:pt>
                <c:pt idx="969">
                  <c:v>6156640</c:v>
                </c:pt>
                <c:pt idx="970">
                  <c:v>6157350</c:v>
                </c:pt>
                <c:pt idx="971">
                  <c:v>6158060</c:v>
                </c:pt>
                <c:pt idx="972">
                  <c:v>6158770</c:v>
                </c:pt>
                <c:pt idx="973">
                  <c:v>6159480</c:v>
                </c:pt>
                <c:pt idx="974">
                  <c:v>6160190</c:v>
                </c:pt>
                <c:pt idx="975">
                  <c:v>6160890</c:v>
                </c:pt>
                <c:pt idx="976">
                  <c:v>6161590</c:v>
                </c:pt>
                <c:pt idx="977">
                  <c:v>6162290</c:v>
                </c:pt>
                <c:pt idx="978">
                  <c:v>6162990</c:v>
                </c:pt>
                <c:pt idx="979">
                  <c:v>6163680</c:v>
                </c:pt>
                <c:pt idx="980">
                  <c:v>6164370</c:v>
                </c:pt>
                <c:pt idx="981">
                  <c:v>6165060</c:v>
                </c:pt>
                <c:pt idx="982">
                  <c:v>6165750</c:v>
                </c:pt>
                <c:pt idx="983">
                  <c:v>6166430</c:v>
                </c:pt>
                <c:pt idx="984">
                  <c:v>6167110</c:v>
                </c:pt>
                <c:pt idx="985">
                  <c:v>6167790</c:v>
                </c:pt>
                <c:pt idx="986">
                  <c:v>6168470</c:v>
                </c:pt>
                <c:pt idx="987">
                  <c:v>6169150</c:v>
                </c:pt>
                <c:pt idx="988">
                  <c:v>6169830</c:v>
                </c:pt>
                <c:pt idx="989">
                  <c:v>6170510</c:v>
                </c:pt>
                <c:pt idx="990">
                  <c:v>6171190</c:v>
                </c:pt>
                <c:pt idx="991">
                  <c:v>6171870</c:v>
                </c:pt>
                <c:pt idx="992">
                  <c:v>6172550</c:v>
                </c:pt>
                <c:pt idx="993">
                  <c:v>6173220</c:v>
                </c:pt>
                <c:pt idx="994">
                  <c:v>6173890</c:v>
                </c:pt>
                <c:pt idx="995">
                  <c:v>6174560</c:v>
                </c:pt>
                <c:pt idx="996">
                  <c:v>6175230</c:v>
                </c:pt>
                <c:pt idx="997">
                  <c:v>6175900</c:v>
                </c:pt>
                <c:pt idx="998">
                  <c:v>6176570</c:v>
                </c:pt>
                <c:pt idx="999">
                  <c:v>6177240</c:v>
                </c:pt>
                <c:pt idx="1000">
                  <c:v>6177910</c:v>
                </c:pt>
                <c:pt idx="1001">
                  <c:v>6178570</c:v>
                </c:pt>
                <c:pt idx="1002">
                  <c:v>6179230</c:v>
                </c:pt>
                <c:pt idx="1003">
                  <c:v>6179880</c:v>
                </c:pt>
                <c:pt idx="1004">
                  <c:v>6180530</c:v>
                </c:pt>
                <c:pt idx="1005">
                  <c:v>6181180</c:v>
                </c:pt>
                <c:pt idx="1006">
                  <c:v>6181830</c:v>
                </c:pt>
                <c:pt idx="1007">
                  <c:v>6182480</c:v>
                </c:pt>
                <c:pt idx="1008">
                  <c:v>6183120</c:v>
                </c:pt>
                <c:pt idx="1009">
                  <c:v>6183760</c:v>
                </c:pt>
                <c:pt idx="1010">
                  <c:v>6184400</c:v>
                </c:pt>
                <c:pt idx="1011">
                  <c:v>6185040</c:v>
                </c:pt>
                <c:pt idx="1012">
                  <c:v>6185670</c:v>
                </c:pt>
                <c:pt idx="1013">
                  <c:v>6186300</c:v>
                </c:pt>
                <c:pt idx="1014">
                  <c:v>6186930</c:v>
                </c:pt>
                <c:pt idx="1015">
                  <c:v>6187550</c:v>
                </c:pt>
                <c:pt idx="1016">
                  <c:v>6188170</c:v>
                </c:pt>
                <c:pt idx="1017">
                  <c:v>6188790</c:v>
                </c:pt>
                <c:pt idx="1018">
                  <c:v>6189410</c:v>
                </c:pt>
                <c:pt idx="1019">
                  <c:v>6190030</c:v>
                </c:pt>
                <c:pt idx="1020">
                  <c:v>6190650</c:v>
                </c:pt>
                <c:pt idx="1021">
                  <c:v>6191270</c:v>
                </c:pt>
                <c:pt idx="1022">
                  <c:v>6191890</c:v>
                </c:pt>
                <c:pt idx="1023">
                  <c:v>6192510</c:v>
                </c:pt>
                <c:pt idx="1024">
                  <c:v>6193120</c:v>
                </c:pt>
                <c:pt idx="1025">
                  <c:v>6193730</c:v>
                </c:pt>
                <c:pt idx="1026">
                  <c:v>6194340</c:v>
                </c:pt>
                <c:pt idx="1027">
                  <c:v>6194950</c:v>
                </c:pt>
                <c:pt idx="1028">
                  <c:v>6195560</c:v>
                </c:pt>
                <c:pt idx="1029">
                  <c:v>6196170</c:v>
                </c:pt>
                <c:pt idx="1030">
                  <c:v>6196780</c:v>
                </c:pt>
                <c:pt idx="1031">
                  <c:v>6197380</c:v>
                </c:pt>
                <c:pt idx="1032">
                  <c:v>6197980</c:v>
                </c:pt>
                <c:pt idx="1033">
                  <c:v>6198580</c:v>
                </c:pt>
                <c:pt idx="1034">
                  <c:v>6199180</c:v>
                </c:pt>
                <c:pt idx="1035">
                  <c:v>6199780</c:v>
                </c:pt>
                <c:pt idx="1036">
                  <c:v>6200380</c:v>
                </c:pt>
                <c:pt idx="1037">
                  <c:v>6200970</c:v>
                </c:pt>
                <c:pt idx="1038">
                  <c:v>6201560</c:v>
                </c:pt>
                <c:pt idx="1039">
                  <c:v>6202150</c:v>
                </c:pt>
                <c:pt idx="1040">
                  <c:v>6202740</c:v>
                </c:pt>
                <c:pt idx="1041">
                  <c:v>6203330</c:v>
                </c:pt>
                <c:pt idx="1042">
                  <c:v>6203920</c:v>
                </c:pt>
                <c:pt idx="1043">
                  <c:v>6204510</c:v>
                </c:pt>
                <c:pt idx="1044">
                  <c:v>6205100</c:v>
                </c:pt>
                <c:pt idx="1045">
                  <c:v>6205680</c:v>
                </c:pt>
                <c:pt idx="1046">
                  <c:v>6206260</c:v>
                </c:pt>
                <c:pt idx="1047">
                  <c:v>6206840</c:v>
                </c:pt>
                <c:pt idx="1048">
                  <c:v>6207420</c:v>
                </c:pt>
                <c:pt idx="1049">
                  <c:v>6208000</c:v>
                </c:pt>
                <c:pt idx="1050">
                  <c:v>6208580</c:v>
                </c:pt>
                <c:pt idx="1051">
                  <c:v>6209160</c:v>
                </c:pt>
                <c:pt idx="1052">
                  <c:v>6209740</c:v>
                </c:pt>
                <c:pt idx="1053">
                  <c:v>6210310</c:v>
                </c:pt>
                <c:pt idx="1054">
                  <c:v>6210880</c:v>
                </c:pt>
                <c:pt idx="1055">
                  <c:v>6211450</c:v>
                </c:pt>
                <c:pt idx="1056">
                  <c:v>6212020</c:v>
                </c:pt>
                <c:pt idx="1057">
                  <c:v>6212590</c:v>
                </c:pt>
                <c:pt idx="1058">
                  <c:v>6213160</c:v>
                </c:pt>
                <c:pt idx="1059">
                  <c:v>6213730</c:v>
                </c:pt>
                <c:pt idx="1060">
                  <c:v>6214300</c:v>
                </c:pt>
                <c:pt idx="1061">
                  <c:v>6214860</c:v>
                </c:pt>
                <c:pt idx="1062">
                  <c:v>6215420</c:v>
                </c:pt>
                <c:pt idx="1063">
                  <c:v>6215980</c:v>
                </c:pt>
                <c:pt idx="1064">
                  <c:v>6216540</c:v>
                </c:pt>
                <c:pt idx="1065">
                  <c:v>6217100</c:v>
                </c:pt>
                <c:pt idx="1066">
                  <c:v>6217660</c:v>
                </c:pt>
                <c:pt idx="1067">
                  <c:v>6218220</c:v>
                </c:pt>
                <c:pt idx="1068">
                  <c:v>6218780</c:v>
                </c:pt>
                <c:pt idx="1069">
                  <c:v>6219340</c:v>
                </c:pt>
                <c:pt idx="1070">
                  <c:v>6219900</c:v>
                </c:pt>
                <c:pt idx="1071">
                  <c:v>6220460</c:v>
                </c:pt>
                <c:pt idx="1072">
                  <c:v>6221010</c:v>
                </c:pt>
                <c:pt idx="1073">
                  <c:v>6221560</c:v>
                </c:pt>
                <c:pt idx="1074">
                  <c:v>6222110</c:v>
                </c:pt>
                <c:pt idx="1075">
                  <c:v>6222660</c:v>
                </c:pt>
                <c:pt idx="1076">
                  <c:v>6223210</c:v>
                </c:pt>
                <c:pt idx="1077">
                  <c:v>6223750</c:v>
                </c:pt>
                <c:pt idx="1078">
                  <c:v>6224290</c:v>
                </c:pt>
                <c:pt idx="1079">
                  <c:v>6224830</c:v>
                </c:pt>
                <c:pt idx="1080">
                  <c:v>6225370</c:v>
                </c:pt>
                <c:pt idx="1081">
                  <c:v>6225910</c:v>
                </c:pt>
                <c:pt idx="1082">
                  <c:v>6226450</c:v>
                </c:pt>
                <c:pt idx="1083">
                  <c:v>6226980</c:v>
                </c:pt>
                <c:pt idx="1084">
                  <c:v>6227510</c:v>
                </c:pt>
                <c:pt idx="1085">
                  <c:v>6228040</c:v>
                </c:pt>
                <c:pt idx="1086">
                  <c:v>6228570</c:v>
                </c:pt>
                <c:pt idx="1087">
                  <c:v>6229100</c:v>
                </c:pt>
                <c:pt idx="1088">
                  <c:v>6229630</c:v>
                </c:pt>
                <c:pt idx="1089">
                  <c:v>6230150</c:v>
                </c:pt>
                <c:pt idx="1090">
                  <c:v>6230670</c:v>
                </c:pt>
                <c:pt idx="1091">
                  <c:v>6231190</c:v>
                </c:pt>
                <c:pt idx="1092">
                  <c:v>6231710</c:v>
                </c:pt>
                <c:pt idx="1093">
                  <c:v>6232230</c:v>
                </c:pt>
                <c:pt idx="1094">
                  <c:v>6232750</c:v>
                </c:pt>
                <c:pt idx="1095">
                  <c:v>6233270</c:v>
                </c:pt>
                <c:pt idx="1096">
                  <c:v>6233780</c:v>
                </c:pt>
                <c:pt idx="1097">
                  <c:v>6234290</c:v>
                </c:pt>
                <c:pt idx="1098">
                  <c:v>6234800</c:v>
                </c:pt>
                <c:pt idx="1099">
                  <c:v>6235310</c:v>
                </c:pt>
                <c:pt idx="1100">
                  <c:v>6235820</c:v>
                </c:pt>
                <c:pt idx="1101">
                  <c:v>6236330</c:v>
                </c:pt>
                <c:pt idx="1102">
                  <c:v>6236840</c:v>
                </c:pt>
                <c:pt idx="1103">
                  <c:v>6237350</c:v>
                </c:pt>
                <c:pt idx="1104">
                  <c:v>6237860</c:v>
                </c:pt>
                <c:pt idx="1105">
                  <c:v>6238370</c:v>
                </c:pt>
                <c:pt idx="1106">
                  <c:v>6238870</c:v>
                </c:pt>
                <c:pt idx="1107">
                  <c:v>6239370</c:v>
                </c:pt>
                <c:pt idx="1108">
                  <c:v>6239870</c:v>
                </c:pt>
                <c:pt idx="1109">
                  <c:v>6240370</c:v>
                </c:pt>
                <c:pt idx="1110">
                  <c:v>6240870</c:v>
                </c:pt>
                <c:pt idx="1111">
                  <c:v>6241370</c:v>
                </c:pt>
                <c:pt idx="1112">
                  <c:v>6241870</c:v>
                </c:pt>
                <c:pt idx="1113">
                  <c:v>6242360</c:v>
                </c:pt>
                <c:pt idx="1114">
                  <c:v>6242850</c:v>
                </c:pt>
                <c:pt idx="1115">
                  <c:v>6243340</c:v>
                </c:pt>
                <c:pt idx="1116">
                  <c:v>6243830</c:v>
                </c:pt>
                <c:pt idx="1117">
                  <c:v>6244320</c:v>
                </c:pt>
                <c:pt idx="1118">
                  <c:v>6244810</c:v>
                </c:pt>
                <c:pt idx="1119">
                  <c:v>6245300</c:v>
                </c:pt>
                <c:pt idx="1120">
                  <c:v>6245790</c:v>
                </c:pt>
                <c:pt idx="1121">
                  <c:v>6246280</c:v>
                </c:pt>
                <c:pt idx="1122">
                  <c:v>6246760</c:v>
                </c:pt>
                <c:pt idx="1123">
                  <c:v>6247240</c:v>
                </c:pt>
                <c:pt idx="1124">
                  <c:v>6247720</c:v>
                </c:pt>
                <c:pt idx="1125">
                  <c:v>6248200</c:v>
                </c:pt>
                <c:pt idx="1126">
                  <c:v>6248680</c:v>
                </c:pt>
                <c:pt idx="1127">
                  <c:v>6249150</c:v>
                </c:pt>
                <c:pt idx="1128">
                  <c:v>6249620</c:v>
                </c:pt>
                <c:pt idx="1129">
                  <c:v>6250090</c:v>
                </c:pt>
                <c:pt idx="1130">
                  <c:v>6250560</c:v>
                </c:pt>
                <c:pt idx="1131">
                  <c:v>6251030</c:v>
                </c:pt>
                <c:pt idx="1132">
                  <c:v>6251490</c:v>
                </c:pt>
                <c:pt idx="1133">
                  <c:v>6251950</c:v>
                </c:pt>
                <c:pt idx="1134">
                  <c:v>6252410</c:v>
                </c:pt>
                <c:pt idx="1135">
                  <c:v>6252870</c:v>
                </c:pt>
                <c:pt idx="1136">
                  <c:v>6253330</c:v>
                </c:pt>
                <c:pt idx="1137">
                  <c:v>6253790</c:v>
                </c:pt>
                <c:pt idx="1138">
                  <c:v>6254250</c:v>
                </c:pt>
                <c:pt idx="1139">
                  <c:v>6254710</c:v>
                </c:pt>
                <c:pt idx="1140">
                  <c:v>6255170</c:v>
                </c:pt>
                <c:pt idx="1141">
                  <c:v>6255630</c:v>
                </c:pt>
                <c:pt idx="1142">
                  <c:v>6256080</c:v>
                </c:pt>
                <c:pt idx="1143">
                  <c:v>6256530</c:v>
                </c:pt>
                <c:pt idx="1144">
                  <c:v>6256980</c:v>
                </c:pt>
                <c:pt idx="1145">
                  <c:v>6257430</c:v>
                </c:pt>
                <c:pt idx="1146">
                  <c:v>6257880</c:v>
                </c:pt>
                <c:pt idx="1147">
                  <c:v>6258320</c:v>
                </c:pt>
                <c:pt idx="1148">
                  <c:v>6258760</c:v>
                </c:pt>
                <c:pt idx="1149">
                  <c:v>6259200</c:v>
                </c:pt>
                <c:pt idx="1150">
                  <c:v>6259640</c:v>
                </c:pt>
                <c:pt idx="1151">
                  <c:v>6260080</c:v>
                </c:pt>
                <c:pt idx="1152">
                  <c:v>6260510</c:v>
                </c:pt>
                <c:pt idx="1153">
                  <c:v>6260940</c:v>
                </c:pt>
                <c:pt idx="1154">
                  <c:v>6261370</c:v>
                </c:pt>
                <c:pt idx="1155">
                  <c:v>6261800</c:v>
                </c:pt>
                <c:pt idx="1156">
                  <c:v>6262220</c:v>
                </c:pt>
                <c:pt idx="1157">
                  <c:v>6262640</c:v>
                </c:pt>
                <c:pt idx="1158">
                  <c:v>6263050</c:v>
                </c:pt>
                <c:pt idx="1159">
                  <c:v>6263460</c:v>
                </c:pt>
                <c:pt idx="1160">
                  <c:v>6263870</c:v>
                </c:pt>
                <c:pt idx="1161">
                  <c:v>6264280</c:v>
                </c:pt>
                <c:pt idx="1162">
                  <c:v>6264690</c:v>
                </c:pt>
                <c:pt idx="1163">
                  <c:v>6265100</c:v>
                </c:pt>
                <c:pt idx="1164">
                  <c:v>6265510</c:v>
                </c:pt>
                <c:pt idx="1165">
                  <c:v>6265920</c:v>
                </c:pt>
                <c:pt idx="1166">
                  <c:v>6266330</c:v>
                </c:pt>
                <c:pt idx="1167">
                  <c:v>6266740</c:v>
                </c:pt>
                <c:pt idx="1168">
                  <c:v>6267140</c:v>
                </c:pt>
                <c:pt idx="1169">
                  <c:v>6267540</c:v>
                </c:pt>
                <c:pt idx="1170">
                  <c:v>6267940</c:v>
                </c:pt>
                <c:pt idx="1171">
                  <c:v>6268340</c:v>
                </c:pt>
                <c:pt idx="1172">
                  <c:v>6268740</c:v>
                </c:pt>
                <c:pt idx="1173">
                  <c:v>6269140</c:v>
                </c:pt>
                <c:pt idx="1174">
                  <c:v>6269540</c:v>
                </c:pt>
                <c:pt idx="1175">
                  <c:v>6269940</c:v>
                </c:pt>
                <c:pt idx="1176">
                  <c:v>6270340</c:v>
                </c:pt>
                <c:pt idx="1177">
                  <c:v>6270740</c:v>
                </c:pt>
                <c:pt idx="1178">
                  <c:v>6271130</c:v>
                </c:pt>
                <c:pt idx="1179">
                  <c:v>6271520</c:v>
                </c:pt>
                <c:pt idx="1180">
                  <c:v>6271910</c:v>
                </c:pt>
                <c:pt idx="1181">
                  <c:v>6272300</c:v>
                </c:pt>
                <c:pt idx="1182">
                  <c:v>6272680</c:v>
                </c:pt>
                <c:pt idx="1183">
                  <c:v>6273060</c:v>
                </c:pt>
                <c:pt idx="1184">
                  <c:v>6273440</c:v>
                </c:pt>
                <c:pt idx="1185">
                  <c:v>6273820</c:v>
                </c:pt>
                <c:pt idx="1186">
                  <c:v>6274200</c:v>
                </c:pt>
                <c:pt idx="1187">
                  <c:v>6274580</c:v>
                </c:pt>
                <c:pt idx="1188">
                  <c:v>6274960</c:v>
                </c:pt>
                <c:pt idx="1189">
                  <c:v>6275330</c:v>
                </c:pt>
                <c:pt idx="1190">
                  <c:v>6275700</c:v>
                </c:pt>
                <c:pt idx="1191">
                  <c:v>6276070</c:v>
                </c:pt>
                <c:pt idx="1192">
                  <c:v>6276440</c:v>
                </c:pt>
                <c:pt idx="1193">
                  <c:v>6276810</c:v>
                </c:pt>
                <c:pt idx="1194">
                  <c:v>6277180</c:v>
                </c:pt>
                <c:pt idx="1195">
                  <c:v>6277550</c:v>
                </c:pt>
                <c:pt idx="1196">
                  <c:v>6277910</c:v>
                </c:pt>
                <c:pt idx="1197">
                  <c:v>6278270</c:v>
                </c:pt>
                <c:pt idx="1198">
                  <c:v>6278630</c:v>
                </c:pt>
                <c:pt idx="1199">
                  <c:v>6278980</c:v>
                </c:pt>
                <c:pt idx="1200">
                  <c:v>6279330</c:v>
                </c:pt>
                <c:pt idx="1201">
                  <c:v>6279680</c:v>
                </c:pt>
                <c:pt idx="1202">
                  <c:v>6280030</c:v>
                </c:pt>
                <c:pt idx="1203">
                  <c:v>6280380</c:v>
                </c:pt>
                <c:pt idx="1204">
                  <c:v>6280730</c:v>
                </c:pt>
                <c:pt idx="1205">
                  <c:v>6281070</c:v>
                </c:pt>
                <c:pt idx="1206">
                  <c:v>6281410</c:v>
                </c:pt>
                <c:pt idx="1207">
                  <c:v>6281750</c:v>
                </c:pt>
                <c:pt idx="1208">
                  <c:v>6282090</c:v>
                </c:pt>
                <c:pt idx="1209">
                  <c:v>6282430</c:v>
                </c:pt>
                <c:pt idx="1210">
                  <c:v>6282770</c:v>
                </c:pt>
                <c:pt idx="1211">
                  <c:v>6283110</c:v>
                </c:pt>
                <c:pt idx="1212">
                  <c:v>6283450</c:v>
                </c:pt>
                <c:pt idx="1213">
                  <c:v>6283790</c:v>
                </c:pt>
                <c:pt idx="1214">
                  <c:v>6284130</c:v>
                </c:pt>
                <c:pt idx="1215">
                  <c:v>6284470</c:v>
                </c:pt>
                <c:pt idx="1216">
                  <c:v>6284810</c:v>
                </c:pt>
                <c:pt idx="1217">
                  <c:v>6285150</c:v>
                </c:pt>
                <c:pt idx="1218">
                  <c:v>6285480</c:v>
                </c:pt>
                <c:pt idx="1219">
                  <c:v>6285810</c:v>
                </c:pt>
                <c:pt idx="1220">
                  <c:v>6286140</c:v>
                </c:pt>
                <c:pt idx="1221">
                  <c:v>6286470</c:v>
                </c:pt>
                <c:pt idx="1222">
                  <c:v>6286800</c:v>
                </c:pt>
                <c:pt idx="1223">
                  <c:v>6287130</c:v>
                </c:pt>
                <c:pt idx="1224">
                  <c:v>6287460</c:v>
                </c:pt>
                <c:pt idx="1225">
                  <c:v>6287790</c:v>
                </c:pt>
                <c:pt idx="1226">
                  <c:v>6288110</c:v>
                </c:pt>
                <c:pt idx="1227">
                  <c:v>6288430</c:v>
                </c:pt>
                <c:pt idx="1228">
                  <c:v>6288750</c:v>
                </c:pt>
                <c:pt idx="1229">
                  <c:v>6289070</c:v>
                </c:pt>
                <c:pt idx="1230">
                  <c:v>6289390</c:v>
                </c:pt>
                <c:pt idx="1231">
                  <c:v>6289710</c:v>
                </c:pt>
                <c:pt idx="1232">
                  <c:v>6290030</c:v>
                </c:pt>
                <c:pt idx="1233">
                  <c:v>6290340</c:v>
                </c:pt>
                <c:pt idx="1234">
                  <c:v>6290650</c:v>
                </c:pt>
                <c:pt idx="1235">
                  <c:v>6290960</c:v>
                </c:pt>
                <c:pt idx="1236">
                  <c:v>6291270</c:v>
                </c:pt>
                <c:pt idx="1237">
                  <c:v>6291570</c:v>
                </c:pt>
                <c:pt idx="1238">
                  <c:v>6291870</c:v>
                </c:pt>
                <c:pt idx="1239">
                  <c:v>6292170</c:v>
                </c:pt>
                <c:pt idx="1240">
                  <c:v>6292470</c:v>
                </c:pt>
                <c:pt idx="1241">
                  <c:v>6292770</c:v>
                </c:pt>
                <c:pt idx="1242">
                  <c:v>6293070</c:v>
                </c:pt>
                <c:pt idx="1243">
                  <c:v>6293370</c:v>
                </c:pt>
                <c:pt idx="1244">
                  <c:v>6293670</c:v>
                </c:pt>
                <c:pt idx="1245">
                  <c:v>6293970</c:v>
                </c:pt>
                <c:pt idx="1246">
                  <c:v>6294270</c:v>
                </c:pt>
                <c:pt idx="1247">
                  <c:v>6294560</c:v>
                </c:pt>
                <c:pt idx="1248">
                  <c:v>6294850</c:v>
                </c:pt>
                <c:pt idx="1249">
                  <c:v>6295140</c:v>
                </c:pt>
                <c:pt idx="1250">
                  <c:v>6295430</c:v>
                </c:pt>
                <c:pt idx="1251">
                  <c:v>6295720</c:v>
                </c:pt>
                <c:pt idx="1252">
                  <c:v>6296010</c:v>
                </c:pt>
                <c:pt idx="1253">
                  <c:v>6296290</c:v>
                </c:pt>
                <c:pt idx="1254">
                  <c:v>6296570</c:v>
                </c:pt>
                <c:pt idx="1255">
                  <c:v>6296850</c:v>
                </c:pt>
                <c:pt idx="1256">
                  <c:v>6297130</c:v>
                </c:pt>
                <c:pt idx="1257">
                  <c:v>6297410</c:v>
                </c:pt>
                <c:pt idx="1258">
                  <c:v>6297690</c:v>
                </c:pt>
                <c:pt idx="1259">
                  <c:v>6297970</c:v>
                </c:pt>
                <c:pt idx="1260">
                  <c:v>6298250</c:v>
                </c:pt>
                <c:pt idx="1261">
                  <c:v>6298530</c:v>
                </c:pt>
                <c:pt idx="1262">
                  <c:v>6298800</c:v>
                </c:pt>
                <c:pt idx="1263">
                  <c:v>6299070</c:v>
                </c:pt>
                <c:pt idx="1264">
                  <c:v>6299340</c:v>
                </c:pt>
                <c:pt idx="1265">
                  <c:v>6299610</c:v>
                </c:pt>
                <c:pt idx="1266">
                  <c:v>6299870</c:v>
                </c:pt>
                <c:pt idx="1267">
                  <c:v>6300130</c:v>
                </c:pt>
                <c:pt idx="1268">
                  <c:v>6300390</c:v>
                </c:pt>
                <c:pt idx="1269">
                  <c:v>6300650</c:v>
                </c:pt>
                <c:pt idx="1270">
                  <c:v>6300910</c:v>
                </c:pt>
                <c:pt idx="1271">
                  <c:v>6301170</c:v>
                </c:pt>
                <c:pt idx="1272">
                  <c:v>6301430</c:v>
                </c:pt>
                <c:pt idx="1273">
                  <c:v>6301690</c:v>
                </c:pt>
                <c:pt idx="1274">
                  <c:v>6301950</c:v>
                </c:pt>
                <c:pt idx="1275">
                  <c:v>6302210</c:v>
                </c:pt>
                <c:pt idx="1276">
                  <c:v>6302470</c:v>
                </c:pt>
                <c:pt idx="1277">
                  <c:v>6302730</c:v>
                </c:pt>
                <c:pt idx="1278">
                  <c:v>6302990</c:v>
                </c:pt>
                <c:pt idx="1279">
                  <c:v>6303250</c:v>
                </c:pt>
                <c:pt idx="1280">
                  <c:v>6303510</c:v>
                </c:pt>
                <c:pt idx="1281">
                  <c:v>6303760</c:v>
                </c:pt>
                <c:pt idx="1282">
                  <c:v>6304010</c:v>
                </c:pt>
                <c:pt idx="1283">
                  <c:v>6304260</c:v>
                </c:pt>
                <c:pt idx="1284">
                  <c:v>6304510</c:v>
                </c:pt>
                <c:pt idx="1285">
                  <c:v>6304760</c:v>
                </c:pt>
                <c:pt idx="1286">
                  <c:v>6305010</c:v>
                </c:pt>
                <c:pt idx="1287">
                  <c:v>6305260</c:v>
                </c:pt>
                <c:pt idx="1288">
                  <c:v>6305510</c:v>
                </c:pt>
                <c:pt idx="1289">
                  <c:v>6305760</c:v>
                </c:pt>
                <c:pt idx="1290">
                  <c:v>6306010</c:v>
                </c:pt>
                <c:pt idx="1291">
                  <c:v>6306260</c:v>
                </c:pt>
                <c:pt idx="1292">
                  <c:v>6306510</c:v>
                </c:pt>
                <c:pt idx="1293">
                  <c:v>6306760</c:v>
                </c:pt>
                <c:pt idx="1294">
                  <c:v>6307010</c:v>
                </c:pt>
                <c:pt idx="1295">
                  <c:v>6307260</c:v>
                </c:pt>
                <c:pt idx="1296">
                  <c:v>6307500</c:v>
                </c:pt>
                <c:pt idx="1297">
                  <c:v>6307740</c:v>
                </c:pt>
                <c:pt idx="1298">
                  <c:v>6307980</c:v>
                </c:pt>
                <c:pt idx="1299">
                  <c:v>6308220</c:v>
                </c:pt>
                <c:pt idx="1300">
                  <c:v>6308460</c:v>
                </c:pt>
                <c:pt idx="1301">
                  <c:v>6308700</c:v>
                </c:pt>
                <c:pt idx="1302">
                  <c:v>6308940</c:v>
                </c:pt>
                <c:pt idx="1303">
                  <c:v>6309180</c:v>
                </c:pt>
                <c:pt idx="1304">
                  <c:v>6309420</c:v>
                </c:pt>
                <c:pt idx="1305">
                  <c:v>6309660</c:v>
                </c:pt>
                <c:pt idx="1306">
                  <c:v>6309900</c:v>
                </c:pt>
                <c:pt idx="1307">
                  <c:v>6310140</c:v>
                </c:pt>
                <c:pt idx="1308">
                  <c:v>6310370</c:v>
                </c:pt>
                <c:pt idx="1309">
                  <c:v>6310600</c:v>
                </c:pt>
                <c:pt idx="1310">
                  <c:v>6310830</c:v>
                </c:pt>
                <c:pt idx="1311">
                  <c:v>6311060</c:v>
                </c:pt>
                <c:pt idx="1312">
                  <c:v>6311290</c:v>
                </c:pt>
                <c:pt idx="1313">
                  <c:v>6311520</c:v>
                </c:pt>
                <c:pt idx="1314">
                  <c:v>6311750</c:v>
                </c:pt>
                <c:pt idx="1315">
                  <c:v>6311980</c:v>
                </c:pt>
                <c:pt idx="1316">
                  <c:v>6312210</c:v>
                </c:pt>
                <c:pt idx="1317">
                  <c:v>6312440</c:v>
                </c:pt>
                <c:pt idx="1318">
                  <c:v>6312670</c:v>
                </c:pt>
                <c:pt idx="1319">
                  <c:v>6312900</c:v>
                </c:pt>
                <c:pt idx="1320">
                  <c:v>6313120</c:v>
                </c:pt>
                <c:pt idx="1321">
                  <c:v>6313340</c:v>
                </c:pt>
                <c:pt idx="1322">
                  <c:v>6313560</c:v>
                </c:pt>
                <c:pt idx="1323">
                  <c:v>6313780</c:v>
                </c:pt>
                <c:pt idx="1324">
                  <c:v>6314000</c:v>
                </c:pt>
                <c:pt idx="1325">
                  <c:v>6314220</c:v>
                </c:pt>
                <c:pt idx="1326">
                  <c:v>6314440</c:v>
                </c:pt>
                <c:pt idx="1327">
                  <c:v>6314660</c:v>
                </c:pt>
                <c:pt idx="1328">
                  <c:v>6314880</c:v>
                </c:pt>
                <c:pt idx="1329">
                  <c:v>6315100</c:v>
                </c:pt>
                <c:pt idx="1330">
                  <c:v>6315320</c:v>
                </c:pt>
                <c:pt idx="1331">
                  <c:v>6315540</c:v>
                </c:pt>
                <c:pt idx="1332">
                  <c:v>6315760</c:v>
                </c:pt>
                <c:pt idx="1333">
                  <c:v>6315970</c:v>
                </c:pt>
                <c:pt idx="1334">
                  <c:v>6316180</c:v>
                </c:pt>
                <c:pt idx="1335">
                  <c:v>6316390</c:v>
                </c:pt>
                <c:pt idx="1336">
                  <c:v>6316600</c:v>
                </c:pt>
                <c:pt idx="1337">
                  <c:v>6316810</c:v>
                </c:pt>
                <c:pt idx="1338">
                  <c:v>6317020</c:v>
                </c:pt>
                <c:pt idx="1339">
                  <c:v>6317230</c:v>
                </c:pt>
                <c:pt idx="1340">
                  <c:v>6317440</c:v>
                </c:pt>
                <c:pt idx="1341">
                  <c:v>6317650</c:v>
                </c:pt>
                <c:pt idx="1342">
                  <c:v>6317860</c:v>
                </c:pt>
                <c:pt idx="1343">
                  <c:v>6318070</c:v>
                </c:pt>
                <c:pt idx="1344">
                  <c:v>6318270</c:v>
                </c:pt>
                <c:pt idx="1345">
                  <c:v>6318470</c:v>
                </c:pt>
                <c:pt idx="1346">
                  <c:v>6318670</c:v>
                </c:pt>
                <c:pt idx="1347">
                  <c:v>6318870</c:v>
                </c:pt>
                <c:pt idx="1348">
                  <c:v>6319070</c:v>
                </c:pt>
                <c:pt idx="1349">
                  <c:v>6319270</c:v>
                </c:pt>
                <c:pt idx="1350">
                  <c:v>6319470</c:v>
                </c:pt>
                <c:pt idx="1351">
                  <c:v>6319670</c:v>
                </c:pt>
                <c:pt idx="1352">
                  <c:v>6319870</c:v>
                </c:pt>
                <c:pt idx="1353">
                  <c:v>6320070</c:v>
                </c:pt>
                <c:pt idx="1354">
                  <c:v>6320270</c:v>
                </c:pt>
                <c:pt idx="1355">
                  <c:v>6320470</c:v>
                </c:pt>
                <c:pt idx="1356">
                  <c:v>6320670</c:v>
                </c:pt>
                <c:pt idx="1357">
                  <c:v>6320860</c:v>
                </c:pt>
                <c:pt idx="1358">
                  <c:v>6321050</c:v>
                </c:pt>
                <c:pt idx="1359">
                  <c:v>6321240</c:v>
                </c:pt>
                <c:pt idx="1360">
                  <c:v>6321430</c:v>
                </c:pt>
                <c:pt idx="1361">
                  <c:v>6321620</c:v>
                </c:pt>
                <c:pt idx="1362">
                  <c:v>6321810</c:v>
                </c:pt>
                <c:pt idx="1363">
                  <c:v>6322000</c:v>
                </c:pt>
                <c:pt idx="1364">
                  <c:v>6322190</c:v>
                </c:pt>
                <c:pt idx="1365">
                  <c:v>6322380</c:v>
                </c:pt>
                <c:pt idx="1366">
                  <c:v>6322570</c:v>
                </c:pt>
                <c:pt idx="1367">
                  <c:v>6322750</c:v>
                </c:pt>
                <c:pt idx="1368">
                  <c:v>6322930</c:v>
                </c:pt>
                <c:pt idx="1369">
                  <c:v>6323110</c:v>
                </c:pt>
                <c:pt idx="1370">
                  <c:v>6323290</c:v>
                </c:pt>
                <c:pt idx="1371">
                  <c:v>6323470</c:v>
                </c:pt>
                <c:pt idx="1372">
                  <c:v>6323650</c:v>
                </c:pt>
                <c:pt idx="1373">
                  <c:v>6323820</c:v>
                </c:pt>
                <c:pt idx="1374">
                  <c:v>6323990</c:v>
                </c:pt>
                <c:pt idx="1375">
                  <c:v>6324160</c:v>
                </c:pt>
                <c:pt idx="1376">
                  <c:v>6324330</c:v>
                </c:pt>
                <c:pt idx="1377">
                  <c:v>6324500</c:v>
                </c:pt>
                <c:pt idx="1378">
                  <c:v>6324670</c:v>
                </c:pt>
                <c:pt idx="1379">
                  <c:v>6324840</c:v>
                </c:pt>
                <c:pt idx="1380">
                  <c:v>6325010</c:v>
                </c:pt>
                <c:pt idx="1381">
                  <c:v>6325180</c:v>
                </c:pt>
                <c:pt idx="1382">
                  <c:v>6325350</c:v>
                </c:pt>
                <c:pt idx="1383">
                  <c:v>6325510</c:v>
                </c:pt>
                <c:pt idx="1384">
                  <c:v>6325670</c:v>
                </c:pt>
                <c:pt idx="1385">
                  <c:v>6325830</c:v>
                </c:pt>
                <c:pt idx="1386">
                  <c:v>6325990</c:v>
                </c:pt>
                <c:pt idx="1387">
                  <c:v>6326150</c:v>
                </c:pt>
                <c:pt idx="1388">
                  <c:v>6326310</c:v>
                </c:pt>
                <c:pt idx="1389">
                  <c:v>6326470</c:v>
                </c:pt>
                <c:pt idx="1390">
                  <c:v>6326630</c:v>
                </c:pt>
                <c:pt idx="1391">
                  <c:v>6326790</c:v>
                </c:pt>
                <c:pt idx="1392">
                  <c:v>6326950</c:v>
                </c:pt>
                <c:pt idx="1393">
                  <c:v>6327110</c:v>
                </c:pt>
                <c:pt idx="1394">
                  <c:v>6327270</c:v>
                </c:pt>
                <c:pt idx="1395">
                  <c:v>6327420</c:v>
                </c:pt>
                <c:pt idx="1396">
                  <c:v>6327570</c:v>
                </c:pt>
                <c:pt idx="1397">
                  <c:v>6327720</c:v>
                </c:pt>
                <c:pt idx="1398">
                  <c:v>6327870</c:v>
                </c:pt>
                <c:pt idx="1399">
                  <c:v>6328020</c:v>
                </c:pt>
                <c:pt idx="1400">
                  <c:v>6328170</c:v>
                </c:pt>
                <c:pt idx="1401">
                  <c:v>6328320</c:v>
                </c:pt>
                <c:pt idx="1402">
                  <c:v>6328470</c:v>
                </c:pt>
                <c:pt idx="1403">
                  <c:v>6328620</c:v>
                </c:pt>
                <c:pt idx="1404">
                  <c:v>6328760</c:v>
                </c:pt>
                <c:pt idx="1405">
                  <c:v>6328900</c:v>
                </c:pt>
                <c:pt idx="1406">
                  <c:v>6329040</c:v>
                </c:pt>
                <c:pt idx="1407">
                  <c:v>6329180</c:v>
                </c:pt>
                <c:pt idx="1408">
                  <c:v>6329320</c:v>
                </c:pt>
                <c:pt idx="1409">
                  <c:v>6329460</c:v>
                </c:pt>
                <c:pt idx="1410">
                  <c:v>6329600</c:v>
                </c:pt>
                <c:pt idx="1411">
                  <c:v>6329740</c:v>
                </c:pt>
                <c:pt idx="1412">
                  <c:v>6329880</c:v>
                </c:pt>
                <c:pt idx="1413">
                  <c:v>6330020</c:v>
                </c:pt>
                <c:pt idx="1414">
                  <c:v>6330160</c:v>
                </c:pt>
                <c:pt idx="1415">
                  <c:v>6330300</c:v>
                </c:pt>
                <c:pt idx="1416">
                  <c:v>6330440</c:v>
                </c:pt>
                <c:pt idx="1417">
                  <c:v>6330580</c:v>
                </c:pt>
                <c:pt idx="1418">
                  <c:v>6330710</c:v>
                </c:pt>
                <c:pt idx="1419">
                  <c:v>6330840</c:v>
                </c:pt>
                <c:pt idx="1420">
                  <c:v>6330970</c:v>
                </c:pt>
                <c:pt idx="1421">
                  <c:v>6331100</c:v>
                </c:pt>
                <c:pt idx="1422">
                  <c:v>6331230</c:v>
                </c:pt>
                <c:pt idx="1423">
                  <c:v>6331360</c:v>
                </c:pt>
                <c:pt idx="1424">
                  <c:v>6331490</c:v>
                </c:pt>
                <c:pt idx="1425">
                  <c:v>6331610</c:v>
                </c:pt>
                <c:pt idx="1426">
                  <c:v>6331730</c:v>
                </c:pt>
                <c:pt idx="1427">
                  <c:v>6331850</c:v>
                </c:pt>
                <c:pt idx="1428">
                  <c:v>6331970</c:v>
                </c:pt>
                <c:pt idx="1429">
                  <c:v>6332090</c:v>
                </c:pt>
                <c:pt idx="1430">
                  <c:v>6332210</c:v>
                </c:pt>
                <c:pt idx="1431">
                  <c:v>6332330</c:v>
                </c:pt>
                <c:pt idx="1432">
                  <c:v>6332450</c:v>
                </c:pt>
                <c:pt idx="1433">
                  <c:v>6332570</c:v>
                </c:pt>
                <c:pt idx="1434">
                  <c:v>6332690</c:v>
                </c:pt>
                <c:pt idx="1435">
                  <c:v>6332810</c:v>
                </c:pt>
                <c:pt idx="1436">
                  <c:v>6332930</c:v>
                </c:pt>
                <c:pt idx="1437">
                  <c:v>6333040</c:v>
                </c:pt>
                <c:pt idx="1438">
                  <c:v>6333150</c:v>
                </c:pt>
                <c:pt idx="1439">
                  <c:v>6333260</c:v>
                </c:pt>
                <c:pt idx="1440">
                  <c:v>6333370</c:v>
                </c:pt>
                <c:pt idx="1441">
                  <c:v>6333480</c:v>
                </c:pt>
                <c:pt idx="1442">
                  <c:v>6333590</c:v>
                </c:pt>
                <c:pt idx="1443">
                  <c:v>6333700</c:v>
                </c:pt>
                <c:pt idx="1444">
                  <c:v>6333810</c:v>
                </c:pt>
                <c:pt idx="1445">
                  <c:v>6333920</c:v>
                </c:pt>
                <c:pt idx="1446">
                  <c:v>6334030</c:v>
                </c:pt>
                <c:pt idx="1447">
                  <c:v>6334140</c:v>
                </c:pt>
                <c:pt idx="1448">
                  <c:v>6334240</c:v>
                </c:pt>
                <c:pt idx="1449">
                  <c:v>6334340</c:v>
                </c:pt>
                <c:pt idx="1450">
                  <c:v>6334440</c:v>
                </c:pt>
                <c:pt idx="1451">
                  <c:v>6334540</c:v>
                </c:pt>
                <c:pt idx="1452">
                  <c:v>6334640</c:v>
                </c:pt>
                <c:pt idx="1453">
                  <c:v>6334740</c:v>
                </c:pt>
                <c:pt idx="1454">
                  <c:v>6334840</c:v>
                </c:pt>
                <c:pt idx="1455">
                  <c:v>6334940</c:v>
                </c:pt>
                <c:pt idx="1456">
                  <c:v>6335040</c:v>
                </c:pt>
                <c:pt idx="1457">
                  <c:v>6335140</c:v>
                </c:pt>
                <c:pt idx="1458">
                  <c:v>6335240</c:v>
                </c:pt>
                <c:pt idx="1459">
                  <c:v>6335340</c:v>
                </c:pt>
                <c:pt idx="1460">
                  <c:v>6335440</c:v>
                </c:pt>
                <c:pt idx="1461">
                  <c:v>6335540</c:v>
                </c:pt>
                <c:pt idx="1462">
                  <c:v>6335640</c:v>
                </c:pt>
                <c:pt idx="1463">
                  <c:v>6335740</c:v>
                </c:pt>
                <c:pt idx="1464">
                  <c:v>6335840</c:v>
                </c:pt>
                <c:pt idx="1465">
                  <c:v>6335940</c:v>
                </c:pt>
                <c:pt idx="1466">
                  <c:v>6336040</c:v>
                </c:pt>
                <c:pt idx="1467">
                  <c:v>6336140</c:v>
                </c:pt>
                <c:pt idx="1468">
                  <c:v>6336230</c:v>
                </c:pt>
                <c:pt idx="1469">
                  <c:v>6336320</c:v>
                </c:pt>
                <c:pt idx="1470">
                  <c:v>6336410</c:v>
                </c:pt>
                <c:pt idx="1471">
                  <c:v>6336500</c:v>
                </c:pt>
                <c:pt idx="1472">
                  <c:v>6336590</c:v>
                </c:pt>
                <c:pt idx="1473">
                  <c:v>6336680</c:v>
                </c:pt>
                <c:pt idx="1474">
                  <c:v>6336770</c:v>
                </c:pt>
                <c:pt idx="1475">
                  <c:v>6336860</c:v>
                </c:pt>
                <c:pt idx="1476">
                  <c:v>6336950</c:v>
                </c:pt>
                <c:pt idx="1477">
                  <c:v>6337040</c:v>
                </c:pt>
                <c:pt idx="1478">
                  <c:v>6337130</c:v>
                </c:pt>
                <c:pt idx="1479">
                  <c:v>6337220</c:v>
                </c:pt>
                <c:pt idx="1480">
                  <c:v>6337310</c:v>
                </c:pt>
                <c:pt idx="1481">
                  <c:v>6337390</c:v>
                </c:pt>
                <c:pt idx="1482">
                  <c:v>6337470</c:v>
                </c:pt>
                <c:pt idx="1483">
                  <c:v>6337550</c:v>
                </c:pt>
                <c:pt idx="1484">
                  <c:v>6337630</c:v>
                </c:pt>
                <c:pt idx="1485">
                  <c:v>6337710</c:v>
                </c:pt>
                <c:pt idx="1486">
                  <c:v>6337790</c:v>
                </c:pt>
                <c:pt idx="1487">
                  <c:v>6337870</c:v>
                </c:pt>
                <c:pt idx="1488">
                  <c:v>6337950</c:v>
                </c:pt>
                <c:pt idx="1489">
                  <c:v>6338030</c:v>
                </c:pt>
                <c:pt idx="1490">
                  <c:v>6338110</c:v>
                </c:pt>
                <c:pt idx="1491">
                  <c:v>6338190</c:v>
                </c:pt>
                <c:pt idx="1492">
                  <c:v>6338270</c:v>
                </c:pt>
                <c:pt idx="1493">
                  <c:v>6338350</c:v>
                </c:pt>
                <c:pt idx="1494">
                  <c:v>6338430</c:v>
                </c:pt>
                <c:pt idx="1495">
                  <c:v>6338510</c:v>
                </c:pt>
                <c:pt idx="1496">
                  <c:v>6338590</c:v>
                </c:pt>
                <c:pt idx="1497">
                  <c:v>6338660</c:v>
                </c:pt>
                <c:pt idx="1498">
                  <c:v>6338730</c:v>
                </c:pt>
                <c:pt idx="1499">
                  <c:v>6338800</c:v>
                </c:pt>
                <c:pt idx="1500">
                  <c:v>6338870</c:v>
                </c:pt>
                <c:pt idx="1501">
                  <c:v>6338940</c:v>
                </c:pt>
                <c:pt idx="1502">
                  <c:v>6339010</c:v>
                </c:pt>
                <c:pt idx="1503">
                  <c:v>6339080</c:v>
                </c:pt>
                <c:pt idx="1504">
                  <c:v>6339150</c:v>
                </c:pt>
                <c:pt idx="1505">
                  <c:v>6339220</c:v>
                </c:pt>
                <c:pt idx="1506">
                  <c:v>6339290</c:v>
                </c:pt>
                <c:pt idx="1507">
                  <c:v>6339360</c:v>
                </c:pt>
                <c:pt idx="1508">
                  <c:v>6339430</c:v>
                </c:pt>
                <c:pt idx="1509">
                  <c:v>6339500</c:v>
                </c:pt>
                <c:pt idx="1510">
                  <c:v>6339570</c:v>
                </c:pt>
                <c:pt idx="1511">
                  <c:v>6339640</c:v>
                </c:pt>
                <c:pt idx="1512">
                  <c:v>6339710</c:v>
                </c:pt>
                <c:pt idx="1513">
                  <c:v>6339780</c:v>
                </c:pt>
                <c:pt idx="1514">
                  <c:v>6339850</c:v>
                </c:pt>
                <c:pt idx="1515">
                  <c:v>6339920</c:v>
                </c:pt>
                <c:pt idx="1516">
                  <c:v>6339990</c:v>
                </c:pt>
                <c:pt idx="1517">
                  <c:v>6340060</c:v>
                </c:pt>
                <c:pt idx="1518">
                  <c:v>6340130</c:v>
                </c:pt>
                <c:pt idx="1519">
                  <c:v>6340200</c:v>
                </c:pt>
                <c:pt idx="1520">
                  <c:v>6340270</c:v>
                </c:pt>
                <c:pt idx="1521">
                  <c:v>6340340</c:v>
                </c:pt>
                <c:pt idx="1522">
                  <c:v>6340400</c:v>
                </c:pt>
                <c:pt idx="1523">
                  <c:v>6340460</c:v>
                </c:pt>
                <c:pt idx="1524">
                  <c:v>6340520</c:v>
                </c:pt>
                <c:pt idx="1525">
                  <c:v>6340580</c:v>
                </c:pt>
                <c:pt idx="1526">
                  <c:v>6340640</c:v>
                </c:pt>
                <c:pt idx="1527">
                  <c:v>6340700</c:v>
                </c:pt>
                <c:pt idx="1528">
                  <c:v>6340760</c:v>
                </c:pt>
                <c:pt idx="1529">
                  <c:v>6340820</c:v>
                </c:pt>
                <c:pt idx="1530">
                  <c:v>6340880</c:v>
                </c:pt>
                <c:pt idx="1531">
                  <c:v>6340940</c:v>
                </c:pt>
                <c:pt idx="1532">
                  <c:v>6341000</c:v>
                </c:pt>
                <c:pt idx="1533">
                  <c:v>6341060</c:v>
                </c:pt>
                <c:pt idx="1534">
                  <c:v>6341120</c:v>
                </c:pt>
                <c:pt idx="1535">
                  <c:v>6341180</c:v>
                </c:pt>
                <c:pt idx="1536">
                  <c:v>6341240</c:v>
                </c:pt>
                <c:pt idx="1537">
                  <c:v>6341300</c:v>
                </c:pt>
                <c:pt idx="1538">
                  <c:v>6341360</c:v>
                </c:pt>
                <c:pt idx="1539">
                  <c:v>6341420</c:v>
                </c:pt>
                <c:pt idx="1540">
                  <c:v>6341480</c:v>
                </c:pt>
                <c:pt idx="1541">
                  <c:v>6341540</c:v>
                </c:pt>
                <c:pt idx="1542">
                  <c:v>6341600</c:v>
                </c:pt>
                <c:pt idx="1543">
                  <c:v>6341660</c:v>
                </c:pt>
                <c:pt idx="1544">
                  <c:v>6341720</c:v>
                </c:pt>
                <c:pt idx="1545">
                  <c:v>6341770</c:v>
                </c:pt>
                <c:pt idx="1546">
                  <c:v>6341820</c:v>
                </c:pt>
                <c:pt idx="1547">
                  <c:v>6341870</c:v>
                </c:pt>
                <c:pt idx="1548">
                  <c:v>6341920</c:v>
                </c:pt>
                <c:pt idx="1549">
                  <c:v>6341970</c:v>
                </c:pt>
                <c:pt idx="1550">
                  <c:v>6342020</c:v>
                </c:pt>
                <c:pt idx="1551">
                  <c:v>6342070</c:v>
                </c:pt>
                <c:pt idx="1552">
                  <c:v>6342120</c:v>
                </c:pt>
                <c:pt idx="1553">
                  <c:v>6342170</c:v>
                </c:pt>
                <c:pt idx="1554">
                  <c:v>6342220</c:v>
                </c:pt>
                <c:pt idx="1555">
                  <c:v>6342270</c:v>
                </c:pt>
                <c:pt idx="1556">
                  <c:v>6342320</c:v>
                </c:pt>
                <c:pt idx="1557">
                  <c:v>6342370</c:v>
                </c:pt>
                <c:pt idx="1558">
                  <c:v>6342420</c:v>
                </c:pt>
                <c:pt idx="1559">
                  <c:v>6342470</c:v>
                </c:pt>
                <c:pt idx="1560">
                  <c:v>6342520</c:v>
                </c:pt>
                <c:pt idx="1561">
                  <c:v>6342570</c:v>
                </c:pt>
                <c:pt idx="1562">
                  <c:v>6342620</c:v>
                </c:pt>
                <c:pt idx="1563">
                  <c:v>6342670</c:v>
                </c:pt>
                <c:pt idx="1564">
                  <c:v>6342720</c:v>
                </c:pt>
                <c:pt idx="1565">
                  <c:v>6342770</c:v>
                </c:pt>
                <c:pt idx="1566">
                  <c:v>6342820</c:v>
                </c:pt>
                <c:pt idx="1567">
                  <c:v>6342860</c:v>
                </c:pt>
                <c:pt idx="1568">
                  <c:v>6342900</c:v>
                </c:pt>
                <c:pt idx="1569">
                  <c:v>6342940</c:v>
                </c:pt>
                <c:pt idx="1570">
                  <c:v>6342980</c:v>
                </c:pt>
                <c:pt idx="1571">
                  <c:v>6343020</c:v>
                </c:pt>
                <c:pt idx="1572">
                  <c:v>6343060</c:v>
                </c:pt>
                <c:pt idx="1573">
                  <c:v>6343100</c:v>
                </c:pt>
                <c:pt idx="1574">
                  <c:v>6343140</c:v>
                </c:pt>
                <c:pt idx="1575">
                  <c:v>6343180</c:v>
                </c:pt>
                <c:pt idx="1576">
                  <c:v>6343220</c:v>
                </c:pt>
                <c:pt idx="1577">
                  <c:v>6343260</c:v>
                </c:pt>
                <c:pt idx="1578">
                  <c:v>6343300</c:v>
                </c:pt>
                <c:pt idx="1579">
                  <c:v>6343340</c:v>
                </c:pt>
                <c:pt idx="1580">
                  <c:v>6343380</c:v>
                </c:pt>
                <c:pt idx="1581">
                  <c:v>6343420</c:v>
                </c:pt>
                <c:pt idx="1582">
                  <c:v>6343460</c:v>
                </c:pt>
                <c:pt idx="1583">
                  <c:v>6343500</c:v>
                </c:pt>
                <c:pt idx="1584">
                  <c:v>6343540</c:v>
                </c:pt>
                <c:pt idx="1585">
                  <c:v>6343580</c:v>
                </c:pt>
                <c:pt idx="1586">
                  <c:v>6343620</c:v>
                </c:pt>
                <c:pt idx="1587">
                  <c:v>6343660</c:v>
                </c:pt>
                <c:pt idx="1588">
                  <c:v>6343700</c:v>
                </c:pt>
                <c:pt idx="1589">
                  <c:v>6343730</c:v>
                </c:pt>
                <c:pt idx="1590">
                  <c:v>6343760</c:v>
                </c:pt>
                <c:pt idx="1591">
                  <c:v>6343790</c:v>
                </c:pt>
                <c:pt idx="1592">
                  <c:v>6343820</c:v>
                </c:pt>
                <c:pt idx="1593">
                  <c:v>6343850</c:v>
                </c:pt>
                <c:pt idx="1594">
                  <c:v>6343880</c:v>
                </c:pt>
                <c:pt idx="1595">
                  <c:v>6343910</c:v>
                </c:pt>
                <c:pt idx="1596">
                  <c:v>6343940</c:v>
                </c:pt>
                <c:pt idx="1597">
                  <c:v>6343970</c:v>
                </c:pt>
                <c:pt idx="1598">
                  <c:v>6344000</c:v>
                </c:pt>
                <c:pt idx="1599">
                  <c:v>6344030</c:v>
                </c:pt>
                <c:pt idx="1600">
                  <c:v>6344060</c:v>
                </c:pt>
                <c:pt idx="1601">
                  <c:v>6344090</c:v>
                </c:pt>
                <c:pt idx="1602">
                  <c:v>6344120</c:v>
                </c:pt>
                <c:pt idx="1603">
                  <c:v>6344150</c:v>
                </c:pt>
                <c:pt idx="1604">
                  <c:v>6344180</c:v>
                </c:pt>
                <c:pt idx="1605">
                  <c:v>6344210</c:v>
                </c:pt>
                <c:pt idx="1606">
                  <c:v>6344240</c:v>
                </c:pt>
                <c:pt idx="1607">
                  <c:v>6344270</c:v>
                </c:pt>
                <c:pt idx="1608">
                  <c:v>6344300</c:v>
                </c:pt>
                <c:pt idx="1609">
                  <c:v>6344330</c:v>
                </c:pt>
                <c:pt idx="1610">
                  <c:v>6344360</c:v>
                </c:pt>
                <c:pt idx="1611">
                  <c:v>6344390</c:v>
                </c:pt>
                <c:pt idx="1612">
                  <c:v>6344420</c:v>
                </c:pt>
                <c:pt idx="1613">
                  <c:v>6344450</c:v>
                </c:pt>
                <c:pt idx="1614">
                  <c:v>6344480</c:v>
                </c:pt>
                <c:pt idx="1615">
                  <c:v>6344510</c:v>
                </c:pt>
                <c:pt idx="1616">
                  <c:v>6344540</c:v>
                </c:pt>
                <c:pt idx="1617">
                  <c:v>6344570</c:v>
                </c:pt>
                <c:pt idx="1618">
                  <c:v>6344600</c:v>
                </c:pt>
                <c:pt idx="1619">
                  <c:v>6344630</c:v>
                </c:pt>
                <c:pt idx="1620">
                  <c:v>6344660</c:v>
                </c:pt>
                <c:pt idx="1621">
                  <c:v>6344680</c:v>
                </c:pt>
                <c:pt idx="1622">
                  <c:v>6344700</c:v>
                </c:pt>
                <c:pt idx="1623">
                  <c:v>6344720</c:v>
                </c:pt>
                <c:pt idx="1624">
                  <c:v>6344740</c:v>
                </c:pt>
                <c:pt idx="1625">
                  <c:v>6344760</c:v>
                </c:pt>
                <c:pt idx="1626">
                  <c:v>6344780</c:v>
                </c:pt>
                <c:pt idx="1627">
                  <c:v>6344800</c:v>
                </c:pt>
                <c:pt idx="1628">
                  <c:v>6344820</c:v>
                </c:pt>
                <c:pt idx="1629">
                  <c:v>6344840</c:v>
                </c:pt>
                <c:pt idx="1630">
                  <c:v>6344860</c:v>
                </c:pt>
                <c:pt idx="1631">
                  <c:v>6344880</c:v>
                </c:pt>
                <c:pt idx="1632">
                  <c:v>6344900</c:v>
                </c:pt>
                <c:pt idx="1633">
                  <c:v>6344920</c:v>
                </c:pt>
                <c:pt idx="1634">
                  <c:v>6344940</c:v>
                </c:pt>
                <c:pt idx="1635">
                  <c:v>6344960</c:v>
                </c:pt>
                <c:pt idx="1636">
                  <c:v>6344980</c:v>
                </c:pt>
                <c:pt idx="1637">
                  <c:v>6345000</c:v>
                </c:pt>
                <c:pt idx="1638">
                  <c:v>6345020</c:v>
                </c:pt>
                <c:pt idx="1639">
                  <c:v>6345040</c:v>
                </c:pt>
                <c:pt idx="1640">
                  <c:v>6345060</c:v>
                </c:pt>
                <c:pt idx="1641">
                  <c:v>6345080</c:v>
                </c:pt>
                <c:pt idx="1642">
                  <c:v>6345100</c:v>
                </c:pt>
                <c:pt idx="1643">
                  <c:v>6345120</c:v>
                </c:pt>
                <c:pt idx="1644">
                  <c:v>6345140</c:v>
                </c:pt>
                <c:pt idx="1645">
                  <c:v>6345160</c:v>
                </c:pt>
                <c:pt idx="1646">
                  <c:v>6345180</c:v>
                </c:pt>
                <c:pt idx="1647">
                  <c:v>6345200</c:v>
                </c:pt>
                <c:pt idx="1648">
                  <c:v>6345220</c:v>
                </c:pt>
                <c:pt idx="1649">
                  <c:v>6345240</c:v>
                </c:pt>
                <c:pt idx="1650">
                  <c:v>6345260</c:v>
                </c:pt>
                <c:pt idx="1651">
                  <c:v>6345270</c:v>
                </c:pt>
                <c:pt idx="1652">
                  <c:v>6345280</c:v>
                </c:pt>
                <c:pt idx="1653">
                  <c:v>6345290</c:v>
                </c:pt>
                <c:pt idx="1654">
                  <c:v>6345300</c:v>
                </c:pt>
                <c:pt idx="1655">
                  <c:v>6345310</c:v>
                </c:pt>
                <c:pt idx="1656">
                  <c:v>6345320</c:v>
                </c:pt>
                <c:pt idx="1657">
                  <c:v>6345330</c:v>
                </c:pt>
                <c:pt idx="1658">
                  <c:v>6345340</c:v>
                </c:pt>
                <c:pt idx="1659">
                  <c:v>6345350</c:v>
                </c:pt>
                <c:pt idx="1660">
                  <c:v>6345360</c:v>
                </c:pt>
                <c:pt idx="1661">
                  <c:v>6345370</c:v>
                </c:pt>
                <c:pt idx="1662">
                  <c:v>6345380</c:v>
                </c:pt>
                <c:pt idx="1663">
                  <c:v>6345390</c:v>
                </c:pt>
                <c:pt idx="1664">
                  <c:v>6345400</c:v>
                </c:pt>
                <c:pt idx="1665">
                  <c:v>6345410</c:v>
                </c:pt>
                <c:pt idx="1666">
                  <c:v>6345420</c:v>
                </c:pt>
                <c:pt idx="1667">
                  <c:v>6345430</c:v>
                </c:pt>
                <c:pt idx="1668">
                  <c:v>6345440</c:v>
                </c:pt>
                <c:pt idx="1669">
                  <c:v>6345450</c:v>
                </c:pt>
                <c:pt idx="1670">
                  <c:v>6345460</c:v>
                </c:pt>
                <c:pt idx="1671">
                  <c:v>6345470</c:v>
                </c:pt>
                <c:pt idx="1672">
                  <c:v>6345480</c:v>
                </c:pt>
                <c:pt idx="1673">
                  <c:v>6345490</c:v>
                </c:pt>
                <c:pt idx="1674">
                  <c:v>6345500</c:v>
                </c:pt>
                <c:pt idx="1675">
                  <c:v>6345510</c:v>
                </c:pt>
                <c:pt idx="1676">
                  <c:v>6345520</c:v>
                </c:pt>
                <c:pt idx="1677">
                  <c:v>6345530</c:v>
                </c:pt>
                <c:pt idx="1678">
                  <c:v>6345540</c:v>
                </c:pt>
                <c:pt idx="1679">
                  <c:v>6345550</c:v>
                </c:pt>
                <c:pt idx="1680">
                  <c:v>6345560</c:v>
                </c:pt>
                <c:pt idx="1681">
                  <c:v>6345570</c:v>
                </c:pt>
                <c:pt idx="1682">
                  <c:v>6345580</c:v>
                </c:pt>
                <c:pt idx="1683">
                  <c:v>6345590</c:v>
                </c:pt>
                <c:pt idx="1684">
                  <c:v>6345600</c:v>
                </c:pt>
                <c:pt idx="1685">
                  <c:v>6345610</c:v>
                </c:pt>
                <c:pt idx="1686">
                  <c:v>6345620</c:v>
                </c:pt>
                <c:pt idx="1687">
                  <c:v>6345630</c:v>
                </c:pt>
                <c:pt idx="1688">
                  <c:v>6345640</c:v>
                </c:pt>
                <c:pt idx="1689">
                  <c:v>6345650</c:v>
                </c:pt>
                <c:pt idx="1690">
                  <c:v>6345660</c:v>
                </c:pt>
                <c:pt idx="1691">
                  <c:v>6345670</c:v>
                </c:pt>
                <c:pt idx="1692">
                  <c:v>6345680</c:v>
                </c:pt>
                <c:pt idx="1693">
                  <c:v>6345680</c:v>
                </c:pt>
                <c:pt idx="1694">
                  <c:v>6345680</c:v>
                </c:pt>
                <c:pt idx="1695">
                  <c:v>6345680</c:v>
                </c:pt>
                <c:pt idx="1696">
                  <c:v>6345680</c:v>
                </c:pt>
                <c:pt idx="1697">
                  <c:v>6345680</c:v>
                </c:pt>
                <c:pt idx="1698">
                  <c:v>6345680</c:v>
                </c:pt>
                <c:pt idx="1699">
                  <c:v>6345680</c:v>
                </c:pt>
                <c:pt idx="1700">
                  <c:v>6345680</c:v>
                </c:pt>
                <c:pt idx="1701">
                  <c:v>6345680</c:v>
                </c:pt>
                <c:pt idx="1702">
                  <c:v>6345680</c:v>
                </c:pt>
                <c:pt idx="1703">
                  <c:v>6345680</c:v>
                </c:pt>
                <c:pt idx="1704">
                  <c:v>6345680</c:v>
                </c:pt>
                <c:pt idx="1705">
                  <c:v>6345680</c:v>
                </c:pt>
                <c:pt idx="1706">
                  <c:v>6345680</c:v>
                </c:pt>
                <c:pt idx="1707">
                  <c:v>6345680</c:v>
                </c:pt>
                <c:pt idx="1708">
                  <c:v>6345680</c:v>
                </c:pt>
                <c:pt idx="1709">
                  <c:v>6345680</c:v>
                </c:pt>
                <c:pt idx="1710">
                  <c:v>6345680</c:v>
                </c:pt>
                <c:pt idx="1711">
                  <c:v>6345680</c:v>
                </c:pt>
                <c:pt idx="1712">
                  <c:v>6345680</c:v>
                </c:pt>
                <c:pt idx="1713">
                  <c:v>6345680</c:v>
                </c:pt>
                <c:pt idx="1714">
                  <c:v>6345680</c:v>
                </c:pt>
                <c:pt idx="1715">
                  <c:v>6345680</c:v>
                </c:pt>
                <c:pt idx="1716">
                  <c:v>6345680</c:v>
                </c:pt>
                <c:pt idx="1717">
                  <c:v>6345680</c:v>
                </c:pt>
                <c:pt idx="1718">
                  <c:v>6345680</c:v>
                </c:pt>
                <c:pt idx="1719">
                  <c:v>6345680</c:v>
                </c:pt>
                <c:pt idx="1720">
                  <c:v>6345680</c:v>
                </c:pt>
                <c:pt idx="1721">
                  <c:v>6345680</c:v>
                </c:pt>
                <c:pt idx="1722">
                  <c:v>6345680</c:v>
                </c:pt>
                <c:pt idx="1723">
                  <c:v>6345680</c:v>
                </c:pt>
                <c:pt idx="1724">
                  <c:v>6345680</c:v>
                </c:pt>
                <c:pt idx="1725">
                  <c:v>6345680</c:v>
                </c:pt>
                <c:pt idx="1726">
                  <c:v>6345680</c:v>
                </c:pt>
                <c:pt idx="1727">
                  <c:v>6345680</c:v>
                </c:pt>
                <c:pt idx="1728">
                  <c:v>6345680</c:v>
                </c:pt>
                <c:pt idx="1729">
                  <c:v>6345680</c:v>
                </c:pt>
                <c:pt idx="1730">
                  <c:v>6345680</c:v>
                </c:pt>
                <c:pt idx="1731">
                  <c:v>6345680</c:v>
                </c:pt>
                <c:pt idx="1732">
                  <c:v>6345680</c:v>
                </c:pt>
                <c:pt idx="1733">
                  <c:v>6345680</c:v>
                </c:pt>
                <c:pt idx="1734">
                  <c:v>6345680</c:v>
                </c:pt>
                <c:pt idx="1735">
                  <c:v>6345680</c:v>
                </c:pt>
                <c:pt idx="1736">
                  <c:v>6345680</c:v>
                </c:pt>
                <c:pt idx="1737">
                  <c:v>6345680</c:v>
                </c:pt>
                <c:pt idx="1738">
                  <c:v>6345680</c:v>
                </c:pt>
                <c:pt idx="1739">
                  <c:v>6345680</c:v>
                </c:pt>
                <c:pt idx="1740">
                  <c:v>6345680</c:v>
                </c:pt>
                <c:pt idx="1741">
                  <c:v>6345680</c:v>
                </c:pt>
                <c:pt idx="1742">
                  <c:v>6345680</c:v>
                </c:pt>
                <c:pt idx="1743">
                  <c:v>6345680</c:v>
                </c:pt>
                <c:pt idx="1744">
                  <c:v>6345680</c:v>
                </c:pt>
                <c:pt idx="1745">
                  <c:v>6345680</c:v>
                </c:pt>
                <c:pt idx="1746">
                  <c:v>6345680</c:v>
                </c:pt>
                <c:pt idx="1747">
                  <c:v>6345680</c:v>
                </c:pt>
                <c:pt idx="1748">
                  <c:v>6345680</c:v>
                </c:pt>
                <c:pt idx="1749">
                  <c:v>6345680</c:v>
                </c:pt>
                <c:pt idx="1750">
                  <c:v>6345680</c:v>
                </c:pt>
                <c:pt idx="1751">
                  <c:v>6345680</c:v>
                </c:pt>
                <c:pt idx="1752">
                  <c:v>6345680</c:v>
                </c:pt>
                <c:pt idx="1753">
                  <c:v>6345680</c:v>
                </c:pt>
                <c:pt idx="1754">
                  <c:v>6345680</c:v>
                </c:pt>
                <c:pt idx="1755">
                  <c:v>6345680</c:v>
                </c:pt>
                <c:pt idx="1756">
                  <c:v>6345680</c:v>
                </c:pt>
                <c:pt idx="1757">
                  <c:v>6345680</c:v>
                </c:pt>
                <c:pt idx="1758">
                  <c:v>6345680</c:v>
                </c:pt>
                <c:pt idx="1759">
                  <c:v>6345680</c:v>
                </c:pt>
                <c:pt idx="1760">
                  <c:v>6345680</c:v>
                </c:pt>
                <c:pt idx="1761">
                  <c:v>6345680</c:v>
                </c:pt>
                <c:pt idx="1762">
                  <c:v>6345680</c:v>
                </c:pt>
                <c:pt idx="1763">
                  <c:v>6345680</c:v>
                </c:pt>
                <c:pt idx="1764">
                  <c:v>6345680</c:v>
                </c:pt>
                <c:pt idx="1765">
                  <c:v>6345680</c:v>
                </c:pt>
                <c:pt idx="1766">
                  <c:v>6345680</c:v>
                </c:pt>
                <c:pt idx="1767">
                  <c:v>6345680</c:v>
                </c:pt>
                <c:pt idx="1768">
                  <c:v>6345680</c:v>
                </c:pt>
                <c:pt idx="1769">
                  <c:v>6345680</c:v>
                </c:pt>
                <c:pt idx="1770">
                  <c:v>6345680</c:v>
                </c:pt>
                <c:pt idx="1771">
                  <c:v>6345680</c:v>
                </c:pt>
                <c:pt idx="1772">
                  <c:v>6345680</c:v>
                </c:pt>
                <c:pt idx="1773">
                  <c:v>6345680</c:v>
                </c:pt>
                <c:pt idx="1774">
                  <c:v>6345680</c:v>
                </c:pt>
                <c:pt idx="1775">
                  <c:v>6345680</c:v>
                </c:pt>
                <c:pt idx="1776">
                  <c:v>6345680</c:v>
                </c:pt>
                <c:pt idx="1777">
                  <c:v>6345680</c:v>
                </c:pt>
                <c:pt idx="1778">
                  <c:v>6345680</c:v>
                </c:pt>
                <c:pt idx="1779">
                  <c:v>6345680</c:v>
                </c:pt>
                <c:pt idx="1780">
                  <c:v>6345680</c:v>
                </c:pt>
                <c:pt idx="1781">
                  <c:v>6345680</c:v>
                </c:pt>
                <c:pt idx="1782">
                  <c:v>6345680</c:v>
                </c:pt>
                <c:pt idx="1783">
                  <c:v>6345680</c:v>
                </c:pt>
                <c:pt idx="1784">
                  <c:v>6345680</c:v>
                </c:pt>
                <c:pt idx="1785">
                  <c:v>6345680</c:v>
                </c:pt>
                <c:pt idx="1786">
                  <c:v>6345680</c:v>
                </c:pt>
                <c:pt idx="1787">
                  <c:v>6345680</c:v>
                </c:pt>
                <c:pt idx="1788">
                  <c:v>6345680</c:v>
                </c:pt>
                <c:pt idx="1789">
                  <c:v>6345680</c:v>
                </c:pt>
                <c:pt idx="1790">
                  <c:v>6345680</c:v>
                </c:pt>
                <c:pt idx="1791">
                  <c:v>6345680</c:v>
                </c:pt>
                <c:pt idx="1792">
                  <c:v>6345680</c:v>
                </c:pt>
                <c:pt idx="1793">
                  <c:v>6345680</c:v>
                </c:pt>
                <c:pt idx="1794">
                  <c:v>6345680</c:v>
                </c:pt>
                <c:pt idx="1795">
                  <c:v>6345680</c:v>
                </c:pt>
                <c:pt idx="1796">
                  <c:v>6345680</c:v>
                </c:pt>
                <c:pt idx="1797">
                  <c:v>6345680</c:v>
                </c:pt>
                <c:pt idx="1798">
                  <c:v>6345680</c:v>
                </c:pt>
                <c:pt idx="1799">
                  <c:v>6345680</c:v>
                </c:pt>
                <c:pt idx="1800">
                  <c:v>6345680</c:v>
                </c:pt>
                <c:pt idx="1801">
                  <c:v>6345680</c:v>
                </c:pt>
                <c:pt idx="1802">
                  <c:v>6345680</c:v>
                </c:pt>
                <c:pt idx="1803">
                  <c:v>6345680</c:v>
                </c:pt>
                <c:pt idx="1804">
                  <c:v>6345680</c:v>
                </c:pt>
                <c:pt idx="1805">
                  <c:v>6345680</c:v>
                </c:pt>
                <c:pt idx="1806">
                  <c:v>6345680</c:v>
                </c:pt>
                <c:pt idx="1807">
                  <c:v>6345680</c:v>
                </c:pt>
                <c:pt idx="1808">
                  <c:v>6345680</c:v>
                </c:pt>
                <c:pt idx="1809">
                  <c:v>6345680</c:v>
                </c:pt>
                <c:pt idx="1810">
                  <c:v>6345680</c:v>
                </c:pt>
                <c:pt idx="1811">
                  <c:v>6345680</c:v>
                </c:pt>
                <c:pt idx="1812">
                  <c:v>6345680</c:v>
                </c:pt>
                <c:pt idx="1813">
                  <c:v>6345680</c:v>
                </c:pt>
                <c:pt idx="1814">
                  <c:v>6345680</c:v>
                </c:pt>
                <c:pt idx="1815">
                  <c:v>6345680</c:v>
                </c:pt>
                <c:pt idx="1816">
                  <c:v>6345680</c:v>
                </c:pt>
                <c:pt idx="1817">
                  <c:v>6345680</c:v>
                </c:pt>
                <c:pt idx="1818">
                  <c:v>6345680</c:v>
                </c:pt>
                <c:pt idx="1819">
                  <c:v>6345680</c:v>
                </c:pt>
                <c:pt idx="1820">
                  <c:v>6345680</c:v>
                </c:pt>
                <c:pt idx="1821">
                  <c:v>6345680</c:v>
                </c:pt>
                <c:pt idx="1822">
                  <c:v>6345680</c:v>
                </c:pt>
                <c:pt idx="1823">
                  <c:v>6345680</c:v>
                </c:pt>
                <c:pt idx="1824">
                  <c:v>6345680</c:v>
                </c:pt>
                <c:pt idx="1825">
                  <c:v>6345680</c:v>
                </c:pt>
                <c:pt idx="1826">
                  <c:v>6345680</c:v>
                </c:pt>
                <c:pt idx="1827">
                  <c:v>6345680</c:v>
                </c:pt>
                <c:pt idx="1828">
                  <c:v>6345680</c:v>
                </c:pt>
                <c:pt idx="1829">
                  <c:v>6345680</c:v>
                </c:pt>
                <c:pt idx="1830">
                  <c:v>6345680</c:v>
                </c:pt>
                <c:pt idx="1831">
                  <c:v>6345680</c:v>
                </c:pt>
                <c:pt idx="1832">
                  <c:v>6345680</c:v>
                </c:pt>
                <c:pt idx="1833">
                  <c:v>6345680</c:v>
                </c:pt>
                <c:pt idx="1834">
                  <c:v>6345680</c:v>
                </c:pt>
                <c:pt idx="1835">
                  <c:v>6345680</c:v>
                </c:pt>
                <c:pt idx="1836">
                  <c:v>6345680</c:v>
                </c:pt>
                <c:pt idx="1837">
                  <c:v>6345680</c:v>
                </c:pt>
                <c:pt idx="1838">
                  <c:v>6345680</c:v>
                </c:pt>
                <c:pt idx="1839">
                  <c:v>6345680</c:v>
                </c:pt>
                <c:pt idx="1840">
                  <c:v>6345680</c:v>
                </c:pt>
                <c:pt idx="1841">
                  <c:v>6345680</c:v>
                </c:pt>
                <c:pt idx="1842">
                  <c:v>6345680</c:v>
                </c:pt>
                <c:pt idx="1843">
                  <c:v>6345680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CD-401E-9198-55B09EB3A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992847"/>
        <c:axId val="311991887"/>
      </c:scatterChart>
      <c:valAx>
        <c:axId val="311992847"/>
        <c:scaling>
          <c:orientation val="minMax"/>
          <c:max val="1678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Top</a:t>
                </a:r>
                <a:r>
                  <a:rPr lang="en-CA" baseline="0"/>
                  <a:t> xx km</a:t>
                </a:r>
                <a:r>
                  <a:rPr lang="en-CA"/>
                  <a:t> of roadways (Ontario provincial highways)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91887"/>
        <c:crosses val="autoZero"/>
        <c:crossBetween val="midCat"/>
        <c:majorUnit val="1678"/>
        <c:minorUnit val="839"/>
      </c:valAx>
      <c:valAx>
        <c:axId val="311991887"/>
        <c:scaling>
          <c:orientation val="minMax"/>
          <c:max val="64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AADTT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92847"/>
        <c:crosses val="autoZero"/>
        <c:crossBetween val="midCat"/>
        <c:majorUnit val="64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3</xdr:row>
      <xdr:rowOff>0</xdr:rowOff>
    </xdr:from>
    <xdr:to>
      <xdr:col>14</xdr:col>
      <xdr:colOff>171450</xdr:colOff>
      <xdr:row>19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6B5E7A-E0BD-6724-8D7E-6F82AC977274}"/>
            </a:ext>
          </a:extLst>
        </xdr:cNvPr>
        <xdr:cNvSpPr txBox="1"/>
      </xdr:nvSpPr>
      <xdr:spPr>
        <a:xfrm>
          <a:off x="9144000" y="762000"/>
          <a:ext cx="3514725" cy="316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all input parameters in this workbook: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CA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long haul threshold 2x of operating radius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CA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truck_specs: truck specifications definitions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'MTO iCorridor AADTT': </a:t>
          </a:r>
          <a:r>
            <a:rPr lang="en-C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eRoads bins definitions</a:t>
          </a:r>
          <a:r>
            <a:rPr lang="en-CA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based on AADTT road network data</a:t>
          </a:r>
          <a:endParaRPr lang="en-CA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1111063</xdr:colOff>
      <xdr:row>11</xdr:row>
      <xdr:rowOff>183217</xdr:rowOff>
    </xdr:from>
    <xdr:to>
      <xdr:col>10</xdr:col>
      <xdr:colOff>1445558</xdr:colOff>
      <xdr:row>25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3540D1-56E5-7B50-5249-45F0E8CF7384}"/>
            </a:ext>
          </a:extLst>
        </xdr:cNvPr>
        <xdr:cNvSpPr txBox="1"/>
      </xdr:nvSpPr>
      <xdr:spPr>
        <a:xfrm>
          <a:off x="8406092" y="5304305"/>
          <a:ext cx="4312584" cy="2483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u="sng"/>
            <a:t>Columns</a:t>
          </a:r>
        </a:p>
        <a:p>
          <a:r>
            <a:rPr lang="en-CA" sz="1100" u="none"/>
            <a:t>tech_veh, tech_supply: should</a:t>
          </a:r>
          <a:r>
            <a:rPr lang="en-CA" sz="1100" u="none" baseline="0"/>
            <a:t> match CANOE database technologies</a:t>
          </a:r>
        </a:p>
        <a:p>
          <a:r>
            <a:rPr lang="en-CA" sz="1100" u="none" baseline="0"/>
            <a:t>Bin: eRoads bin</a:t>
          </a:r>
          <a:endParaRPr lang="en-CA" sz="1100" u="none"/>
        </a:p>
        <a:p>
          <a:r>
            <a:rPr lang="en-CA" sz="1100" u="none"/>
            <a:t>Powertrain: should</a:t>
          </a:r>
          <a:r>
            <a:rPr lang="en-CA" sz="1100" u="none" baseline="0"/>
            <a:t> match Autonomie powertrains</a:t>
          </a:r>
        </a:p>
        <a:p>
          <a:r>
            <a:rPr lang="en-CA" sz="1100" u="none" baseline="0"/>
            <a:t>desired_range_km</a:t>
          </a:r>
        </a:p>
        <a:p>
          <a:r>
            <a:rPr lang="en-CA" sz="1100" u="none" baseline="0"/>
            <a:t>eRoads_equipment_kg</a:t>
          </a:r>
        </a:p>
        <a:p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eRoads_equipment_cost</a:t>
          </a:r>
          <a:endParaRPr lang="en-CA" sz="1100" u="none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charger_standard_kW</a:t>
          </a:r>
          <a:r>
            <a:rPr lang="en-CA" sz="1100" u="none"/>
            <a:t>,</a:t>
          </a:r>
          <a:r>
            <a:rPr lang="en-CA" sz="1100" u="none" baseline="0"/>
            <a:t> </a:t>
          </a:r>
          <a:r>
            <a:rPr lang="en-CA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charger_fast_kW</a:t>
          </a:r>
          <a:r>
            <a:rPr lang="en-CA" sz="1100" u="none" baseline="0"/>
            <a:t>: Nominal plug-in charger power (kW) for standard and emergency charging (Sebastian)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 u="none"/>
            <a:t>avg_capacity_factor: Average annual long-term capacity factor / utilization rate for tech_supply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120651</xdr:colOff>
      <xdr:row>1</xdr:row>
      <xdr:rowOff>120651</xdr:rowOff>
    </xdr:from>
    <xdr:to>
      <xdr:col>15</xdr:col>
      <xdr:colOff>50801</xdr:colOff>
      <xdr:row>5</xdr:row>
      <xdr:rowOff>76201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039103-9CDE-4F4E-8824-848D4C5189D2}"/>
            </a:ext>
          </a:extLst>
        </xdr:cNvPr>
        <xdr:cNvSpPr txBox="1"/>
      </xdr:nvSpPr>
      <xdr:spPr>
        <a:xfrm>
          <a:off x="9150351" y="266701"/>
          <a:ext cx="2851150" cy="539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 u="none"/>
            <a:t>Warning: db_ids are unique to each database. Do not rename / re-assign db_ids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3</xdr:row>
      <xdr:rowOff>33337</xdr:rowOff>
    </xdr:from>
    <xdr:to>
      <xdr:col>14</xdr:col>
      <xdr:colOff>342900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C62BEA-D97D-960F-B095-6B2F983CA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1182811</xdr:colOff>
      <xdr:row>15</xdr:row>
      <xdr:rowOff>92807</xdr:rowOff>
    </xdr:from>
    <xdr:to>
      <xdr:col>27</xdr:col>
      <xdr:colOff>1061358</xdr:colOff>
      <xdr:row>27</xdr:row>
      <xdr:rowOff>108856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559A39-18B8-4814-A2E5-48E0B1757AE8}"/>
            </a:ext>
          </a:extLst>
        </xdr:cNvPr>
        <xdr:cNvSpPr txBox="1"/>
      </xdr:nvSpPr>
      <xdr:spPr>
        <a:xfrm>
          <a:off x="21852061" y="3140807"/>
          <a:ext cx="5416654" cy="23020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 u="sng"/>
            <a:t>Key</a:t>
          </a:r>
        </a:p>
        <a:p>
          <a:r>
            <a:rPr lang="en-CA" sz="1100"/>
            <a:t>LENGTH: length of road segment</a:t>
          </a:r>
          <a:r>
            <a:rPr lang="en-CA" sz="1100" baseline="0"/>
            <a:t> </a:t>
          </a:r>
          <a:r>
            <a:rPr lang="en-CA" sz="1100"/>
            <a:t>in kilometers</a:t>
          </a:r>
        </a:p>
        <a:p>
          <a:r>
            <a:rPr lang="en-C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LHRS</a:t>
          </a:r>
          <a:r>
            <a:rPr lang="en-CA"/>
            <a:t>, </a:t>
          </a:r>
          <a:r>
            <a:rPr lang="en-C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TRAFFICSEC:</a:t>
          </a:r>
          <a:r>
            <a:rPr lang="en-CA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Sequence? Values are not unique.</a:t>
          </a:r>
          <a:endParaRPr lang="en-CA" sz="1100"/>
        </a:p>
        <a:p>
          <a:r>
            <a:rPr lang="en-CA" sz="1100"/>
            <a:t>HIGHWAY: Highway number / name (e.g. QEW, 401)</a:t>
          </a:r>
        </a:p>
        <a:p>
          <a:r>
            <a:rPr lang="en-CA" sz="1100"/>
            <a:t>AADT##/AADTT##: AADT/AADTT in the year ##</a:t>
          </a:r>
        </a:p>
        <a:p>
          <a:r>
            <a:rPr lang="en-C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AADTT19_rank:</a:t>
          </a:r>
          <a:r>
            <a:rPr lang="en-CA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sorted by AADTT19 from highest to lowest. Rank 1 is highest.</a:t>
          </a:r>
        </a:p>
        <a:p>
          <a:endParaRPr lang="en-CA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CA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Data source: MTO iCorridor</a:t>
          </a:r>
          <a:r>
            <a:rPr lang="en-CA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CA" sz="1100" b="0" i="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Historical AADT &amp; AADTT. URL </a:t>
          </a:r>
          <a:r>
            <a:rPr lang="en-CA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https://icorridor-mto-on-ca.hub.arcgis.com/datasets/e951ab3b116d44de8676501ffbeb679b_0 </a:t>
          </a:r>
          <a:endParaRPr lang="en-CA" sz="1100" b="0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355600</xdr:colOff>
      <xdr:row>15</xdr:row>
      <xdr:rowOff>22224</xdr:rowOff>
    </xdr:from>
    <xdr:to>
      <xdr:col>21</xdr:col>
      <xdr:colOff>925286</xdr:colOff>
      <xdr:row>31</xdr:row>
      <xdr:rowOff>108224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0FB107-746B-43C3-889A-0A42EE0AE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zoomScale="80" zoomScaleNormal="80" workbookViewId="0">
      <selection activeCell="C6" sqref="C6"/>
    </sheetView>
  </sheetViews>
  <sheetFormatPr defaultRowHeight="15" x14ac:dyDescent="0.25"/>
  <cols>
    <col min="1" max="1" width="24.28515625" bestFit="1" customWidth="1"/>
    <col min="2" max="2" width="13.7109375" customWidth="1"/>
    <col min="3" max="3" width="67.7109375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ht="30" x14ac:dyDescent="0.25">
      <c r="A2" t="s">
        <v>3</v>
      </c>
      <c r="B2">
        <v>600</v>
      </c>
      <c r="C2" s="1" t="s">
        <v>4</v>
      </c>
    </row>
    <row r="3" spans="1:3" x14ac:dyDescent="0.25">
      <c r="A3" t="s">
        <v>61</v>
      </c>
      <c r="B3" t="s">
        <v>60</v>
      </c>
      <c r="C3" s="1" t="s">
        <v>62</v>
      </c>
    </row>
    <row r="4" spans="1:3" ht="30" x14ac:dyDescent="0.25">
      <c r="A4" t="s">
        <v>75</v>
      </c>
      <c r="B4">
        <v>0.5</v>
      </c>
      <c r="C4" s="1" t="s">
        <v>76</v>
      </c>
    </row>
    <row r="5" spans="1:3" ht="90" x14ac:dyDescent="0.25">
      <c r="A5" t="s">
        <v>108</v>
      </c>
      <c r="B5">
        <v>42000</v>
      </c>
      <c r="C5" s="17" t="s">
        <v>109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BAAF-1A4A-4B6E-A702-02798209576C}">
  <dimension ref="A1:Q9"/>
  <sheetViews>
    <sheetView zoomScale="85" zoomScaleNormal="85" workbookViewId="0">
      <selection activeCell="E14" sqref="E14"/>
    </sheetView>
  </sheetViews>
  <sheetFormatPr defaultRowHeight="15" x14ac:dyDescent="0.25"/>
  <cols>
    <col min="1" max="1" width="28.140625" bestFit="1" customWidth="1"/>
    <col min="2" max="2" width="27.28515625" bestFit="1" customWidth="1"/>
    <col min="3" max="3" width="5" bestFit="1" customWidth="1"/>
    <col min="4" max="4" width="11" bestFit="1" customWidth="1"/>
    <col min="5" max="5" width="14.140625" customWidth="1"/>
    <col min="6" max="6" width="24" customWidth="1"/>
    <col min="7" max="7" width="19.140625" customWidth="1"/>
    <col min="8" max="8" width="13" customWidth="1"/>
    <col min="9" max="9" width="13.85546875" customWidth="1"/>
    <col min="10" max="10" width="13.85546875" style="13" customWidth="1"/>
    <col min="11" max="11" width="75.7109375" customWidth="1"/>
  </cols>
  <sheetData>
    <row r="1" spans="1:17" s="1" customFormat="1" ht="30" x14ac:dyDescent="0.25">
      <c r="A1" s="1" t="s">
        <v>65</v>
      </c>
      <c r="B1" s="1" t="s">
        <v>66</v>
      </c>
      <c r="C1" s="1" t="s">
        <v>22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63</v>
      </c>
      <c r="I1" s="1" t="s">
        <v>64</v>
      </c>
      <c r="J1" s="1" t="s">
        <v>104</v>
      </c>
      <c r="K1" s="13" t="s">
        <v>2</v>
      </c>
    </row>
    <row r="2" spans="1:17" ht="23.25" x14ac:dyDescent="0.25">
      <c r="A2" t="s">
        <v>348</v>
      </c>
      <c r="B2" t="s">
        <v>67</v>
      </c>
      <c r="C2" t="s">
        <v>59</v>
      </c>
      <c r="D2" t="s">
        <v>57</v>
      </c>
      <c r="E2" s="2">
        <f>1.5*500*1.609</f>
        <v>1206.75</v>
      </c>
      <c r="F2">
        <v>0</v>
      </c>
      <c r="G2">
        <v>0</v>
      </c>
      <c r="H2">
        <v>350</v>
      </c>
      <c r="I2">
        <v>350</v>
      </c>
      <c r="J2" s="16">
        <v>0.2</v>
      </c>
      <c r="K2" s="13" t="s">
        <v>105</v>
      </c>
      <c r="P2" s="15"/>
      <c r="Q2" s="15"/>
    </row>
    <row r="3" spans="1:17" ht="45.75" x14ac:dyDescent="0.25">
      <c r="A3" t="s">
        <v>349</v>
      </c>
      <c r="B3" t="s">
        <v>68</v>
      </c>
      <c r="C3" t="s">
        <v>59</v>
      </c>
      <c r="D3" t="s">
        <v>57</v>
      </c>
      <c r="E3" s="2">
        <f>500*1.609</f>
        <v>804.5</v>
      </c>
      <c r="F3">
        <v>0</v>
      </c>
      <c r="G3">
        <v>0</v>
      </c>
      <c r="H3">
        <v>350</v>
      </c>
      <c r="I3">
        <v>3000</v>
      </c>
      <c r="J3" s="16">
        <v>0.08</v>
      </c>
      <c r="K3" s="13" t="s">
        <v>106</v>
      </c>
      <c r="P3" s="15"/>
      <c r="Q3" s="15"/>
    </row>
    <row r="4" spans="1:17" ht="23.25" x14ac:dyDescent="0.25">
      <c r="A4" t="s">
        <v>350</v>
      </c>
      <c r="B4" t="s">
        <v>69</v>
      </c>
      <c r="C4">
        <v>1</v>
      </c>
      <c r="D4" t="s">
        <v>57</v>
      </c>
      <c r="E4" s="2">
        <f>0.5*500*1.609</f>
        <v>402.25</v>
      </c>
      <c r="F4">
        <v>100</v>
      </c>
      <c r="G4">
        <v>7500</v>
      </c>
      <c r="H4" t="s">
        <v>59</v>
      </c>
      <c r="I4" t="s">
        <v>59</v>
      </c>
      <c r="J4" s="19">
        <f>'MTO iCorridor AADTT'!$AA9/inputs!$B$5</f>
        <v>0.37689158693778396</v>
      </c>
      <c r="K4" s="13" t="s">
        <v>58</v>
      </c>
    </row>
    <row r="5" spans="1:17" ht="23.25" x14ac:dyDescent="0.25">
      <c r="A5" t="s">
        <v>351</v>
      </c>
      <c r="B5" t="s">
        <v>70</v>
      </c>
      <c r="C5">
        <v>2</v>
      </c>
      <c r="D5" t="s">
        <v>57</v>
      </c>
      <c r="E5" s="2">
        <f t="shared" ref="E5:E8" si="0">0.5*500*1.609</f>
        <v>402.25</v>
      </c>
      <c r="F5">
        <v>100</v>
      </c>
      <c r="G5">
        <v>7500</v>
      </c>
      <c r="H5" t="s">
        <v>59</v>
      </c>
      <c r="I5" t="s">
        <v>59</v>
      </c>
      <c r="J5" s="19">
        <f>'MTO iCorridor AADTT'!$AA10/inputs!$B$5</f>
        <v>0.13977148142226653</v>
      </c>
      <c r="K5" s="13" t="s">
        <v>58</v>
      </c>
    </row>
    <row r="6" spans="1:17" ht="23.25" x14ac:dyDescent="0.25">
      <c r="A6" t="s">
        <v>352</v>
      </c>
      <c r="B6" t="s">
        <v>71</v>
      </c>
      <c r="C6">
        <v>3</v>
      </c>
      <c r="D6" t="s">
        <v>57</v>
      </c>
      <c r="E6" s="2">
        <f t="shared" si="0"/>
        <v>402.25</v>
      </c>
      <c r="F6">
        <v>100</v>
      </c>
      <c r="G6">
        <v>7500</v>
      </c>
      <c r="H6" t="s">
        <v>59</v>
      </c>
      <c r="I6" t="s">
        <v>59</v>
      </c>
      <c r="J6" s="19">
        <f>'MTO iCorridor AADTT'!$AA11/inputs!$B$5</f>
        <v>3.7129022770110771E-2</v>
      </c>
      <c r="K6" s="13" t="s">
        <v>58</v>
      </c>
    </row>
    <row r="7" spans="1:17" ht="23.25" x14ac:dyDescent="0.25">
      <c r="A7" t="s">
        <v>353</v>
      </c>
      <c r="B7" t="s">
        <v>72</v>
      </c>
      <c r="C7">
        <v>4</v>
      </c>
      <c r="D7" t="s">
        <v>57</v>
      </c>
      <c r="E7" s="2">
        <f t="shared" si="0"/>
        <v>402.25</v>
      </c>
      <c r="F7">
        <v>100</v>
      </c>
      <c r="G7">
        <v>7500</v>
      </c>
      <c r="H7" t="s">
        <v>59</v>
      </c>
      <c r="I7" t="s">
        <v>59</v>
      </c>
      <c r="J7" s="19">
        <f>'MTO iCorridor AADTT'!$AA12/inputs!$B$5</f>
        <v>1.4141310381812695E-2</v>
      </c>
      <c r="K7" s="13" t="s">
        <v>58</v>
      </c>
    </row>
    <row r="8" spans="1:17" ht="23.25" x14ac:dyDescent="0.25">
      <c r="A8" t="s">
        <v>354</v>
      </c>
      <c r="B8" t="s">
        <v>73</v>
      </c>
      <c r="C8">
        <v>5</v>
      </c>
      <c r="D8" t="s">
        <v>57</v>
      </c>
      <c r="E8" s="2">
        <f t="shared" si="0"/>
        <v>402.25</v>
      </c>
      <c r="F8">
        <v>100</v>
      </c>
      <c r="G8">
        <v>7500</v>
      </c>
      <c r="H8" t="s">
        <v>59</v>
      </c>
      <c r="I8" t="s">
        <v>59</v>
      </c>
      <c r="J8" s="19">
        <f>'MTO iCorridor AADTT'!$AA13/inputs!$B$5</f>
        <v>2.0924995795827115E-3</v>
      </c>
      <c r="K8" s="13" t="s">
        <v>58</v>
      </c>
    </row>
    <row r="9" spans="1:17" ht="68.25" x14ac:dyDescent="0.25">
      <c r="A9" t="s">
        <v>355</v>
      </c>
      <c r="B9" t="s">
        <v>74</v>
      </c>
      <c r="C9" t="s">
        <v>59</v>
      </c>
      <c r="D9" t="s">
        <v>56</v>
      </c>
      <c r="E9" s="2">
        <f>500*1.609</f>
        <v>804.5</v>
      </c>
      <c r="F9">
        <v>0</v>
      </c>
      <c r="G9">
        <v>0</v>
      </c>
      <c r="H9" s="2">
        <f>13.2*120*1000/60</f>
        <v>26400</v>
      </c>
      <c r="I9" s="2">
        <f>H9</f>
        <v>26400</v>
      </c>
      <c r="J9" s="16">
        <v>0.5</v>
      </c>
      <c r="K9" s="13" t="s">
        <v>107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4A65-8F6C-4193-B721-E5AF3164FB9F}">
  <dimension ref="A1:I201"/>
  <sheetViews>
    <sheetView tabSelected="1" zoomScaleNormal="100" workbookViewId="0">
      <pane xSplit="2" ySplit="1" topLeftCell="C10" activePane="bottomRight" state="frozen"/>
      <selection pane="topRight" activeCell="C1" sqref="C1"/>
      <selection pane="bottomLeft" activeCell="A2" sqref="A2"/>
      <selection pane="bottomRight" activeCell="A31" sqref="A31"/>
    </sheetView>
  </sheetViews>
  <sheetFormatPr defaultColWidth="8.7109375" defaultRowHeight="11.25" x14ac:dyDescent="0.2"/>
  <cols>
    <col min="1" max="1" width="4.42578125" style="21" bestFit="1" customWidth="1"/>
    <col min="2" max="2" width="8.28515625" style="22" bestFit="1" customWidth="1"/>
    <col min="3" max="3" width="47.85546875" style="20" bestFit="1" customWidth="1"/>
    <col min="4" max="4" width="24.140625" style="13" bestFit="1" customWidth="1"/>
    <col min="5" max="5" width="23.42578125" style="13" customWidth="1"/>
    <col min="6" max="6" width="7.85546875" style="20" bestFit="1" customWidth="1"/>
    <col min="7" max="7" width="10.85546875" style="20" bestFit="1" customWidth="1"/>
    <col min="8" max="8" width="11.140625" style="20" bestFit="1" customWidth="1"/>
    <col min="9" max="9" width="34.42578125" style="23" bestFit="1" customWidth="1"/>
    <col min="10" max="16384" width="8.7109375" style="20"/>
  </cols>
  <sheetData>
    <row r="1" spans="1:9" x14ac:dyDescent="0.2">
      <c r="A1" s="21" t="s">
        <v>126</v>
      </c>
      <c r="B1" s="22" t="s">
        <v>111</v>
      </c>
      <c r="C1" s="20" t="s">
        <v>125</v>
      </c>
      <c r="D1" s="13" t="s">
        <v>110</v>
      </c>
      <c r="E1" s="13" t="s">
        <v>127</v>
      </c>
      <c r="F1" s="20" t="s">
        <v>347</v>
      </c>
      <c r="G1" s="20" t="s">
        <v>115</v>
      </c>
      <c r="H1" s="20" t="s">
        <v>117</v>
      </c>
      <c r="I1" s="23" t="s">
        <v>2</v>
      </c>
    </row>
    <row r="2" spans="1:9" x14ac:dyDescent="0.2">
      <c r="A2" s="21" t="s">
        <v>335</v>
      </c>
      <c r="B2" s="22" t="str">
        <f>_xlfn.CONCAT(A2, ".sqlite")</f>
        <v>aaa.sqlite</v>
      </c>
      <c r="C2" s="20" t="s">
        <v>134</v>
      </c>
      <c r="E2" s="13" t="s">
        <v>341</v>
      </c>
      <c r="F2" s="20">
        <v>20260101</v>
      </c>
      <c r="G2" s="20">
        <v>16</v>
      </c>
      <c r="H2" s="20" t="s">
        <v>116</v>
      </c>
      <c r="I2" s="23" t="s">
        <v>135</v>
      </c>
    </row>
    <row r="3" spans="1:9" x14ac:dyDescent="0.2">
      <c r="A3" s="21" t="s">
        <v>136</v>
      </c>
      <c r="B3" s="22" t="str">
        <f t="shared" ref="B3:B66" si="0">_xlfn.CONCAT(A3, ".sqlite")</f>
        <v>wrn.sqlite</v>
      </c>
      <c r="C3" s="20" t="s">
        <v>112</v>
      </c>
      <c r="D3" s="13" t="s">
        <v>131</v>
      </c>
      <c r="E3" s="13" t="s">
        <v>340</v>
      </c>
      <c r="F3" s="20">
        <v>20260101</v>
      </c>
      <c r="G3" s="20">
        <v>16</v>
      </c>
      <c r="H3" s="20" t="s">
        <v>116</v>
      </c>
    </row>
    <row r="4" spans="1:9" x14ac:dyDescent="0.2">
      <c r="A4" s="21" t="s">
        <v>137</v>
      </c>
      <c r="B4" s="22" t="str">
        <f t="shared" si="0"/>
        <v>ljv.sqlite</v>
      </c>
      <c r="C4" s="20" t="s">
        <v>113</v>
      </c>
      <c r="D4" s="13" t="s">
        <v>122</v>
      </c>
      <c r="E4" s="13" t="s">
        <v>122</v>
      </c>
      <c r="F4" s="20">
        <v>20260101</v>
      </c>
      <c r="G4" s="20">
        <v>16</v>
      </c>
      <c r="H4" s="20" t="s">
        <v>116</v>
      </c>
    </row>
    <row r="5" spans="1:9" x14ac:dyDescent="0.2">
      <c r="A5" s="21" t="s">
        <v>138</v>
      </c>
      <c r="B5" s="22" t="str">
        <f t="shared" si="0"/>
        <v>rhl.sqlite</v>
      </c>
      <c r="C5" s="20" t="s">
        <v>114</v>
      </c>
      <c r="D5" s="13" t="s">
        <v>123</v>
      </c>
      <c r="E5" s="13" t="s">
        <v>123</v>
      </c>
      <c r="F5" s="20">
        <v>20260101</v>
      </c>
      <c r="G5" s="20">
        <v>16</v>
      </c>
      <c r="H5" s="20" t="s">
        <v>116</v>
      </c>
    </row>
    <row r="6" spans="1:9" x14ac:dyDescent="0.2">
      <c r="A6" s="21" t="s">
        <v>139</v>
      </c>
      <c r="B6" s="22" t="str">
        <f t="shared" si="0"/>
        <v>mid.sqlite</v>
      </c>
      <c r="C6" s="20" t="s">
        <v>118</v>
      </c>
      <c r="D6" s="13" t="s">
        <v>121</v>
      </c>
      <c r="E6" s="13" t="s">
        <v>338</v>
      </c>
      <c r="F6" s="20">
        <v>20260101</v>
      </c>
      <c r="G6" s="20">
        <v>16</v>
      </c>
      <c r="H6" s="20" t="s">
        <v>116</v>
      </c>
    </row>
    <row r="7" spans="1:9" x14ac:dyDescent="0.2">
      <c r="A7" s="21" t="s">
        <v>140</v>
      </c>
      <c r="B7" s="22" t="str">
        <f t="shared" si="0"/>
        <v>nhh.sqlite</v>
      </c>
      <c r="C7" s="20" t="s">
        <v>119</v>
      </c>
      <c r="D7" s="13" t="s">
        <v>124</v>
      </c>
      <c r="E7" s="13" t="s">
        <v>124</v>
      </c>
      <c r="F7" s="20">
        <v>20260101</v>
      </c>
      <c r="G7" s="20">
        <v>16</v>
      </c>
      <c r="H7" s="20" t="s">
        <v>116</v>
      </c>
    </row>
    <row r="8" spans="1:9" ht="25.5" x14ac:dyDescent="0.2">
      <c r="A8" s="21" t="s">
        <v>141</v>
      </c>
      <c r="B8" s="22" t="str">
        <f t="shared" si="0"/>
        <v>soe.sqlite</v>
      </c>
      <c r="C8" s="20" t="s">
        <v>120</v>
      </c>
      <c r="D8" s="13" t="s">
        <v>128</v>
      </c>
      <c r="E8" s="13" t="s">
        <v>132</v>
      </c>
      <c r="F8" s="20">
        <v>20260101</v>
      </c>
      <c r="G8" s="20">
        <v>16</v>
      </c>
      <c r="H8" s="20" t="s">
        <v>116</v>
      </c>
      <c r="I8" s="24" t="s">
        <v>133</v>
      </c>
    </row>
    <row r="9" spans="1:9" x14ac:dyDescent="0.2">
      <c r="A9" s="21" t="s">
        <v>142</v>
      </c>
      <c r="B9" s="22" t="str">
        <f t="shared" si="0"/>
        <v>cqh.sqlite</v>
      </c>
      <c r="C9" s="20" t="s">
        <v>336</v>
      </c>
      <c r="D9" s="13" t="s">
        <v>365</v>
      </c>
      <c r="E9" s="13" t="s">
        <v>364</v>
      </c>
      <c r="F9" s="20">
        <v>20260101</v>
      </c>
      <c r="G9" s="20">
        <v>16</v>
      </c>
      <c r="H9" s="20" t="s">
        <v>116</v>
      </c>
    </row>
    <row r="10" spans="1:9" x14ac:dyDescent="0.2">
      <c r="A10" s="21" t="s">
        <v>143</v>
      </c>
      <c r="B10" s="22" t="str">
        <f t="shared" si="0"/>
        <v>xcc.sqlite</v>
      </c>
      <c r="C10" s="20" t="s">
        <v>337</v>
      </c>
      <c r="E10" s="13" t="s">
        <v>342</v>
      </c>
      <c r="F10" s="20">
        <v>20260101</v>
      </c>
      <c r="G10" s="20">
        <v>16</v>
      </c>
      <c r="H10" s="20" t="s">
        <v>116</v>
      </c>
    </row>
    <row r="11" spans="1:9" x14ac:dyDescent="0.2">
      <c r="A11" s="21" t="s">
        <v>144</v>
      </c>
      <c r="B11" s="22" t="str">
        <f t="shared" si="0"/>
        <v>iyw.sqlite</v>
      </c>
      <c r="D11" s="13" t="s">
        <v>129</v>
      </c>
      <c r="E11" s="13" t="s">
        <v>343</v>
      </c>
      <c r="F11" s="20">
        <v>20260101</v>
      </c>
      <c r="G11" s="20">
        <v>16</v>
      </c>
      <c r="H11" s="20" t="s">
        <v>116</v>
      </c>
    </row>
    <row r="12" spans="1:9" x14ac:dyDescent="0.2">
      <c r="A12" s="21" t="s">
        <v>145</v>
      </c>
      <c r="B12" s="22" t="str">
        <f t="shared" si="0"/>
        <v>jmo.sqlite</v>
      </c>
      <c r="D12" s="13" t="s">
        <v>130</v>
      </c>
      <c r="E12" s="13" t="s">
        <v>344</v>
      </c>
      <c r="F12" s="20">
        <v>20260101</v>
      </c>
      <c r="G12" s="20">
        <v>16</v>
      </c>
      <c r="H12" s="20" t="s">
        <v>116</v>
      </c>
    </row>
    <row r="13" spans="1:9" ht="22.5" x14ac:dyDescent="0.2">
      <c r="A13" s="21" t="s">
        <v>146</v>
      </c>
      <c r="B13" s="22" t="str">
        <f t="shared" si="0"/>
        <v>fnh.sqlite</v>
      </c>
      <c r="D13" s="13" t="s">
        <v>128</v>
      </c>
      <c r="E13" s="13" t="s">
        <v>345</v>
      </c>
      <c r="F13" s="20">
        <v>20260101</v>
      </c>
      <c r="G13" s="20">
        <v>16</v>
      </c>
      <c r="H13" s="20" t="s">
        <v>116</v>
      </c>
    </row>
    <row r="14" spans="1:9" ht="22.5" x14ac:dyDescent="0.2">
      <c r="A14" s="21" t="s">
        <v>147</v>
      </c>
      <c r="B14" s="22" t="str">
        <f t="shared" si="0"/>
        <v>gkl.sqlite</v>
      </c>
      <c r="D14" s="13" t="s">
        <v>128</v>
      </c>
      <c r="E14" s="13" t="s">
        <v>346</v>
      </c>
      <c r="F14" s="20">
        <v>20260101</v>
      </c>
      <c r="G14" s="20">
        <v>16</v>
      </c>
      <c r="H14" s="20" t="s">
        <v>116</v>
      </c>
    </row>
    <row r="15" spans="1:9" ht="58.5" x14ac:dyDescent="0.2">
      <c r="A15" s="21" t="s">
        <v>148</v>
      </c>
      <c r="B15" s="22" t="str">
        <f t="shared" si="0"/>
        <v>hwj.sqlite</v>
      </c>
      <c r="C15" s="20" t="s">
        <v>359</v>
      </c>
      <c r="D15" s="13" t="s">
        <v>357</v>
      </c>
      <c r="E15" s="13" t="s">
        <v>357</v>
      </c>
      <c r="F15" s="20">
        <v>20260507</v>
      </c>
      <c r="G15" s="20">
        <v>16</v>
      </c>
      <c r="H15" s="20" t="s">
        <v>116</v>
      </c>
      <c r="I15" s="25" t="s">
        <v>360</v>
      </c>
    </row>
    <row r="16" spans="1:9" x14ac:dyDescent="0.2">
      <c r="A16" s="21" t="s">
        <v>149</v>
      </c>
      <c r="B16" s="22" t="str">
        <f t="shared" si="0"/>
        <v>uez.sqlite</v>
      </c>
      <c r="D16" s="13" t="s">
        <v>121</v>
      </c>
      <c r="E16" s="13" t="s">
        <v>338</v>
      </c>
      <c r="F16" s="20">
        <v>20260507</v>
      </c>
      <c r="G16" s="20">
        <v>16</v>
      </c>
      <c r="H16" s="20" t="s">
        <v>116</v>
      </c>
    </row>
    <row r="17" spans="1:9" x14ac:dyDescent="0.2">
      <c r="A17" s="21" t="s">
        <v>150</v>
      </c>
      <c r="B17" s="22" t="str">
        <f t="shared" si="0"/>
        <v>htl.sqlite</v>
      </c>
      <c r="D17" s="13" t="s">
        <v>124</v>
      </c>
      <c r="E17" s="13" t="s">
        <v>124</v>
      </c>
      <c r="F17" s="20">
        <v>20260507</v>
      </c>
      <c r="G17" s="20">
        <v>16</v>
      </c>
      <c r="H17" s="20" t="s">
        <v>116</v>
      </c>
    </row>
    <row r="18" spans="1:9" x14ac:dyDescent="0.2">
      <c r="A18" s="21" t="s">
        <v>151</v>
      </c>
      <c r="B18" s="22" t="str">
        <f t="shared" si="0"/>
        <v>aum.sqlite</v>
      </c>
      <c r="D18" s="13" t="s">
        <v>131</v>
      </c>
      <c r="E18" s="13" t="s">
        <v>340</v>
      </c>
      <c r="F18" s="20">
        <v>20260507</v>
      </c>
      <c r="G18" s="20">
        <v>16</v>
      </c>
      <c r="H18" s="20" t="s">
        <v>116</v>
      </c>
    </row>
    <row r="19" spans="1:9" x14ac:dyDescent="0.2">
      <c r="A19" s="21" t="s">
        <v>152</v>
      </c>
      <c r="B19" s="22" t="str">
        <f t="shared" si="0"/>
        <v>xlv.sqlite</v>
      </c>
      <c r="D19" s="13" t="s">
        <v>129</v>
      </c>
      <c r="E19" s="13" t="s">
        <v>343</v>
      </c>
      <c r="F19" s="20">
        <v>20260507</v>
      </c>
      <c r="G19" s="20">
        <v>16</v>
      </c>
      <c r="H19" s="20" t="s">
        <v>116</v>
      </c>
    </row>
    <row r="20" spans="1:9" x14ac:dyDescent="0.2">
      <c r="A20" s="21" t="s">
        <v>153</v>
      </c>
      <c r="B20" s="22" t="str">
        <f t="shared" si="0"/>
        <v>bxl.sqlite</v>
      </c>
      <c r="D20" s="13" t="s">
        <v>130</v>
      </c>
      <c r="E20" s="13" t="s">
        <v>344</v>
      </c>
      <c r="F20" s="20">
        <v>20260507</v>
      </c>
      <c r="G20" s="20">
        <v>16</v>
      </c>
      <c r="H20" s="20" t="s">
        <v>116</v>
      </c>
    </row>
    <row r="21" spans="1:9" x14ac:dyDescent="0.2">
      <c r="A21" s="21" t="s">
        <v>154</v>
      </c>
      <c r="B21" s="22" t="str">
        <f t="shared" si="0"/>
        <v>roa.sqlite</v>
      </c>
      <c r="D21" s="13" t="s">
        <v>122</v>
      </c>
      <c r="E21" s="13" t="s">
        <v>122</v>
      </c>
      <c r="F21" s="20">
        <v>20260507</v>
      </c>
      <c r="G21" s="20">
        <v>16</v>
      </c>
      <c r="H21" s="20" t="s">
        <v>116</v>
      </c>
    </row>
    <row r="22" spans="1:9" x14ac:dyDescent="0.2">
      <c r="A22" s="21" t="s">
        <v>155</v>
      </c>
      <c r="B22" s="22" t="str">
        <f t="shared" si="0"/>
        <v>xuw.sqlite</v>
      </c>
      <c r="D22" s="13" t="s">
        <v>123</v>
      </c>
      <c r="E22" s="13" t="s">
        <v>123</v>
      </c>
      <c r="F22" s="20">
        <v>20260507</v>
      </c>
      <c r="G22" s="20">
        <v>16</v>
      </c>
      <c r="H22" s="20" t="s">
        <v>116</v>
      </c>
    </row>
    <row r="23" spans="1:9" ht="25.5" x14ac:dyDescent="0.2">
      <c r="A23" s="21" t="s">
        <v>156</v>
      </c>
      <c r="B23" s="22" t="str">
        <f t="shared" si="0"/>
        <v>myh.sqlite</v>
      </c>
      <c r="D23" s="13" t="s">
        <v>128</v>
      </c>
      <c r="E23" s="13" t="s">
        <v>132</v>
      </c>
      <c r="F23" s="20">
        <v>20260507</v>
      </c>
      <c r="G23" s="20">
        <v>16</v>
      </c>
      <c r="H23" s="20" t="s">
        <v>116</v>
      </c>
      <c r="I23" s="24" t="s">
        <v>133</v>
      </c>
    </row>
    <row r="24" spans="1:9" x14ac:dyDescent="0.2">
      <c r="A24" s="21" t="s">
        <v>157</v>
      </c>
      <c r="B24" s="22" t="str">
        <f t="shared" si="0"/>
        <v>nzx.sqlite</v>
      </c>
      <c r="C24" s="20" t="s">
        <v>356</v>
      </c>
      <c r="D24" s="13" t="s">
        <v>341</v>
      </c>
      <c r="E24" s="13" t="s">
        <v>341</v>
      </c>
      <c r="F24" s="20">
        <v>20260507</v>
      </c>
      <c r="G24" s="20">
        <v>16</v>
      </c>
      <c r="H24" s="20" t="s">
        <v>116</v>
      </c>
      <c r="I24" s="23" t="s">
        <v>358</v>
      </c>
    </row>
    <row r="25" spans="1:9" x14ac:dyDescent="0.2">
      <c r="A25" s="21" t="s">
        <v>158</v>
      </c>
      <c r="B25" s="22" t="str">
        <f t="shared" si="0"/>
        <v>wtz.sqlite</v>
      </c>
      <c r="D25" s="13" t="s">
        <v>361</v>
      </c>
      <c r="E25" s="13" t="s">
        <v>363</v>
      </c>
      <c r="F25" s="20">
        <v>20260507</v>
      </c>
      <c r="G25" s="20">
        <v>16</v>
      </c>
      <c r="H25" s="20" t="s">
        <v>116</v>
      </c>
      <c r="I25" s="23" t="s">
        <v>362</v>
      </c>
    </row>
    <row r="26" spans="1:9" ht="22.5" x14ac:dyDescent="0.2">
      <c r="A26" s="21" t="s">
        <v>159</v>
      </c>
      <c r="B26" s="22" t="str">
        <f t="shared" si="0"/>
        <v>izo.sqlite</v>
      </c>
      <c r="D26" s="13" t="s">
        <v>366</v>
      </c>
      <c r="E26" s="13" t="s">
        <v>367</v>
      </c>
      <c r="F26" s="20">
        <v>20260507</v>
      </c>
      <c r="G26" s="20">
        <v>16</v>
      </c>
      <c r="H26" s="20" t="s">
        <v>116</v>
      </c>
      <c r="I26" s="23" t="s">
        <v>368</v>
      </c>
    </row>
    <row r="27" spans="1:9" ht="22.5" x14ac:dyDescent="0.2">
      <c r="A27" s="21" t="s">
        <v>160</v>
      </c>
      <c r="B27" s="22" t="str">
        <f t="shared" si="0"/>
        <v>xnc.sqlite</v>
      </c>
      <c r="D27" s="13" t="s">
        <v>369</v>
      </c>
      <c r="E27" s="13" t="s">
        <v>370</v>
      </c>
      <c r="F27" s="20">
        <v>20260507</v>
      </c>
      <c r="G27" s="20">
        <v>16</v>
      </c>
      <c r="H27" s="20" t="s">
        <v>116</v>
      </c>
      <c r="I27" s="23" t="s">
        <v>371</v>
      </c>
    </row>
    <row r="28" spans="1:9" ht="22.5" x14ac:dyDescent="0.2">
      <c r="A28" s="21" t="s">
        <v>161</v>
      </c>
      <c r="B28" s="22" t="str">
        <f t="shared" si="0"/>
        <v>lii.sqlite</v>
      </c>
      <c r="D28" s="13" t="s">
        <v>372</v>
      </c>
      <c r="E28" s="13" t="s">
        <v>373</v>
      </c>
      <c r="F28" s="20">
        <v>20260507</v>
      </c>
      <c r="G28" s="20">
        <v>16</v>
      </c>
      <c r="H28" s="20" t="s">
        <v>116</v>
      </c>
      <c r="I28" s="23" t="s">
        <v>374</v>
      </c>
    </row>
    <row r="29" spans="1:9" x14ac:dyDescent="0.2">
      <c r="A29" s="21" t="s">
        <v>162</v>
      </c>
      <c r="B29" s="22" t="str">
        <f t="shared" si="0"/>
        <v>kki.sqlite</v>
      </c>
      <c r="D29" s="13" t="s">
        <v>375</v>
      </c>
      <c r="E29" s="13" t="s">
        <v>376</v>
      </c>
      <c r="F29" s="20">
        <v>20260507</v>
      </c>
      <c r="G29" s="20">
        <v>16</v>
      </c>
      <c r="H29" s="20" t="s">
        <v>116</v>
      </c>
      <c r="I29" s="23" t="s">
        <v>374</v>
      </c>
    </row>
    <row r="30" spans="1:9" x14ac:dyDescent="0.2">
      <c r="A30" s="21" t="s">
        <v>163</v>
      </c>
      <c r="B30" s="22" t="str">
        <f t="shared" si="0"/>
        <v>oqh.sqlite</v>
      </c>
      <c r="D30" s="13" t="s">
        <v>377</v>
      </c>
      <c r="E30" s="13" t="s">
        <v>378</v>
      </c>
      <c r="F30" s="20">
        <v>20260507</v>
      </c>
      <c r="G30" s="20">
        <v>16</v>
      </c>
      <c r="H30" s="20" t="s">
        <v>116</v>
      </c>
      <c r="I30" s="23" t="s">
        <v>379</v>
      </c>
    </row>
    <row r="31" spans="1:9" x14ac:dyDescent="0.2">
      <c r="A31" s="21" t="s">
        <v>164</v>
      </c>
      <c r="B31" s="22" t="str">
        <f t="shared" si="0"/>
        <v>olr.sqlite</v>
      </c>
    </row>
    <row r="32" spans="1:9" x14ac:dyDescent="0.2">
      <c r="A32" s="21" t="s">
        <v>165</v>
      </c>
      <c r="B32" s="22" t="str">
        <f t="shared" si="0"/>
        <v>uoj.sqlite</v>
      </c>
    </row>
    <row r="33" spans="1:2" x14ac:dyDescent="0.2">
      <c r="A33" s="21" t="s">
        <v>166</v>
      </c>
      <c r="B33" s="22" t="str">
        <f t="shared" si="0"/>
        <v>oog.sqlite</v>
      </c>
    </row>
    <row r="34" spans="1:2" x14ac:dyDescent="0.2">
      <c r="A34" s="21" t="s">
        <v>167</v>
      </c>
      <c r="B34" s="22" t="str">
        <f t="shared" si="0"/>
        <v>esf.sqlite</v>
      </c>
    </row>
    <row r="35" spans="1:2" x14ac:dyDescent="0.2">
      <c r="A35" s="21" t="s">
        <v>168</v>
      </c>
      <c r="B35" s="22" t="str">
        <f t="shared" si="0"/>
        <v>qjw.sqlite</v>
      </c>
    </row>
    <row r="36" spans="1:2" x14ac:dyDescent="0.2">
      <c r="A36" s="21" t="s">
        <v>169</v>
      </c>
      <c r="B36" s="22" t="str">
        <f t="shared" si="0"/>
        <v>rix.sqlite</v>
      </c>
    </row>
    <row r="37" spans="1:2" x14ac:dyDescent="0.2">
      <c r="A37" s="21" t="s">
        <v>170</v>
      </c>
      <c r="B37" s="22" t="str">
        <f t="shared" si="0"/>
        <v>glw.sqlite</v>
      </c>
    </row>
    <row r="38" spans="1:2" x14ac:dyDescent="0.2">
      <c r="A38" s="21" t="s">
        <v>171</v>
      </c>
      <c r="B38" s="22" t="str">
        <f t="shared" si="0"/>
        <v>vth.sqlite</v>
      </c>
    </row>
    <row r="39" spans="1:2" x14ac:dyDescent="0.2">
      <c r="A39" s="21" t="s">
        <v>172</v>
      </c>
      <c r="B39" s="22" t="str">
        <f t="shared" si="0"/>
        <v>sbb.sqlite</v>
      </c>
    </row>
    <row r="40" spans="1:2" x14ac:dyDescent="0.2">
      <c r="A40" s="21" t="s">
        <v>173</v>
      </c>
      <c r="B40" s="22" t="str">
        <f t="shared" si="0"/>
        <v>qdd.sqlite</v>
      </c>
    </row>
    <row r="41" spans="1:2" x14ac:dyDescent="0.2">
      <c r="A41" s="21" t="s">
        <v>174</v>
      </c>
      <c r="B41" s="22" t="str">
        <f t="shared" si="0"/>
        <v>yxl.sqlite</v>
      </c>
    </row>
    <row r="42" spans="1:2" x14ac:dyDescent="0.2">
      <c r="A42" s="21" t="s">
        <v>175</v>
      </c>
      <c r="B42" s="22" t="str">
        <f t="shared" si="0"/>
        <v>jzy.sqlite</v>
      </c>
    </row>
    <row r="43" spans="1:2" x14ac:dyDescent="0.2">
      <c r="A43" s="21" t="s">
        <v>176</v>
      </c>
      <c r="B43" s="22" t="str">
        <f t="shared" si="0"/>
        <v>ity.sqlite</v>
      </c>
    </row>
    <row r="44" spans="1:2" x14ac:dyDescent="0.2">
      <c r="A44" s="21" t="s">
        <v>177</v>
      </c>
      <c r="B44" s="22" t="str">
        <f t="shared" si="0"/>
        <v>wol.sqlite</v>
      </c>
    </row>
    <row r="45" spans="1:2" x14ac:dyDescent="0.2">
      <c r="A45" s="21" t="s">
        <v>178</v>
      </c>
      <c r="B45" s="22" t="str">
        <f t="shared" si="0"/>
        <v>cmu.sqlite</v>
      </c>
    </row>
    <row r="46" spans="1:2" x14ac:dyDescent="0.2">
      <c r="A46" s="21" t="s">
        <v>179</v>
      </c>
      <c r="B46" s="22" t="str">
        <f t="shared" si="0"/>
        <v>cnc.sqlite</v>
      </c>
    </row>
    <row r="47" spans="1:2" x14ac:dyDescent="0.2">
      <c r="A47" s="21" t="s">
        <v>180</v>
      </c>
      <c r="B47" s="22" t="str">
        <f t="shared" si="0"/>
        <v>ffg.sqlite</v>
      </c>
    </row>
    <row r="48" spans="1:2" x14ac:dyDescent="0.2">
      <c r="A48" s="21" t="s">
        <v>181</v>
      </c>
      <c r="B48" s="22" t="str">
        <f t="shared" si="0"/>
        <v>tap.sqlite</v>
      </c>
    </row>
    <row r="49" spans="1:2" x14ac:dyDescent="0.2">
      <c r="A49" s="21" t="s">
        <v>182</v>
      </c>
      <c r="B49" s="22" t="str">
        <f t="shared" si="0"/>
        <v>rnm.sqlite</v>
      </c>
    </row>
    <row r="50" spans="1:2" x14ac:dyDescent="0.2">
      <c r="A50" s="21" t="s">
        <v>183</v>
      </c>
      <c r="B50" s="22" t="str">
        <f t="shared" si="0"/>
        <v>vno.sqlite</v>
      </c>
    </row>
    <row r="51" spans="1:2" x14ac:dyDescent="0.2">
      <c r="A51" s="21" t="s">
        <v>184</v>
      </c>
      <c r="B51" s="22" t="str">
        <f t="shared" si="0"/>
        <v>bor.sqlite</v>
      </c>
    </row>
    <row r="52" spans="1:2" x14ac:dyDescent="0.2">
      <c r="A52" s="21" t="s">
        <v>185</v>
      </c>
      <c r="B52" s="22" t="str">
        <f t="shared" si="0"/>
        <v>ucd.sqlite</v>
      </c>
    </row>
    <row r="53" spans="1:2" x14ac:dyDescent="0.2">
      <c r="A53" s="21" t="s">
        <v>186</v>
      </c>
      <c r="B53" s="22" t="str">
        <f t="shared" si="0"/>
        <v>fnt.sqlite</v>
      </c>
    </row>
    <row r="54" spans="1:2" x14ac:dyDescent="0.2">
      <c r="A54" s="21" t="s">
        <v>187</v>
      </c>
      <c r="B54" s="22" t="str">
        <f t="shared" si="0"/>
        <v>did.sqlite</v>
      </c>
    </row>
    <row r="55" spans="1:2" x14ac:dyDescent="0.2">
      <c r="A55" s="21" t="s">
        <v>188</v>
      </c>
      <c r="B55" s="22" t="str">
        <f t="shared" si="0"/>
        <v>nnp.sqlite</v>
      </c>
    </row>
    <row r="56" spans="1:2" x14ac:dyDescent="0.2">
      <c r="A56" s="21" t="s">
        <v>189</v>
      </c>
      <c r="B56" s="22" t="str">
        <f t="shared" si="0"/>
        <v>elo.sqlite</v>
      </c>
    </row>
    <row r="57" spans="1:2" x14ac:dyDescent="0.2">
      <c r="A57" s="21" t="s">
        <v>190</v>
      </c>
      <c r="B57" s="22" t="str">
        <f t="shared" si="0"/>
        <v>pfi.sqlite</v>
      </c>
    </row>
    <row r="58" spans="1:2" x14ac:dyDescent="0.2">
      <c r="A58" s="21" t="s">
        <v>191</v>
      </c>
      <c r="B58" s="22" t="str">
        <f t="shared" si="0"/>
        <v>rny.sqlite</v>
      </c>
    </row>
    <row r="59" spans="1:2" x14ac:dyDescent="0.2">
      <c r="A59" s="21" t="s">
        <v>192</v>
      </c>
      <c r="B59" s="22" t="str">
        <f t="shared" si="0"/>
        <v>mhy.sqlite</v>
      </c>
    </row>
    <row r="60" spans="1:2" x14ac:dyDescent="0.2">
      <c r="A60" s="21" t="s">
        <v>193</v>
      </c>
      <c r="B60" s="22" t="str">
        <f t="shared" si="0"/>
        <v>alr.sqlite</v>
      </c>
    </row>
    <row r="61" spans="1:2" x14ac:dyDescent="0.2">
      <c r="A61" s="21" t="s">
        <v>194</v>
      </c>
      <c r="B61" s="22" t="str">
        <f t="shared" si="0"/>
        <v>ysm.sqlite</v>
      </c>
    </row>
    <row r="62" spans="1:2" x14ac:dyDescent="0.2">
      <c r="A62" s="21" t="s">
        <v>195</v>
      </c>
      <c r="B62" s="22" t="str">
        <f t="shared" si="0"/>
        <v>dgn.sqlite</v>
      </c>
    </row>
    <row r="63" spans="1:2" x14ac:dyDescent="0.2">
      <c r="A63" s="21" t="s">
        <v>196</v>
      </c>
      <c r="B63" s="22" t="str">
        <f t="shared" si="0"/>
        <v>nys.sqlite</v>
      </c>
    </row>
    <row r="64" spans="1:2" x14ac:dyDescent="0.2">
      <c r="A64" s="21" t="s">
        <v>197</v>
      </c>
      <c r="B64" s="22" t="str">
        <f t="shared" si="0"/>
        <v>gvi.sqlite</v>
      </c>
    </row>
    <row r="65" spans="1:2" x14ac:dyDescent="0.2">
      <c r="A65" s="21" t="s">
        <v>198</v>
      </c>
      <c r="B65" s="22" t="str">
        <f t="shared" si="0"/>
        <v>meu.sqlite</v>
      </c>
    </row>
    <row r="66" spans="1:2" x14ac:dyDescent="0.2">
      <c r="A66" s="21" t="s">
        <v>199</v>
      </c>
      <c r="B66" s="22" t="str">
        <f t="shared" si="0"/>
        <v>ldx.sqlite</v>
      </c>
    </row>
    <row r="67" spans="1:2" x14ac:dyDescent="0.2">
      <c r="A67" s="21" t="s">
        <v>200</v>
      </c>
      <c r="B67" s="22" t="str">
        <f t="shared" ref="B67:B117" si="1">_xlfn.CONCAT(A67, ".sqlite")</f>
        <v>xaf.sqlite</v>
      </c>
    </row>
    <row r="68" spans="1:2" x14ac:dyDescent="0.2">
      <c r="A68" s="21" t="s">
        <v>201</v>
      </c>
      <c r="B68" s="22" t="str">
        <f t="shared" si="1"/>
        <v>muf.sqlite</v>
      </c>
    </row>
    <row r="69" spans="1:2" x14ac:dyDescent="0.2">
      <c r="A69" s="21" t="s">
        <v>202</v>
      </c>
      <c r="B69" s="22" t="str">
        <f t="shared" si="1"/>
        <v>nzs.sqlite</v>
      </c>
    </row>
    <row r="70" spans="1:2" x14ac:dyDescent="0.2">
      <c r="A70" s="21" t="s">
        <v>203</v>
      </c>
      <c r="B70" s="22" t="str">
        <f t="shared" si="1"/>
        <v>sme.sqlite</v>
      </c>
    </row>
    <row r="71" spans="1:2" x14ac:dyDescent="0.2">
      <c r="A71" s="21" t="s">
        <v>204</v>
      </c>
      <c r="B71" s="22" t="str">
        <f t="shared" si="1"/>
        <v>ojo.sqlite</v>
      </c>
    </row>
    <row r="72" spans="1:2" x14ac:dyDescent="0.2">
      <c r="A72" s="21" t="s">
        <v>205</v>
      </c>
      <c r="B72" s="22" t="str">
        <f t="shared" si="1"/>
        <v>goz.sqlite</v>
      </c>
    </row>
    <row r="73" spans="1:2" x14ac:dyDescent="0.2">
      <c r="A73" s="21" t="s">
        <v>206</v>
      </c>
      <c r="B73" s="22" t="str">
        <f t="shared" si="1"/>
        <v>gto.sqlite</v>
      </c>
    </row>
    <row r="74" spans="1:2" x14ac:dyDescent="0.2">
      <c r="A74" s="21" t="s">
        <v>207</v>
      </c>
      <c r="B74" s="22" t="str">
        <f t="shared" si="1"/>
        <v>lae.sqlite</v>
      </c>
    </row>
    <row r="75" spans="1:2" x14ac:dyDescent="0.2">
      <c r="A75" s="21" t="s">
        <v>208</v>
      </c>
      <c r="B75" s="22" t="str">
        <f t="shared" si="1"/>
        <v>pmf.sqlite</v>
      </c>
    </row>
    <row r="76" spans="1:2" x14ac:dyDescent="0.2">
      <c r="A76" s="21" t="s">
        <v>209</v>
      </c>
      <c r="B76" s="22" t="str">
        <f t="shared" si="1"/>
        <v>mys.sqlite</v>
      </c>
    </row>
    <row r="77" spans="1:2" x14ac:dyDescent="0.2">
      <c r="A77" s="21" t="s">
        <v>210</v>
      </c>
      <c r="B77" s="22" t="str">
        <f t="shared" si="1"/>
        <v>ykm.sqlite</v>
      </c>
    </row>
    <row r="78" spans="1:2" x14ac:dyDescent="0.2">
      <c r="A78" s="21" t="s">
        <v>211</v>
      </c>
      <c r="B78" s="22" t="str">
        <f t="shared" si="1"/>
        <v>eoy.sqlite</v>
      </c>
    </row>
    <row r="79" spans="1:2" x14ac:dyDescent="0.2">
      <c r="A79" s="21" t="s">
        <v>212</v>
      </c>
      <c r="B79" s="22" t="str">
        <f t="shared" si="1"/>
        <v>buj.sqlite</v>
      </c>
    </row>
    <row r="80" spans="1:2" x14ac:dyDescent="0.2">
      <c r="A80" s="21" t="s">
        <v>213</v>
      </c>
      <c r="B80" s="22" t="str">
        <f t="shared" si="1"/>
        <v>jcs.sqlite</v>
      </c>
    </row>
    <row r="81" spans="1:2" x14ac:dyDescent="0.2">
      <c r="A81" s="21" t="s">
        <v>214</v>
      </c>
      <c r="B81" s="22" t="str">
        <f t="shared" si="1"/>
        <v>ejf.sqlite</v>
      </c>
    </row>
    <row r="82" spans="1:2" x14ac:dyDescent="0.2">
      <c r="A82" s="21" t="s">
        <v>215</v>
      </c>
      <c r="B82" s="22" t="str">
        <f t="shared" si="1"/>
        <v>dxq.sqlite</v>
      </c>
    </row>
    <row r="83" spans="1:2" x14ac:dyDescent="0.2">
      <c r="A83" s="21" t="s">
        <v>216</v>
      </c>
      <c r="B83" s="22" t="str">
        <f t="shared" si="1"/>
        <v>kyp.sqlite</v>
      </c>
    </row>
    <row r="84" spans="1:2" x14ac:dyDescent="0.2">
      <c r="A84" s="21" t="s">
        <v>217</v>
      </c>
      <c r="B84" s="22" t="str">
        <f t="shared" si="1"/>
        <v>xlc.sqlite</v>
      </c>
    </row>
    <row r="85" spans="1:2" x14ac:dyDescent="0.2">
      <c r="A85" s="21" t="s">
        <v>218</v>
      </c>
      <c r="B85" s="22" t="str">
        <f t="shared" si="1"/>
        <v>mzd.sqlite</v>
      </c>
    </row>
    <row r="86" spans="1:2" x14ac:dyDescent="0.2">
      <c r="A86" s="21" t="s">
        <v>219</v>
      </c>
      <c r="B86" s="22" t="str">
        <f t="shared" si="1"/>
        <v>tej.sqlite</v>
      </c>
    </row>
    <row r="87" spans="1:2" x14ac:dyDescent="0.2">
      <c r="A87" s="21" t="s">
        <v>220</v>
      </c>
      <c r="B87" s="22" t="str">
        <f t="shared" si="1"/>
        <v>vdm.sqlite</v>
      </c>
    </row>
    <row r="88" spans="1:2" x14ac:dyDescent="0.2">
      <c r="A88" s="21" t="s">
        <v>221</v>
      </c>
      <c r="B88" s="22" t="str">
        <f t="shared" si="1"/>
        <v>tjw.sqlite</v>
      </c>
    </row>
    <row r="89" spans="1:2" x14ac:dyDescent="0.2">
      <c r="A89" s="21" t="s">
        <v>222</v>
      </c>
      <c r="B89" s="22" t="str">
        <f t="shared" si="1"/>
        <v>rax.sqlite</v>
      </c>
    </row>
    <row r="90" spans="1:2" x14ac:dyDescent="0.2">
      <c r="A90" s="21" t="s">
        <v>223</v>
      </c>
      <c r="B90" s="22" t="str">
        <f t="shared" si="1"/>
        <v>rvv.sqlite</v>
      </c>
    </row>
    <row r="91" spans="1:2" x14ac:dyDescent="0.2">
      <c r="A91" s="21" t="s">
        <v>224</v>
      </c>
      <c r="B91" s="22" t="str">
        <f t="shared" si="1"/>
        <v>mbs.sqlite</v>
      </c>
    </row>
    <row r="92" spans="1:2" x14ac:dyDescent="0.2">
      <c r="A92" s="21" t="s">
        <v>225</v>
      </c>
      <c r="B92" s="22" t="str">
        <f t="shared" si="1"/>
        <v>ffb.sqlite</v>
      </c>
    </row>
    <row r="93" spans="1:2" x14ac:dyDescent="0.2">
      <c r="A93" s="21" t="s">
        <v>226</v>
      </c>
      <c r="B93" s="22" t="str">
        <f t="shared" si="1"/>
        <v>foy.sqlite</v>
      </c>
    </row>
    <row r="94" spans="1:2" x14ac:dyDescent="0.2">
      <c r="A94" s="21" t="s">
        <v>227</v>
      </c>
      <c r="B94" s="22" t="str">
        <f t="shared" si="1"/>
        <v>suy.sqlite</v>
      </c>
    </row>
    <row r="95" spans="1:2" x14ac:dyDescent="0.2">
      <c r="A95" s="21" t="s">
        <v>228</v>
      </c>
      <c r="B95" s="22" t="str">
        <f t="shared" si="1"/>
        <v>brj.sqlite</v>
      </c>
    </row>
    <row r="96" spans="1:2" x14ac:dyDescent="0.2">
      <c r="A96" s="21" t="s">
        <v>229</v>
      </c>
      <c r="B96" s="22" t="str">
        <f t="shared" si="1"/>
        <v>tzi.sqlite</v>
      </c>
    </row>
    <row r="97" spans="1:2" x14ac:dyDescent="0.2">
      <c r="A97" s="21" t="s">
        <v>230</v>
      </c>
      <c r="B97" s="22" t="str">
        <f t="shared" si="1"/>
        <v>pvb.sqlite</v>
      </c>
    </row>
    <row r="98" spans="1:2" x14ac:dyDescent="0.2">
      <c r="A98" s="21" t="s">
        <v>231</v>
      </c>
      <c r="B98" s="22" t="str">
        <f t="shared" si="1"/>
        <v>afw.sqlite</v>
      </c>
    </row>
    <row r="99" spans="1:2" x14ac:dyDescent="0.2">
      <c r="A99" s="21" t="s">
        <v>232</v>
      </c>
      <c r="B99" s="22" t="str">
        <f t="shared" si="1"/>
        <v>yls.sqlite</v>
      </c>
    </row>
    <row r="100" spans="1:2" x14ac:dyDescent="0.2">
      <c r="A100" s="21" t="s">
        <v>233</v>
      </c>
      <c r="B100" s="22" t="str">
        <f t="shared" si="1"/>
        <v>bbd.sqlite</v>
      </c>
    </row>
    <row r="101" spans="1:2" x14ac:dyDescent="0.2">
      <c r="A101" s="21" t="s">
        <v>234</v>
      </c>
      <c r="B101" s="22" t="str">
        <f t="shared" si="1"/>
        <v>tgq.sqlite</v>
      </c>
    </row>
    <row r="102" spans="1:2" x14ac:dyDescent="0.2">
      <c r="A102" s="21" t="s">
        <v>235</v>
      </c>
      <c r="B102" s="22" t="str">
        <f t="shared" si="1"/>
        <v>eqh.sqlite</v>
      </c>
    </row>
    <row r="103" spans="1:2" x14ac:dyDescent="0.2">
      <c r="A103" s="21" t="s">
        <v>236</v>
      </c>
      <c r="B103" s="22" t="str">
        <f t="shared" si="1"/>
        <v>gqh.sqlite</v>
      </c>
    </row>
    <row r="104" spans="1:2" x14ac:dyDescent="0.2">
      <c r="A104" s="21" t="s">
        <v>237</v>
      </c>
      <c r="B104" s="22" t="str">
        <f t="shared" si="1"/>
        <v>htd.sqlite</v>
      </c>
    </row>
    <row r="105" spans="1:2" x14ac:dyDescent="0.2">
      <c r="A105" s="21" t="s">
        <v>238</v>
      </c>
      <c r="B105" s="22" t="str">
        <f t="shared" si="1"/>
        <v>rpt.sqlite</v>
      </c>
    </row>
    <row r="106" spans="1:2" x14ac:dyDescent="0.2">
      <c r="A106" s="21" t="s">
        <v>239</v>
      </c>
      <c r="B106" s="22" t="str">
        <f t="shared" si="1"/>
        <v>oxa.sqlite</v>
      </c>
    </row>
    <row r="107" spans="1:2" x14ac:dyDescent="0.2">
      <c r="A107" s="21" t="s">
        <v>240</v>
      </c>
      <c r="B107" s="22" t="str">
        <f t="shared" si="1"/>
        <v>pkm.sqlite</v>
      </c>
    </row>
    <row r="108" spans="1:2" x14ac:dyDescent="0.2">
      <c r="A108" s="21" t="s">
        <v>241</v>
      </c>
      <c r="B108" s="22" t="str">
        <f t="shared" si="1"/>
        <v>pid.sqlite</v>
      </c>
    </row>
    <row r="109" spans="1:2" x14ac:dyDescent="0.2">
      <c r="A109" s="21" t="s">
        <v>242</v>
      </c>
      <c r="B109" s="22" t="str">
        <f t="shared" si="1"/>
        <v>syl.sqlite</v>
      </c>
    </row>
    <row r="110" spans="1:2" x14ac:dyDescent="0.2">
      <c r="A110" s="21" t="s">
        <v>243</v>
      </c>
      <c r="B110" s="22" t="str">
        <f t="shared" si="1"/>
        <v>vyr.sqlite</v>
      </c>
    </row>
    <row r="111" spans="1:2" x14ac:dyDescent="0.2">
      <c r="A111" s="21" t="s">
        <v>244</v>
      </c>
      <c r="B111" s="22" t="str">
        <f t="shared" si="1"/>
        <v>wrl.sqlite</v>
      </c>
    </row>
    <row r="112" spans="1:2" x14ac:dyDescent="0.2">
      <c r="A112" s="21" t="s">
        <v>245</v>
      </c>
      <c r="B112" s="22" t="str">
        <f t="shared" si="1"/>
        <v>xsq.sqlite</v>
      </c>
    </row>
    <row r="113" spans="1:2" x14ac:dyDescent="0.2">
      <c r="A113" s="21" t="s">
        <v>246</v>
      </c>
      <c r="B113" s="22" t="str">
        <f t="shared" si="1"/>
        <v>lgq.sqlite</v>
      </c>
    </row>
    <row r="114" spans="1:2" x14ac:dyDescent="0.2">
      <c r="A114" s="21" t="s">
        <v>247</v>
      </c>
      <c r="B114" s="22" t="str">
        <f t="shared" si="1"/>
        <v>ibm.sqlite</v>
      </c>
    </row>
    <row r="115" spans="1:2" x14ac:dyDescent="0.2">
      <c r="A115" s="21" t="s">
        <v>248</v>
      </c>
      <c r="B115" s="22" t="str">
        <f t="shared" si="1"/>
        <v>diw.sqlite</v>
      </c>
    </row>
    <row r="116" spans="1:2" x14ac:dyDescent="0.2">
      <c r="A116" s="21" t="s">
        <v>249</v>
      </c>
      <c r="B116" s="22" t="str">
        <f t="shared" si="1"/>
        <v>efb.sqlite</v>
      </c>
    </row>
    <row r="117" spans="1:2" x14ac:dyDescent="0.2">
      <c r="A117" s="21" t="s">
        <v>250</v>
      </c>
      <c r="B117" s="22" t="str">
        <f t="shared" si="1"/>
        <v>jpl.sqlite</v>
      </c>
    </row>
    <row r="118" spans="1:2" x14ac:dyDescent="0.2">
      <c r="A118" s="21" t="s">
        <v>251</v>
      </c>
    </row>
    <row r="119" spans="1:2" x14ac:dyDescent="0.2">
      <c r="A119" s="21" t="s">
        <v>252</v>
      </c>
    </row>
    <row r="120" spans="1:2" x14ac:dyDescent="0.2">
      <c r="A120" s="21" t="s">
        <v>253</v>
      </c>
    </row>
    <row r="121" spans="1:2" x14ac:dyDescent="0.2">
      <c r="A121" s="21" t="s">
        <v>254</v>
      </c>
    </row>
    <row r="122" spans="1:2" x14ac:dyDescent="0.2">
      <c r="A122" s="21" t="s">
        <v>255</v>
      </c>
    </row>
    <row r="123" spans="1:2" x14ac:dyDescent="0.2">
      <c r="A123" s="21" t="s">
        <v>256</v>
      </c>
    </row>
    <row r="124" spans="1:2" x14ac:dyDescent="0.2">
      <c r="A124" s="21" t="s">
        <v>257</v>
      </c>
    </row>
    <row r="125" spans="1:2" x14ac:dyDescent="0.2">
      <c r="A125" s="21" t="s">
        <v>258</v>
      </c>
    </row>
    <row r="126" spans="1:2" x14ac:dyDescent="0.2">
      <c r="A126" s="21" t="s">
        <v>259</v>
      </c>
    </row>
    <row r="127" spans="1:2" x14ac:dyDescent="0.2">
      <c r="A127" s="21" t="s">
        <v>260</v>
      </c>
    </row>
    <row r="128" spans="1:2" x14ac:dyDescent="0.2">
      <c r="A128" s="21" t="s">
        <v>261</v>
      </c>
    </row>
    <row r="129" spans="1:1" x14ac:dyDescent="0.2">
      <c r="A129" s="21" t="s">
        <v>262</v>
      </c>
    </row>
    <row r="130" spans="1:1" x14ac:dyDescent="0.2">
      <c r="A130" s="21" t="s">
        <v>263</v>
      </c>
    </row>
    <row r="131" spans="1:1" x14ac:dyDescent="0.2">
      <c r="A131" s="21" t="s">
        <v>264</v>
      </c>
    </row>
    <row r="132" spans="1:1" x14ac:dyDescent="0.2">
      <c r="A132" s="21" t="s">
        <v>265</v>
      </c>
    </row>
    <row r="133" spans="1:1" x14ac:dyDescent="0.2">
      <c r="A133" s="21" t="s">
        <v>266</v>
      </c>
    </row>
    <row r="134" spans="1:1" x14ac:dyDescent="0.2">
      <c r="A134" s="21" t="s">
        <v>267</v>
      </c>
    </row>
    <row r="135" spans="1:1" x14ac:dyDescent="0.2">
      <c r="A135" s="21" t="s">
        <v>268</v>
      </c>
    </row>
    <row r="136" spans="1:1" x14ac:dyDescent="0.2">
      <c r="A136" s="21" t="s">
        <v>269</v>
      </c>
    </row>
    <row r="137" spans="1:1" x14ac:dyDescent="0.2">
      <c r="A137" s="21" t="s">
        <v>270</v>
      </c>
    </row>
    <row r="138" spans="1:1" x14ac:dyDescent="0.2">
      <c r="A138" s="21" t="s">
        <v>271</v>
      </c>
    </row>
    <row r="139" spans="1:1" x14ac:dyDescent="0.2">
      <c r="A139" s="21" t="s">
        <v>272</v>
      </c>
    </row>
    <row r="140" spans="1:1" x14ac:dyDescent="0.2">
      <c r="A140" s="21" t="s">
        <v>273</v>
      </c>
    </row>
    <row r="141" spans="1:1" x14ac:dyDescent="0.2">
      <c r="A141" s="21" t="s">
        <v>274</v>
      </c>
    </row>
    <row r="142" spans="1:1" x14ac:dyDescent="0.2">
      <c r="A142" s="21" t="s">
        <v>275</v>
      </c>
    </row>
    <row r="143" spans="1:1" x14ac:dyDescent="0.2">
      <c r="A143" s="21" t="s">
        <v>276</v>
      </c>
    </row>
    <row r="144" spans="1:1" x14ac:dyDescent="0.2">
      <c r="A144" s="21" t="s">
        <v>277</v>
      </c>
    </row>
    <row r="145" spans="1:1" x14ac:dyDescent="0.2">
      <c r="A145" s="21" t="s">
        <v>278</v>
      </c>
    </row>
    <row r="146" spans="1:1" x14ac:dyDescent="0.2">
      <c r="A146" s="21" t="s">
        <v>279</v>
      </c>
    </row>
    <row r="147" spans="1:1" x14ac:dyDescent="0.2">
      <c r="A147" s="21" t="s">
        <v>280</v>
      </c>
    </row>
    <row r="148" spans="1:1" x14ac:dyDescent="0.2">
      <c r="A148" s="21" t="s">
        <v>281</v>
      </c>
    </row>
    <row r="149" spans="1:1" x14ac:dyDescent="0.2">
      <c r="A149" s="21" t="s">
        <v>282</v>
      </c>
    </row>
    <row r="150" spans="1:1" x14ac:dyDescent="0.2">
      <c r="A150" s="21" t="s">
        <v>283</v>
      </c>
    </row>
    <row r="151" spans="1:1" x14ac:dyDescent="0.2">
      <c r="A151" s="21" t="s">
        <v>284</v>
      </c>
    </row>
    <row r="152" spans="1:1" x14ac:dyDescent="0.2">
      <c r="A152" s="21" t="s">
        <v>285</v>
      </c>
    </row>
    <row r="153" spans="1:1" x14ac:dyDescent="0.2">
      <c r="A153" s="21" t="s">
        <v>286</v>
      </c>
    </row>
    <row r="154" spans="1:1" x14ac:dyDescent="0.2">
      <c r="A154" s="21" t="s">
        <v>287</v>
      </c>
    </row>
    <row r="155" spans="1:1" x14ac:dyDescent="0.2">
      <c r="A155" s="21" t="s">
        <v>288</v>
      </c>
    </row>
    <row r="156" spans="1:1" x14ac:dyDescent="0.2">
      <c r="A156" s="21" t="s">
        <v>289</v>
      </c>
    </row>
    <row r="157" spans="1:1" x14ac:dyDescent="0.2">
      <c r="A157" s="21" t="s">
        <v>290</v>
      </c>
    </row>
    <row r="158" spans="1:1" x14ac:dyDescent="0.2">
      <c r="A158" s="21" t="s">
        <v>291</v>
      </c>
    </row>
    <row r="159" spans="1:1" x14ac:dyDescent="0.2">
      <c r="A159" s="21" t="s">
        <v>292</v>
      </c>
    </row>
    <row r="160" spans="1:1" x14ac:dyDescent="0.2">
      <c r="A160" s="21" t="s">
        <v>293</v>
      </c>
    </row>
    <row r="161" spans="1:1" x14ac:dyDescent="0.2">
      <c r="A161" s="21" t="s">
        <v>294</v>
      </c>
    </row>
    <row r="162" spans="1:1" x14ac:dyDescent="0.2">
      <c r="A162" s="21" t="s">
        <v>295</v>
      </c>
    </row>
    <row r="163" spans="1:1" x14ac:dyDescent="0.2">
      <c r="A163" s="21" t="s">
        <v>296</v>
      </c>
    </row>
    <row r="164" spans="1:1" x14ac:dyDescent="0.2">
      <c r="A164" s="21" t="s">
        <v>297</v>
      </c>
    </row>
    <row r="165" spans="1:1" x14ac:dyDescent="0.2">
      <c r="A165" s="21" t="s">
        <v>298</v>
      </c>
    </row>
    <row r="166" spans="1:1" x14ac:dyDescent="0.2">
      <c r="A166" s="21" t="s">
        <v>299</v>
      </c>
    </row>
    <row r="167" spans="1:1" x14ac:dyDescent="0.2">
      <c r="A167" s="21" t="s">
        <v>300</v>
      </c>
    </row>
    <row r="168" spans="1:1" x14ac:dyDescent="0.2">
      <c r="A168" s="21" t="s">
        <v>301</v>
      </c>
    </row>
    <row r="169" spans="1:1" x14ac:dyDescent="0.2">
      <c r="A169" s="21" t="s">
        <v>302</v>
      </c>
    </row>
    <row r="170" spans="1:1" x14ac:dyDescent="0.2">
      <c r="A170" s="21" t="s">
        <v>303</v>
      </c>
    </row>
    <row r="171" spans="1:1" x14ac:dyDescent="0.2">
      <c r="A171" s="21" t="s">
        <v>304</v>
      </c>
    </row>
    <row r="172" spans="1:1" x14ac:dyDescent="0.2">
      <c r="A172" s="21" t="s">
        <v>305</v>
      </c>
    </row>
    <row r="173" spans="1:1" x14ac:dyDescent="0.2">
      <c r="A173" s="21" t="s">
        <v>306</v>
      </c>
    </row>
    <row r="174" spans="1:1" x14ac:dyDescent="0.2">
      <c r="A174" s="21" t="s">
        <v>307</v>
      </c>
    </row>
    <row r="175" spans="1:1" x14ac:dyDescent="0.2">
      <c r="A175" s="21" t="s">
        <v>308</v>
      </c>
    </row>
    <row r="176" spans="1:1" x14ac:dyDescent="0.2">
      <c r="A176" s="21" t="s">
        <v>309</v>
      </c>
    </row>
    <row r="177" spans="1:1" x14ac:dyDescent="0.2">
      <c r="A177" s="21" t="s">
        <v>310</v>
      </c>
    </row>
    <row r="178" spans="1:1" x14ac:dyDescent="0.2">
      <c r="A178" s="21" t="s">
        <v>311</v>
      </c>
    </row>
    <row r="179" spans="1:1" x14ac:dyDescent="0.2">
      <c r="A179" s="21" t="s">
        <v>312</v>
      </c>
    </row>
    <row r="180" spans="1:1" x14ac:dyDescent="0.2">
      <c r="A180" s="21" t="s">
        <v>313</v>
      </c>
    </row>
    <row r="181" spans="1:1" x14ac:dyDescent="0.2">
      <c r="A181" s="21" t="s">
        <v>314</v>
      </c>
    </row>
    <row r="182" spans="1:1" x14ac:dyDescent="0.2">
      <c r="A182" s="21" t="s">
        <v>315</v>
      </c>
    </row>
    <row r="183" spans="1:1" x14ac:dyDescent="0.2">
      <c r="A183" s="21" t="s">
        <v>316</v>
      </c>
    </row>
    <row r="184" spans="1:1" x14ac:dyDescent="0.2">
      <c r="A184" s="21" t="s">
        <v>317</v>
      </c>
    </row>
    <row r="185" spans="1:1" x14ac:dyDescent="0.2">
      <c r="A185" s="21" t="s">
        <v>318</v>
      </c>
    </row>
    <row r="186" spans="1:1" x14ac:dyDescent="0.2">
      <c r="A186" s="21" t="s">
        <v>319</v>
      </c>
    </row>
    <row r="187" spans="1:1" x14ac:dyDescent="0.2">
      <c r="A187" s="21" t="s">
        <v>320</v>
      </c>
    </row>
    <row r="188" spans="1:1" x14ac:dyDescent="0.2">
      <c r="A188" s="21" t="s">
        <v>321</v>
      </c>
    </row>
    <row r="189" spans="1:1" x14ac:dyDescent="0.2">
      <c r="A189" s="21" t="s">
        <v>322</v>
      </c>
    </row>
    <row r="190" spans="1:1" x14ac:dyDescent="0.2">
      <c r="A190" s="21" t="s">
        <v>323</v>
      </c>
    </row>
    <row r="191" spans="1:1" x14ac:dyDescent="0.2">
      <c r="A191" s="21" t="s">
        <v>324</v>
      </c>
    </row>
    <row r="192" spans="1:1" x14ac:dyDescent="0.2">
      <c r="A192" s="21" t="s">
        <v>325</v>
      </c>
    </row>
    <row r="193" spans="1:1" x14ac:dyDescent="0.2">
      <c r="A193" s="21" t="s">
        <v>326</v>
      </c>
    </row>
    <row r="194" spans="1:1" x14ac:dyDescent="0.2">
      <c r="A194" s="21" t="s">
        <v>327</v>
      </c>
    </row>
    <row r="195" spans="1:1" x14ac:dyDescent="0.2">
      <c r="A195" s="21" t="s">
        <v>328</v>
      </c>
    </row>
    <row r="196" spans="1:1" x14ac:dyDescent="0.2">
      <c r="A196" s="21" t="s">
        <v>329</v>
      </c>
    </row>
    <row r="197" spans="1:1" x14ac:dyDescent="0.2">
      <c r="A197" s="21" t="s">
        <v>330</v>
      </c>
    </row>
    <row r="198" spans="1:1" x14ac:dyDescent="0.2">
      <c r="A198" s="21" t="s">
        <v>331</v>
      </c>
    </row>
    <row r="199" spans="1:1" x14ac:dyDescent="0.2">
      <c r="A199" s="21" t="s">
        <v>332</v>
      </c>
    </row>
    <row r="200" spans="1:1" x14ac:dyDescent="0.2">
      <c r="A200" s="21" t="s">
        <v>333</v>
      </c>
    </row>
    <row r="201" spans="1:1" x14ac:dyDescent="0.2">
      <c r="A201" s="21" t="s">
        <v>334</v>
      </c>
    </row>
  </sheetData>
  <conditionalFormatting sqref="A2:A201">
    <cfRule type="duplicateValues" dxfId="3" priority="1"/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2EE0-AB19-4470-91A9-E927FC6BB72D}">
  <dimension ref="A1:C25"/>
  <sheetViews>
    <sheetView workbookViewId="0">
      <selection activeCell="G24" sqref="G24"/>
    </sheetView>
  </sheetViews>
  <sheetFormatPr defaultRowHeight="15" x14ac:dyDescent="0.25"/>
  <sheetData>
    <row r="1" spans="1:3" x14ac:dyDescent="0.25">
      <c r="A1" t="s">
        <v>77</v>
      </c>
      <c r="B1" t="s">
        <v>102</v>
      </c>
      <c r="C1" t="s">
        <v>103</v>
      </c>
    </row>
    <row r="2" spans="1:3" x14ac:dyDescent="0.25">
      <c r="A2" t="s">
        <v>78</v>
      </c>
      <c r="B2">
        <v>1</v>
      </c>
      <c r="C2">
        <f>ROUND(SIN(PI()*(ROW(C2)-2)/23)^2, 3)</f>
        <v>0</v>
      </c>
    </row>
    <row r="3" spans="1:3" x14ac:dyDescent="0.25">
      <c r="A3" t="s">
        <v>79</v>
      </c>
      <c r="B3">
        <v>1</v>
      </c>
      <c r="C3">
        <f t="shared" ref="C3:C25" si="0">ROUND(SIN(PI()*(ROW(C3)-2)/23)^2, 3)</f>
        <v>1.9E-2</v>
      </c>
    </row>
    <row r="4" spans="1:3" x14ac:dyDescent="0.25">
      <c r="A4" t="s">
        <v>80</v>
      </c>
      <c r="B4">
        <v>1</v>
      </c>
      <c r="C4">
        <f t="shared" si="0"/>
        <v>7.2999999999999995E-2</v>
      </c>
    </row>
    <row r="5" spans="1:3" x14ac:dyDescent="0.25">
      <c r="A5" t="s">
        <v>81</v>
      </c>
      <c r="B5">
        <v>1</v>
      </c>
      <c r="C5">
        <f t="shared" si="0"/>
        <v>0.159</v>
      </c>
    </row>
    <row r="6" spans="1:3" x14ac:dyDescent="0.25">
      <c r="A6" t="s">
        <v>82</v>
      </c>
      <c r="B6">
        <v>1</v>
      </c>
      <c r="C6">
        <f t="shared" si="0"/>
        <v>0.27</v>
      </c>
    </row>
    <row r="7" spans="1:3" x14ac:dyDescent="0.25">
      <c r="A7" t="s">
        <v>83</v>
      </c>
      <c r="B7">
        <v>1</v>
      </c>
      <c r="C7">
        <f t="shared" si="0"/>
        <v>0.39800000000000002</v>
      </c>
    </row>
    <row r="8" spans="1:3" x14ac:dyDescent="0.25">
      <c r="A8" t="s">
        <v>84</v>
      </c>
      <c r="B8">
        <v>1</v>
      </c>
      <c r="C8">
        <f t="shared" si="0"/>
        <v>0.53400000000000003</v>
      </c>
    </row>
    <row r="9" spans="1:3" x14ac:dyDescent="0.25">
      <c r="A9" t="s">
        <v>85</v>
      </c>
      <c r="B9">
        <v>1</v>
      </c>
      <c r="C9">
        <f t="shared" si="0"/>
        <v>0.66700000000000004</v>
      </c>
    </row>
    <row r="10" spans="1:3" x14ac:dyDescent="0.25">
      <c r="A10" t="s">
        <v>86</v>
      </c>
      <c r="B10">
        <v>1</v>
      </c>
      <c r="C10">
        <f t="shared" si="0"/>
        <v>0.78800000000000003</v>
      </c>
    </row>
    <row r="11" spans="1:3" x14ac:dyDescent="0.25">
      <c r="A11" t="s">
        <v>87</v>
      </c>
      <c r="B11">
        <v>1</v>
      </c>
      <c r="C11">
        <f t="shared" si="0"/>
        <v>0.88800000000000001</v>
      </c>
    </row>
    <row r="12" spans="1:3" x14ac:dyDescent="0.25">
      <c r="A12" t="s">
        <v>88</v>
      </c>
      <c r="B12">
        <v>1</v>
      </c>
      <c r="C12">
        <f t="shared" si="0"/>
        <v>0.95899999999999996</v>
      </c>
    </row>
    <row r="13" spans="1:3" x14ac:dyDescent="0.25">
      <c r="A13" t="s">
        <v>89</v>
      </c>
      <c r="B13">
        <v>1</v>
      </c>
      <c r="C13">
        <f t="shared" si="0"/>
        <v>0.995</v>
      </c>
    </row>
    <row r="14" spans="1:3" x14ac:dyDescent="0.25">
      <c r="A14" t="s">
        <v>90</v>
      </c>
      <c r="B14">
        <v>1</v>
      </c>
      <c r="C14">
        <f t="shared" si="0"/>
        <v>0.995</v>
      </c>
    </row>
    <row r="15" spans="1:3" x14ac:dyDescent="0.25">
      <c r="A15" t="s">
        <v>91</v>
      </c>
      <c r="B15">
        <v>1</v>
      </c>
      <c r="C15">
        <f t="shared" si="0"/>
        <v>0.95899999999999996</v>
      </c>
    </row>
    <row r="16" spans="1:3" x14ac:dyDescent="0.25">
      <c r="A16" t="s">
        <v>92</v>
      </c>
      <c r="B16">
        <v>1</v>
      </c>
      <c r="C16">
        <f t="shared" si="0"/>
        <v>0.88800000000000001</v>
      </c>
    </row>
    <row r="17" spans="1:3" x14ac:dyDescent="0.25">
      <c r="A17" t="s">
        <v>93</v>
      </c>
      <c r="B17">
        <v>1</v>
      </c>
      <c r="C17">
        <f t="shared" si="0"/>
        <v>0.78800000000000003</v>
      </c>
    </row>
    <row r="18" spans="1:3" x14ac:dyDescent="0.25">
      <c r="A18" t="s">
        <v>94</v>
      </c>
      <c r="B18">
        <v>1</v>
      </c>
      <c r="C18">
        <f t="shared" si="0"/>
        <v>0.66700000000000004</v>
      </c>
    </row>
    <row r="19" spans="1:3" x14ac:dyDescent="0.25">
      <c r="A19" t="s">
        <v>95</v>
      </c>
      <c r="B19">
        <v>1</v>
      </c>
      <c r="C19">
        <f t="shared" si="0"/>
        <v>0.53400000000000003</v>
      </c>
    </row>
    <row r="20" spans="1:3" x14ac:dyDescent="0.25">
      <c r="A20" t="s">
        <v>96</v>
      </c>
      <c r="B20">
        <v>1</v>
      </c>
      <c r="C20">
        <f t="shared" si="0"/>
        <v>0.39800000000000002</v>
      </c>
    </row>
    <row r="21" spans="1:3" x14ac:dyDescent="0.25">
      <c r="A21" t="s">
        <v>97</v>
      </c>
      <c r="B21">
        <v>1</v>
      </c>
      <c r="C21">
        <f t="shared" si="0"/>
        <v>0.27</v>
      </c>
    </row>
    <row r="22" spans="1:3" x14ac:dyDescent="0.25">
      <c r="A22" t="s">
        <v>98</v>
      </c>
      <c r="B22">
        <v>1</v>
      </c>
      <c r="C22">
        <f t="shared" si="0"/>
        <v>0.159</v>
      </c>
    </row>
    <row r="23" spans="1:3" x14ac:dyDescent="0.25">
      <c r="A23" t="s">
        <v>99</v>
      </c>
      <c r="B23">
        <v>1</v>
      </c>
      <c r="C23">
        <f t="shared" si="0"/>
        <v>7.2999999999999995E-2</v>
      </c>
    </row>
    <row r="24" spans="1:3" x14ac:dyDescent="0.25">
      <c r="A24" t="s">
        <v>100</v>
      </c>
      <c r="B24">
        <v>1</v>
      </c>
      <c r="C24">
        <f t="shared" si="0"/>
        <v>1.9E-2</v>
      </c>
    </row>
    <row r="25" spans="1:3" x14ac:dyDescent="0.25">
      <c r="A25" t="s">
        <v>101</v>
      </c>
      <c r="B25">
        <v>1</v>
      </c>
      <c r="C25">
        <f t="shared" si="0"/>
        <v>0</v>
      </c>
    </row>
  </sheetData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A13C-2F25-4755-A089-B3CD2C022077}">
  <dimension ref="A1:AG1845"/>
  <sheetViews>
    <sheetView topLeftCell="L1" zoomScale="70" zoomScaleNormal="70" workbookViewId="0">
      <selection activeCell="Y9" sqref="Y9"/>
    </sheetView>
  </sheetViews>
  <sheetFormatPr defaultRowHeight="15" x14ac:dyDescent="0.25"/>
  <cols>
    <col min="7" max="7" width="18.42578125" customWidth="1"/>
    <col min="10" max="10" width="18.85546875" bestFit="1" customWidth="1"/>
    <col min="11" max="11" width="23.28515625" bestFit="1" customWidth="1"/>
    <col min="12" max="12" width="23.28515625" customWidth="1"/>
    <col min="13" max="13" width="21.5703125" customWidth="1"/>
    <col min="14" max="14" width="20.5703125" bestFit="1" customWidth="1"/>
    <col min="15" max="15" width="21.85546875" bestFit="1" customWidth="1"/>
    <col min="17" max="17" width="13.7109375" customWidth="1"/>
    <col min="18" max="18" width="15.28515625" bestFit="1" customWidth="1"/>
    <col min="19" max="19" width="23.42578125" bestFit="1" customWidth="1"/>
    <col min="20" max="20" width="17.85546875" customWidth="1"/>
    <col min="21" max="21" width="9.140625" customWidth="1"/>
    <col min="22" max="22" width="21.140625" customWidth="1"/>
    <col min="23" max="23" width="11.5703125" bestFit="1" customWidth="1"/>
    <col min="24" max="24" width="19.7109375" customWidth="1"/>
    <col min="25" max="26" width="13.42578125" customWidth="1"/>
    <col min="27" max="27" width="17" customWidth="1"/>
    <col min="28" max="28" width="23.5703125" customWidth="1"/>
    <col min="29" max="29" width="19.7109375" customWidth="1"/>
    <col min="30" max="30" width="21.28515625" customWidth="1"/>
    <col min="31" max="31" width="14.140625" customWidth="1"/>
    <col min="32" max="32" width="15.5703125" customWidth="1"/>
  </cols>
  <sheetData>
    <row r="1" spans="1:33" x14ac:dyDescent="0.25">
      <c r="A1" t="s">
        <v>37</v>
      </c>
      <c r="B1" t="s">
        <v>36</v>
      </c>
      <c r="C1" t="s">
        <v>35</v>
      </c>
      <c r="D1" t="s">
        <v>34</v>
      </c>
      <c r="E1" t="s">
        <v>33</v>
      </c>
      <c r="F1" t="s">
        <v>32</v>
      </c>
      <c r="G1" t="s">
        <v>31</v>
      </c>
      <c r="H1" t="s">
        <v>30</v>
      </c>
      <c r="I1" t="s">
        <v>29</v>
      </c>
      <c r="J1" t="s">
        <v>28</v>
      </c>
      <c r="K1" t="s">
        <v>27</v>
      </c>
      <c r="L1" t="s">
        <v>26</v>
      </c>
      <c r="M1" t="s">
        <v>25</v>
      </c>
      <c r="N1" t="s">
        <v>24</v>
      </c>
      <c r="O1" t="s">
        <v>23</v>
      </c>
      <c r="P1" t="s">
        <v>22</v>
      </c>
    </row>
    <row r="2" spans="1:33" x14ac:dyDescent="0.25">
      <c r="A2">
        <v>66</v>
      </c>
      <c r="B2">
        <v>862</v>
      </c>
      <c r="C2">
        <v>1618</v>
      </c>
      <c r="D2">
        <v>2.14</v>
      </c>
      <c r="E2">
        <v>47673</v>
      </c>
      <c r="F2">
        <v>0</v>
      </c>
      <c r="G2">
        <v>47673000</v>
      </c>
      <c r="H2">
        <v>401</v>
      </c>
      <c r="I2">
        <v>46100</v>
      </c>
      <c r="J2" s="2">
        <f t="shared" ref="J2:J65" si="0">I2*D2</f>
        <v>98654</v>
      </c>
      <c r="K2">
        <v>1</v>
      </c>
      <c r="L2" s="3">
        <f>SUM($I$2:$I2)</f>
        <v>46100</v>
      </c>
      <c r="M2" s="3">
        <f>SUM($J$2:$J2)</f>
        <v>98654</v>
      </c>
      <c r="N2" s="2">
        <f>SUM($D$2:$D2)</f>
        <v>2.14</v>
      </c>
      <c r="O2" s="2">
        <f t="shared" ref="O2:O65" si="1">N2/$T$4</f>
        <v>1.2752988907283394E-4</v>
      </c>
      <c r="P2" s="2" cm="1">
        <f t="array" ref="P2">SUMPRODUCT((O2&gt;$T$9:$T$14)*(O2&lt;=$U$9:$U$14),$S$9:$S$14)</f>
        <v>1</v>
      </c>
    </row>
    <row r="3" spans="1:33" x14ac:dyDescent="0.25">
      <c r="A3">
        <v>905</v>
      </c>
      <c r="B3">
        <v>531</v>
      </c>
      <c r="C3">
        <v>171</v>
      </c>
      <c r="D3">
        <v>1.01</v>
      </c>
      <c r="E3">
        <v>10116</v>
      </c>
      <c r="F3">
        <v>0</v>
      </c>
      <c r="G3">
        <v>10116000</v>
      </c>
      <c r="H3" t="s">
        <v>20</v>
      </c>
      <c r="I3">
        <v>45900</v>
      </c>
      <c r="J3" s="2">
        <f t="shared" si="0"/>
        <v>46359</v>
      </c>
      <c r="K3">
        <v>2</v>
      </c>
      <c r="L3" s="3">
        <f>SUM($I$2:$I3)</f>
        <v>92000</v>
      </c>
      <c r="M3" s="3">
        <f>SUM($J$2:$J3)</f>
        <v>145013</v>
      </c>
      <c r="N3" s="2">
        <f>SUM($D$2:$D3)</f>
        <v>3.1500000000000004</v>
      </c>
      <c r="O3" s="2">
        <f t="shared" si="1"/>
        <v>1.8771922924272288E-4</v>
      </c>
      <c r="P3" s="2" cm="1">
        <f t="array" ref="P3">SUMPRODUCT((O3&gt;$T$9:$T$14)*(O3&lt;=$U$9:$U$14),$S$9:$S$14)</f>
        <v>1</v>
      </c>
      <c r="R3" t="s">
        <v>40</v>
      </c>
      <c r="S3" t="s">
        <v>39</v>
      </c>
      <c r="T3" t="s">
        <v>38</v>
      </c>
    </row>
    <row r="4" spans="1:33" x14ac:dyDescent="0.25">
      <c r="A4">
        <v>1549</v>
      </c>
      <c r="B4">
        <v>381</v>
      </c>
      <c r="C4">
        <v>1525</v>
      </c>
      <c r="D4">
        <v>4.59</v>
      </c>
      <c r="E4">
        <v>47730</v>
      </c>
      <c r="F4">
        <v>0</v>
      </c>
      <c r="G4">
        <v>47730000</v>
      </c>
      <c r="H4">
        <v>401</v>
      </c>
      <c r="I4">
        <v>45000</v>
      </c>
      <c r="J4" s="2">
        <f t="shared" si="0"/>
        <v>206550</v>
      </c>
      <c r="K4">
        <v>3</v>
      </c>
      <c r="L4" s="3">
        <f>SUM($I$2:$I4)</f>
        <v>137000</v>
      </c>
      <c r="M4" s="3">
        <f>SUM($J$2:$J4)</f>
        <v>351563</v>
      </c>
      <c r="N4" s="2">
        <f>SUM($D$2:$D4)</f>
        <v>7.74</v>
      </c>
      <c r="O4" s="2">
        <f t="shared" si="1"/>
        <v>4.6125296328211905E-4</v>
      </c>
      <c r="P4" s="2" cm="1">
        <f t="array" ref="P4">SUMPRODUCT((O4&gt;$T$9:$T$14)*(O4&lt;=$U$9:$U$14),$S$9:$S$14)</f>
        <v>1</v>
      </c>
      <c r="R4" s="3">
        <f>SUM($I$2:$I$1845)</f>
        <v>6345680</v>
      </c>
      <c r="S4" s="3">
        <f>SUM($J$2:$J$1845)</f>
        <v>25360717.499999981</v>
      </c>
      <c r="T4" s="2">
        <f>SUM(D2:D1854)</f>
        <v>16780.37999999999</v>
      </c>
    </row>
    <row r="5" spans="1:33" x14ac:dyDescent="0.25">
      <c r="A5">
        <v>904</v>
      </c>
      <c r="B5">
        <v>530</v>
      </c>
      <c r="C5">
        <v>170</v>
      </c>
      <c r="D5">
        <v>0.81</v>
      </c>
      <c r="E5">
        <v>10120</v>
      </c>
      <c r="F5">
        <v>0</v>
      </c>
      <c r="G5">
        <v>10120000</v>
      </c>
      <c r="H5" t="s">
        <v>20</v>
      </c>
      <c r="I5">
        <v>42900</v>
      </c>
      <c r="J5" s="2">
        <f t="shared" si="0"/>
        <v>34749</v>
      </c>
      <c r="K5">
        <v>4</v>
      </c>
      <c r="L5" s="3">
        <f>SUM($I$2:$I5)</f>
        <v>179900</v>
      </c>
      <c r="M5" s="3">
        <f>SUM($J$2:$J5)</f>
        <v>386312</v>
      </c>
      <c r="N5" s="2">
        <f>SUM($D$2:$D5)</f>
        <v>8.5500000000000007</v>
      </c>
      <c r="O5" s="2">
        <f t="shared" si="1"/>
        <v>5.095236222302478E-4</v>
      </c>
      <c r="P5" s="2" cm="1">
        <f t="array" ref="P5">SUMPRODUCT((O5&gt;$T$9:$T$14)*(O5&lt;=$U$9:$U$14),$S$9:$S$14)</f>
        <v>1</v>
      </c>
    </row>
    <row r="6" spans="1:33" x14ac:dyDescent="0.25">
      <c r="A6">
        <v>903</v>
      </c>
      <c r="B6">
        <v>529</v>
      </c>
      <c r="C6">
        <v>168</v>
      </c>
      <c r="D6">
        <v>1.92</v>
      </c>
      <c r="E6">
        <v>10121</v>
      </c>
      <c r="F6">
        <v>0</v>
      </c>
      <c r="G6">
        <v>10121000</v>
      </c>
      <c r="H6" t="s">
        <v>20</v>
      </c>
      <c r="I6">
        <v>42400</v>
      </c>
      <c r="J6" s="2">
        <f t="shared" si="0"/>
        <v>81408</v>
      </c>
      <c r="K6">
        <v>5</v>
      </c>
      <c r="L6" s="3">
        <f>SUM($I$2:$I6)</f>
        <v>222300</v>
      </c>
      <c r="M6" s="3">
        <f>SUM($J$2:$J6)</f>
        <v>467720</v>
      </c>
      <c r="N6" s="2">
        <f>SUM($D$2:$D6)</f>
        <v>10.47</v>
      </c>
      <c r="O6" s="2">
        <f t="shared" si="1"/>
        <v>6.2394296195914553E-4</v>
      </c>
      <c r="P6" s="2" cm="1">
        <f t="array" ref="P6">SUMPRODUCT((O6&gt;$T$9:$T$14)*(O6&lt;=$U$9:$U$14),$S$9:$S$14)</f>
        <v>1</v>
      </c>
    </row>
    <row r="7" spans="1:33" x14ac:dyDescent="0.25">
      <c r="A7">
        <v>1627</v>
      </c>
      <c r="B7">
        <v>1627</v>
      </c>
      <c r="C7">
        <v>2120</v>
      </c>
      <c r="D7">
        <v>1.45</v>
      </c>
      <c r="E7">
        <v>47660</v>
      </c>
      <c r="F7">
        <v>0</v>
      </c>
      <c r="G7">
        <v>47660000</v>
      </c>
      <c r="H7">
        <v>401</v>
      </c>
      <c r="I7">
        <v>42100</v>
      </c>
      <c r="J7" s="2">
        <f t="shared" si="0"/>
        <v>61045</v>
      </c>
      <c r="K7">
        <v>6</v>
      </c>
      <c r="L7" s="3">
        <f>SUM($I$2:$I7)</f>
        <v>264400</v>
      </c>
      <c r="M7" s="3">
        <f>SUM($J$2:$J7)</f>
        <v>528765</v>
      </c>
      <c r="N7" s="2">
        <f>SUM($D$2:$D7)</f>
        <v>11.92</v>
      </c>
      <c r="O7" s="2">
        <f t="shared" si="1"/>
        <v>7.1035340081690684E-4</v>
      </c>
      <c r="P7" s="2" cm="1">
        <f t="array" ref="P7">SUMPRODUCT((O7&gt;$T$9:$T$14)*(O7&lt;=$U$9:$U$14),$S$9:$S$14)</f>
        <v>1</v>
      </c>
      <c r="R7" t="s">
        <v>51</v>
      </c>
    </row>
    <row r="8" spans="1:33" ht="30" x14ac:dyDescent="0.25">
      <c r="A8">
        <v>377</v>
      </c>
      <c r="B8">
        <v>1172</v>
      </c>
      <c r="C8">
        <v>2056</v>
      </c>
      <c r="D8">
        <v>1.41</v>
      </c>
      <c r="E8">
        <v>47661</v>
      </c>
      <c r="F8">
        <v>0</v>
      </c>
      <c r="G8">
        <v>47661000</v>
      </c>
      <c r="H8">
        <v>401</v>
      </c>
      <c r="I8">
        <v>41800</v>
      </c>
      <c r="J8" s="2">
        <f t="shared" si="0"/>
        <v>58938</v>
      </c>
      <c r="K8">
        <v>7</v>
      </c>
      <c r="L8" s="3">
        <f>SUM($I$2:$I8)</f>
        <v>306200</v>
      </c>
      <c r="M8" s="3">
        <f>SUM($J$2:$J8)</f>
        <v>587703</v>
      </c>
      <c r="N8" s="2">
        <f>SUM($D$2:$D8)</f>
        <v>13.33</v>
      </c>
      <c r="O8" s="2">
        <f t="shared" si="1"/>
        <v>7.9438010343031609E-4</v>
      </c>
      <c r="P8" s="2" cm="1">
        <f t="array" ref="P8">SUMPRODUCT((O8&gt;$T$9:$T$14)*(O8&lt;=$U$9:$U$14),$S$9:$S$14)</f>
        <v>1</v>
      </c>
      <c r="R8" s="1" t="s">
        <v>50</v>
      </c>
      <c r="S8" s="1" t="s">
        <v>22</v>
      </c>
      <c r="T8" s="1" t="s">
        <v>49</v>
      </c>
      <c r="U8" s="1" t="s">
        <v>48</v>
      </c>
      <c r="V8" s="1" t="s">
        <v>47</v>
      </c>
      <c r="W8" s="1" t="s">
        <v>46</v>
      </c>
      <c r="X8" s="1" t="s">
        <v>26</v>
      </c>
      <c r="Y8" s="1" t="s">
        <v>339</v>
      </c>
      <c r="Z8" s="1" t="s">
        <v>45</v>
      </c>
      <c r="AA8" s="1" t="s">
        <v>44</v>
      </c>
      <c r="AB8" s="1" t="s">
        <v>43</v>
      </c>
      <c r="AC8" s="1"/>
      <c r="AD8" s="1" t="s">
        <v>42</v>
      </c>
      <c r="AE8" s="1" t="s">
        <v>41</v>
      </c>
    </row>
    <row r="9" spans="1:33" x14ac:dyDescent="0.25">
      <c r="A9">
        <v>85</v>
      </c>
      <c r="B9">
        <v>881</v>
      </c>
      <c r="C9">
        <v>1638</v>
      </c>
      <c r="D9">
        <v>0.76</v>
      </c>
      <c r="E9">
        <v>47671</v>
      </c>
      <c r="F9">
        <v>0</v>
      </c>
      <c r="G9">
        <v>47671000</v>
      </c>
      <c r="H9">
        <v>401</v>
      </c>
      <c r="I9">
        <v>40500</v>
      </c>
      <c r="J9" s="2">
        <f t="shared" si="0"/>
        <v>30780</v>
      </c>
      <c r="K9">
        <v>8</v>
      </c>
      <c r="L9" s="3">
        <f>SUM($I$2:$I9)</f>
        <v>346700</v>
      </c>
      <c r="M9" s="3">
        <f>SUM($J$2:$J9)</f>
        <v>618483</v>
      </c>
      <c r="N9" s="2">
        <f>SUM($D$2:$D9)</f>
        <v>14.09</v>
      </c>
      <c r="O9" s="2">
        <f t="shared" si="1"/>
        <v>8.3967109207300477E-4</v>
      </c>
      <c r="P9" s="2" cm="1">
        <f t="array" ref="P9">SUMPRODUCT((O9&gt;$T$9:$T$14)*(O9&lt;=$U$9:$U$14),$S$9:$S$14)</f>
        <v>1</v>
      </c>
      <c r="R9" s="11">
        <v>0.05</v>
      </c>
      <c r="S9">
        <v>1</v>
      </c>
      <c r="T9" s="9">
        <v>0</v>
      </c>
      <c r="U9" s="10">
        <f>R9</f>
        <v>0.05</v>
      </c>
      <c r="V9" s="8">
        <f t="shared" ref="V9:V13" si="2">(R9-0)*$T$4</f>
        <v>839.01899999999955</v>
      </c>
      <c r="W9" s="8">
        <f>R9*$T$4</f>
        <v>839.01899999999955</v>
      </c>
      <c r="X9" s="3">
        <f t="shared" ref="X9:X13" si="3">SUMIF($N$2:$N$1845,"&lt;="&amp;$V9,$I$2:$I$1845)</f>
        <v>4344750</v>
      </c>
      <c r="Y9" s="12">
        <f t="shared" ref="Y9:Y13" si="4">X9/$R$4</f>
        <v>0.68467839538079445</v>
      </c>
      <c r="Z9" s="12">
        <f>Y9</f>
        <v>0.68467839538079445</v>
      </c>
      <c r="AA9" s="18">
        <f>SUMIF($P$2:$P$1845,$S9,$J$2:$J$1845)/W9</f>
        <v>15829.446651386927</v>
      </c>
      <c r="AB9" s="3">
        <f t="shared" ref="AB9:AB13" si="5">AA9*Y9</f>
        <v>10838.080133037491</v>
      </c>
      <c r="AC9" s="6"/>
      <c r="AD9" s="5">
        <f t="shared" ref="AD9:AD14" si="6">AA9*W9</f>
        <v>13281206.5</v>
      </c>
      <c r="AE9" s="4">
        <f t="shared" ref="AE9:AE14" si="7">AD9/SUM($AD$9:$AD$14)</f>
        <v>0.52369206431166626</v>
      </c>
      <c r="AG9" s="14"/>
    </row>
    <row r="10" spans="1:33" x14ac:dyDescent="0.25">
      <c r="A10">
        <v>1610</v>
      </c>
      <c r="B10">
        <v>1610</v>
      </c>
      <c r="C10">
        <v>2100</v>
      </c>
      <c r="D10">
        <v>2.48</v>
      </c>
      <c r="E10">
        <v>47663</v>
      </c>
      <c r="F10">
        <v>0</v>
      </c>
      <c r="G10">
        <v>47663000</v>
      </c>
      <c r="H10">
        <v>401</v>
      </c>
      <c r="I10">
        <v>40300</v>
      </c>
      <c r="J10" s="2">
        <f t="shared" si="0"/>
        <v>99944</v>
      </c>
      <c r="K10">
        <v>9</v>
      </c>
      <c r="L10" s="3">
        <f>SUM($I$2:$I10)</f>
        <v>387000</v>
      </c>
      <c r="M10" s="3">
        <f>SUM($J$2:$J10)</f>
        <v>718427</v>
      </c>
      <c r="N10" s="2">
        <f>SUM($D$2:$D10)</f>
        <v>16.57</v>
      </c>
      <c r="O10" s="2">
        <f t="shared" si="1"/>
        <v>9.874627392228311E-4</v>
      </c>
      <c r="P10" s="2" cm="1">
        <f t="array" ref="P10">SUMPRODUCT((O10&gt;$T$9:$T$14)*(O10&lt;=$U$9:$U$14),$S$9:$S$14)</f>
        <v>1</v>
      </c>
      <c r="R10" s="11">
        <v>0.1</v>
      </c>
      <c r="S10">
        <v>2</v>
      </c>
      <c r="T10" s="10">
        <f>R9</f>
        <v>0.05</v>
      </c>
      <c r="U10" s="10">
        <f>R10</f>
        <v>0.1</v>
      </c>
      <c r="V10" s="8">
        <f t="shared" si="2"/>
        <v>1678.0379999999991</v>
      </c>
      <c r="W10" s="8">
        <f>(R10-R9)*$T$4</f>
        <v>839.01899999999955</v>
      </c>
      <c r="X10" s="3">
        <f t="shared" si="3"/>
        <v>5379750</v>
      </c>
      <c r="Y10" s="12">
        <f t="shared" si="4"/>
        <v>0.84778148283556687</v>
      </c>
      <c r="Z10" s="12">
        <f>Y10-Y9</f>
        <v>0.16310308745477242</v>
      </c>
      <c r="AA10" s="18">
        <f t="shared" ref="AA10:AA13" si="8">SUMIF($P$2:$P$1845,$S10,$J$2:$J$1845)/W10</f>
        <v>5870.4022197351942</v>
      </c>
      <c r="AB10" s="3">
        <f t="shared" si="5"/>
        <v>4976.8182986883057</v>
      </c>
      <c r="AC10" s="6"/>
      <c r="AD10" s="5">
        <f t="shared" si="6"/>
        <v>4925379</v>
      </c>
      <c r="AE10" s="4">
        <f t="shared" si="7"/>
        <v>0.19421292004061005</v>
      </c>
      <c r="AG10" s="14"/>
    </row>
    <row r="11" spans="1:33" x14ac:dyDescent="0.25">
      <c r="A11">
        <v>36</v>
      </c>
      <c r="B11">
        <v>832</v>
      </c>
      <c r="C11">
        <v>1586</v>
      </c>
      <c r="D11">
        <v>4.3600000000000003</v>
      </c>
      <c r="E11">
        <v>47672</v>
      </c>
      <c r="F11">
        <v>0</v>
      </c>
      <c r="G11">
        <v>47672000</v>
      </c>
      <c r="H11">
        <v>401</v>
      </c>
      <c r="I11">
        <v>37200</v>
      </c>
      <c r="J11" s="2">
        <f t="shared" si="0"/>
        <v>162192</v>
      </c>
      <c r="K11">
        <v>10</v>
      </c>
      <c r="L11" s="3">
        <f>SUM($I$2:$I11)</f>
        <v>424200</v>
      </c>
      <c r="M11" s="3">
        <f>SUM($J$2:$J11)</f>
        <v>880619</v>
      </c>
      <c r="N11" s="2">
        <f>SUM($D$2:$D11)</f>
        <v>20.93</v>
      </c>
      <c r="O11" s="2">
        <f t="shared" si="1"/>
        <v>1.2472899898572031E-3</v>
      </c>
      <c r="P11" s="2" cm="1">
        <f t="array" ref="P11">SUMPRODUCT((O11&gt;$T$9:$T$14)*(O11&lt;=$U$9:$U$14),$S$9:$S$14)</f>
        <v>1</v>
      </c>
      <c r="R11" s="11">
        <v>0.25</v>
      </c>
      <c r="S11">
        <v>3</v>
      </c>
      <c r="T11" s="10">
        <f>R10</f>
        <v>0.1</v>
      </c>
      <c r="U11" s="10">
        <f>R11</f>
        <v>0.25</v>
      </c>
      <c r="V11" s="8">
        <f t="shared" si="2"/>
        <v>4195.0949999999975</v>
      </c>
      <c r="W11" s="8">
        <f>(R11-R10)*$T$4</f>
        <v>2517.0569999999984</v>
      </c>
      <c r="X11" s="3">
        <f t="shared" si="3"/>
        <v>6019990</v>
      </c>
      <c r="Y11" s="12">
        <f t="shared" si="4"/>
        <v>0.94867531927232385</v>
      </c>
      <c r="Z11" s="12">
        <f t="shared" ref="Z11:Z13" si="9">Y11-Y10</f>
        <v>0.10089383643675698</v>
      </c>
      <c r="AA11" s="18">
        <f t="shared" si="8"/>
        <v>1559.4189563446525</v>
      </c>
      <c r="AB11" s="3">
        <f t="shared" si="5"/>
        <v>1479.3822762895772</v>
      </c>
      <c r="AC11" s="6"/>
      <c r="AD11" s="5">
        <f t="shared" si="6"/>
        <v>3925146.3999999994</v>
      </c>
      <c r="AE11" s="4">
        <f t="shared" si="7"/>
        <v>0.15477268732637392</v>
      </c>
      <c r="AG11" s="14"/>
    </row>
    <row r="12" spans="1:33" x14ac:dyDescent="0.25">
      <c r="A12">
        <v>86</v>
      </c>
      <c r="B12">
        <v>882</v>
      </c>
      <c r="C12">
        <v>1639</v>
      </c>
      <c r="D12">
        <v>2.8</v>
      </c>
      <c r="E12">
        <v>48250</v>
      </c>
      <c r="F12">
        <v>0</v>
      </c>
      <c r="G12">
        <v>48250000</v>
      </c>
      <c r="H12">
        <v>403</v>
      </c>
      <c r="I12">
        <v>35400</v>
      </c>
      <c r="J12" s="2">
        <f t="shared" si="0"/>
        <v>99120</v>
      </c>
      <c r="K12">
        <v>11</v>
      </c>
      <c r="L12" s="3">
        <f>SUM($I$2:$I12)</f>
        <v>459600</v>
      </c>
      <c r="M12" s="3">
        <f>SUM($J$2:$J12)</f>
        <v>979739</v>
      </c>
      <c r="N12" s="2">
        <f>SUM($D$2:$D12)</f>
        <v>23.73</v>
      </c>
      <c r="O12" s="2">
        <f t="shared" si="1"/>
        <v>1.4141515269618457E-3</v>
      </c>
      <c r="P12" s="2" cm="1">
        <f t="array" ref="P12">SUMPRODUCT((O12&gt;$T$9:$T$14)*(O12&lt;=$U$9:$U$14),$S$9:$S$14)</f>
        <v>1</v>
      </c>
      <c r="R12" s="11">
        <v>0.5</v>
      </c>
      <c r="S12">
        <v>4</v>
      </c>
      <c r="T12" s="10">
        <f>R11</f>
        <v>0.25</v>
      </c>
      <c r="U12" s="10">
        <f>R12</f>
        <v>0.5</v>
      </c>
      <c r="V12" s="8">
        <f t="shared" si="2"/>
        <v>8390.1899999999951</v>
      </c>
      <c r="W12" s="8">
        <f>(R12-R11)*$T$4</f>
        <v>4195.0949999999975</v>
      </c>
      <c r="X12" s="3">
        <f t="shared" si="3"/>
        <v>6296010</v>
      </c>
      <c r="Y12" s="12">
        <f t="shared" si="4"/>
        <v>0.99217262767741199</v>
      </c>
      <c r="Z12" s="12">
        <f t="shared" si="9"/>
        <v>4.3497308405088142E-2</v>
      </c>
      <c r="AA12" s="18">
        <f t="shared" si="8"/>
        <v>593.93503603613317</v>
      </c>
      <c r="AB12" s="3">
        <f t="shared" si="5"/>
        <v>589.28608537364858</v>
      </c>
      <c r="AC12" s="6"/>
      <c r="AD12" s="5">
        <f t="shared" si="6"/>
        <v>2491613.9000000008</v>
      </c>
      <c r="AE12" s="4">
        <f t="shared" si="7"/>
        <v>9.8246979802523365E-2</v>
      </c>
      <c r="AG12" s="14"/>
    </row>
    <row r="13" spans="1:33" x14ac:dyDescent="0.25">
      <c r="A13">
        <v>16</v>
      </c>
      <c r="B13">
        <v>812</v>
      </c>
      <c r="C13">
        <v>1563</v>
      </c>
      <c r="D13">
        <v>2.74</v>
      </c>
      <c r="E13">
        <v>48255</v>
      </c>
      <c r="F13">
        <v>0</v>
      </c>
      <c r="G13">
        <v>48255000</v>
      </c>
      <c r="H13">
        <v>403</v>
      </c>
      <c r="I13">
        <v>35000</v>
      </c>
      <c r="J13" s="2">
        <f t="shared" si="0"/>
        <v>95900.000000000015</v>
      </c>
      <c r="K13">
        <v>12</v>
      </c>
      <c r="L13" s="3">
        <f>SUM($I$2:$I13)</f>
        <v>494600</v>
      </c>
      <c r="M13" s="3">
        <f>SUM($J$2:$J13)</f>
        <v>1075639</v>
      </c>
      <c r="N13" s="2">
        <f>SUM($D$2:$D13)</f>
        <v>26.47</v>
      </c>
      <c r="O13" s="2">
        <f t="shared" si="1"/>
        <v>1.5774374596999601E-3</v>
      </c>
      <c r="P13" s="2" cm="1">
        <f t="array" ref="P13">SUMPRODUCT((O13&gt;$T$9:$T$14)*(O13&lt;=$U$9:$U$14),$S$9:$S$14)</f>
        <v>1</v>
      </c>
      <c r="R13" s="11">
        <v>1</v>
      </c>
      <c r="S13">
        <v>5</v>
      </c>
      <c r="T13" s="10">
        <f>R12</f>
        <v>0.5</v>
      </c>
      <c r="U13" s="10">
        <f>R13</f>
        <v>1</v>
      </c>
      <c r="V13" s="8">
        <f t="shared" si="2"/>
        <v>16780.37999999999</v>
      </c>
      <c r="W13" s="8">
        <f>(R13-R12)*$T$4</f>
        <v>8390.1899999999951</v>
      </c>
      <c r="X13" s="3">
        <f t="shared" si="3"/>
        <v>6345680</v>
      </c>
      <c r="Y13" s="12">
        <f t="shared" si="4"/>
        <v>1</v>
      </c>
      <c r="Z13" s="12">
        <f t="shared" si="9"/>
        <v>7.827372322588011E-3</v>
      </c>
      <c r="AA13" s="18">
        <f t="shared" si="8"/>
        <v>87.88498234247389</v>
      </c>
      <c r="AB13" s="3">
        <f t="shared" si="5"/>
        <v>87.88498234247389</v>
      </c>
      <c r="AC13" s="6"/>
      <c r="AD13" s="5">
        <f t="shared" si="6"/>
        <v>737371.70000000054</v>
      </c>
      <c r="AE13" s="4">
        <f t="shared" si="7"/>
        <v>2.9075348518826431E-2</v>
      </c>
      <c r="AG13" s="14"/>
    </row>
    <row r="14" spans="1:33" x14ac:dyDescent="0.25">
      <c r="A14">
        <v>97</v>
      </c>
      <c r="B14">
        <v>893</v>
      </c>
      <c r="C14">
        <v>1651</v>
      </c>
      <c r="D14">
        <v>1.01</v>
      </c>
      <c r="E14">
        <v>50260</v>
      </c>
      <c r="F14">
        <v>0</v>
      </c>
      <c r="G14">
        <v>50260000</v>
      </c>
      <c r="H14">
        <v>427</v>
      </c>
      <c r="I14">
        <v>33500</v>
      </c>
      <c r="J14" s="2">
        <f t="shared" si="0"/>
        <v>33835</v>
      </c>
      <c r="K14">
        <v>13</v>
      </c>
      <c r="L14" s="3">
        <f>SUM($I$2:$I14)</f>
        <v>528100</v>
      </c>
      <c r="M14" s="3">
        <f>SUM($J$2:$J14)</f>
        <v>1109474</v>
      </c>
      <c r="N14" s="2">
        <f>SUM($D$2:$D14)</f>
        <v>27.48</v>
      </c>
      <c r="O14" s="2">
        <f t="shared" si="1"/>
        <v>1.6376267998698491E-3</v>
      </c>
      <c r="P14" s="2" cm="1">
        <f t="array" ref="P14">SUMPRODUCT((O14&gt;$T$9:$T$14)*(O14&lt;=$U$9:$U$14),$S$9:$S$14)</f>
        <v>1</v>
      </c>
      <c r="R14" s="11"/>
      <c r="T14" s="10"/>
      <c r="U14" s="9"/>
      <c r="V14" s="8"/>
      <c r="W14" s="8"/>
      <c r="X14" s="3"/>
      <c r="Y14" s="7"/>
      <c r="Z14" s="7"/>
      <c r="AA14" s="3"/>
      <c r="AB14" s="3"/>
      <c r="AC14" s="6"/>
      <c r="AD14" s="5">
        <f t="shared" si="6"/>
        <v>0</v>
      </c>
      <c r="AE14" s="4">
        <f t="shared" si="7"/>
        <v>0</v>
      </c>
    </row>
    <row r="15" spans="1:33" x14ac:dyDescent="0.25">
      <c r="A15">
        <v>889</v>
      </c>
      <c r="B15">
        <v>515</v>
      </c>
      <c r="C15">
        <v>150</v>
      </c>
      <c r="D15">
        <v>2.99</v>
      </c>
      <c r="E15">
        <v>10137</v>
      </c>
      <c r="F15">
        <v>0</v>
      </c>
      <c r="G15">
        <v>10137000</v>
      </c>
      <c r="H15" t="s">
        <v>20</v>
      </c>
      <c r="I15">
        <v>33300</v>
      </c>
      <c r="J15" s="2">
        <f t="shared" si="0"/>
        <v>99567</v>
      </c>
      <c r="K15">
        <v>14</v>
      </c>
      <c r="L15" s="3">
        <f>SUM($I$2:$I15)</f>
        <v>561400</v>
      </c>
      <c r="M15" s="3">
        <f>SUM($J$2:$J15)</f>
        <v>1209041</v>
      </c>
      <c r="N15" s="2">
        <f>SUM($D$2:$D15)</f>
        <v>30.47</v>
      </c>
      <c r="O15" s="2">
        <f t="shared" si="1"/>
        <v>1.8158110841351635E-3</v>
      </c>
      <c r="P15" s="2" cm="1">
        <f t="array" ref="P15">SUMPRODUCT((O15&gt;$T$9:$T$14)*(O15&lt;=$U$9:$U$14),$S$9:$S$14)</f>
        <v>1</v>
      </c>
    </row>
    <row r="16" spans="1:33" x14ac:dyDescent="0.25">
      <c r="A16">
        <v>1591</v>
      </c>
      <c r="B16">
        <v>1591</v>
      </c>
      <c r="C16">
        <v>2080</v>
      </c>
      <c r="D16">
        <v>1.91</v>
      </c>
      <c r="E16">
        <v>50219</v>
      </c>
      <c r="F16">
        <v>0</v>
      </c>
      <c r="G16">
        <v>50219000</v>
      </c>
      <c r="H16">
        <v>427</v>
      </c>
      <c r="I16">
        <v>33000</v>
      </c>
      <c r="J16" s="2">
        <f t="shared" si="0"/>
        <v>63030</v>
      </c>
      <c r="K16">
        <v>15</v>
      </c>
      <c r="L16" s="3">
        <f>SUM($I$2:$I16)</f>
        <v>594400</v>
      </c>
      <c r="M16" s="3">
        <f>SUM($J$2:$J16)</f>
        <v>1272071</v>
      </c>
      <c r="N16" s="2">
        <f>SUM($D$2:$D16)</f>
        <v>32.379999999999995</v>
      </c>
      <c r="O16" s="2">
        <f t="shared" si="1"/>
        <v>1.9296344898029731E-3</v>
      </c>
      <c r="P16" s="2" cm="1">
        <f t="array" ref="P16">SUMPRODUCT((O16&gt;$T$9:$T$14)*(O16&lt;=$U$9:$U$14),$S$9:$S$14)</f>
        <v>1</v>
      </c>
    </row>
    <row r="17" spans="1:16" x14ac:dyDescent="0.25">
      <c r="A17">
        <v>1664</v>
      </c>
      <c r="B17">
        <v>1664</v>
      </c>
      <c r="C17">
        <v>2162</v>
      </c>
      <c r="D17">
        <v>1.73</v>
      </c>
      <c r="E17">
        <v>50210</v>
      </c>
      <c r="F17">
        <v>0</v>
      </c>
      <c r="G17">
        <v>50210000</v>
      </c>
      <c r="H17">
        <v>427</v>
      </c>
      <c r="I17">
        <v>32600</v>
      </c>
      <c r="J17" s="2">
        <f t="shared" si="0"/>
        <v>56398</v>
      </c>
      <c r="K17">
        <v>16</v>
      </c>
      <c r="L17" s="3">
        <f>SUM($I$2:$I17)</f>
        <v>627000</v>
      </c>
      <c r="M17" s="3">
        <f>SUM($J$2:$J17)</f>
        <v>1328469</v>
      </c>
      <c r="N17" s="2">
        <f>SUM($D$2:$D17)</f>
        <v>34.109999999999992</v>
      </c>
      <c r="O17" s="2">
        <f t="shared" si="1"/>
        <v>2.0327310823711987E-3</v>
      </c>
      <c r="P17" s="2" cm="1">
        <f t="array" ref="P17">SUMPRODUCT((O17&gt;$T$9:$T$14)*(O17&lt;=$U$9:$U$14),$S$9:$S$14)</f>
        <v>1</v>
      </c>
    </row>
    <row r="18" spans="1:16" x14ac:dyDescent="0.25">
      <c r="A18">
        <v>43</v>
      </c>
      <c r="B18">
        <v>839</v>
      </c>
      <c r="C18">
        <v>1593</v>
      </c>
      <c r="D18">
        <v>2.12</v>
      </c>
      <c r="E18">
        <v>47680</v>
      </c>
      <c r="F18">
        <v>0</v>
      </c>
      <c r="G18">
        <v>47680000</v>
      </c>
      <c r="H18">
        <v>401</v>
      </c>
      <c r="I18">
        <v>32400</v>
      </c>
      <c r="J18" s="2">
        <f t="shared" si="0"/>
        <v>68688</v>
      </c>
      <c r="K18">
        <v>17</v>
      </c>
      <c r="L18" s="3">
        <f>SUM($I$2:$I18)</f>
        <v>659400</v>
      </c>
      <c r="M18" s="3">
        <f>SUM($J$2:$J18)</f>
        <v>1397157</v>
      </c>
      <c r="N18" s="2">
        <f>SUM($D$2:$D18)</f>
        <v>36.22999999999999</v>
      </c>
      <c r="O18" s="2">
        <f t="shared" si="1"/>
        <v>2.1590691033218563E-3</v>
      </c>
      <c r="P18" s="2" cm="1">
        <f t="array" ref="P18">SUMPRODUCT((O18&gt;$T$9:$T$14)*(O18&lt;=$U$9:$U$14),$S$9:$S$14)</f>
        <v>1</v>
      </c>
    </row>
    <row r="19" spans="1:16" x14ac:dyDescent="0.25">
      <c r="A19">
        <v>1571</v>
      </c>
      <c r="B19">
        <v>1571</v>
      </c>
      <c r="C19">
        <v>2060</v>
      </c>
      <c r="D19">
        <v>3.2</v>
      </c>
      <c r="E19">
        <v>47656</v>
      </c>
      <c r="F19">
        <v>0</v>
      </c>
      <c r="G19">
        <v>47656000</v>
      </c>
      <c r="H19">
        <v>401</v>
      </c>
      <c r="I19">
        <v>32300</v>
      </c>
      <c r="J19" s="2">
        <f t="shared" si="0"/>
        <v>103360</v>
      </c>
      <c r="K19">
        <v>18</v>
      </c>
      <c r="L19" s="3">
        <f>SUM($I$2:$I19)</f>
        <v>691700</v>
      </c>
      <c r="M19" s="3">
        <f>SUM($J$2:$J19)</f>
        <v>1500517</v>
      </c>
      <c r="N19" s="2">
        <f>SUM($D$2:$D19)</f>
        <v>39.429999999999993</v>
      </c>
      <c r="O19" s="2">
        <f t="shared" si="1"/>
        <v>2.3497680028700192E-3</v>
      </c>
      <c r="P19" s="2" cm="1">
        <f t="array" ref="P19">SUMPRODUCT((O19&gt;$T$9:$T$14)*(O19&lt;=$U$9:$U$14),$S$9:$S$14)</f>
        <v>1</v>
      </c>
    </row>
    <row r="20" spans="1:16" x14ac:dyDescent="0.25">
      <c r="A20">
        <v>1661</v>
      </c>
      <c r="B20">
        <v>1661</v>
      </c>
      <c r="C20">
        <v>2159</v>
      </c>
      <c r="D20">
        <v>0.8</v>
      </c>
      <c r="E20">
        <v>47652</v>
      </c>
      <c r="F20">
        <v>0</v>
      </c>
      <c r="G20">
        <v>47652000</v>
      </c>
      <c r="H20">
        <v>401</v>
      </c>
      <c r="I20">
        <v>32300</v>
      </c>
      <c r="J20" s="2">
        <f t="shared" si="0"/>
        <v>25840</v>
      </c>
      <c r="K20">
        <v>19</v>
      </c>
      <c r="L20" s="3">
        <f>SUM($I$2:$I20)</f>
        <v>724000</v>
      </c>
      <c r="M20" s="3">
        <f>SUM($J$2:$J20)</f>
        <v>1526357</v>
      </c>
      <c r="N20" s="2">
        <f>SUM($D$2:$D20)</f>
        <v>40.22999999999999</v>
      </c>
      <c r="O20" s="2">
        <f t="shared" si="1"/>
        <v>2.39744272775706E-3</v>
      </c>
      <c r="P20" s="2" cm="1">
        <f t="array" ref="P20">SUMPRODUCT((O20&gt;$T$9:$T$14)*(O20&lt;=$U$9:$U$14),$S$9:$S$14)</f>
        <v>1</v>
      </c>
    </row>
    <row r="21" spans="1:16" x14ac:dyDescent="0.25">
      <c r="A21">
        <v>896</v>
      </c>
      <c r="B21">
        <v>522</v>
      </c>
      <c r="C21">
        <v>157</v>
      </c>
      <c r="D21">
        <v>0.4</v>
      </c>
      <c r="E21">
        <v>10129</v>
      </c>
      <c r="F21">
        <v>0</v>
      </c>
      <c r="G21">
        <v>10129000</v>
      </c>
      <c r="H21" t="s">
        <v>20</v>
      </c>
      <c r="I21">
        <v>32000</v>
      </c>
      <c r="J21" s="2">
        <f t="shared" si="0"/>
        <v>12800</v>
      </c>
      <c r="K21">
        <v>20</v>
      </c>
      <c r="L21" s="3">
        <f>SUM($I$2:$I21)</f>
        <v>756000</v>
      </c>
      <c r="M21" s="3">
        <f>SUM($J$2:$J21)</f>
        <v>1539157</v>
      </c>
      <c r="N21" s="2">
        <f>SUM($D$2:$D21)</f>
        <v>40.629999999999988</v>
      </c>
      <c r="O21" s="2">
        <f t="shared" si="1"/>
        <v>2.4212800902005801E-3</v>
      </c>
      <c r="P21" s="2" cm="1">
        <f t="array" ref="P21">SUMPRODUCT((O21&gt;$T$9:$T$14)*(O21&lt;=$U$9:$U$14),$S$9:$S$14)</f>
        <v>1</v>
      </c>
    </row>
    <row r="22" spans="1:16" x14ac:dyDescent="0.25">
      <c r="A22">
        <v>1630</v>
      </c>
      <c r="B22">
        <v>1630</v>
      </c>
      <c r="C22">
        <v>2124</v>
      </c>
      <c r="D22">
        <v>2.0299999999999998</v>
      </c>
      <c r="E22">
        <v>47654</v>
      </c>
      <c r="F22">
        <v>0</v>
      </c>
      <c r="G22">
        <v>47654000</v>
      </c>
      <c r="H22">
        <v>401</v>
      </c>
      <c r="I22">
        <v>31700</v>
      </c>
      <c r="J22" s="2">
        <f t="shared" si="0"/>
        <v>64350.999999999993</v>
      </c>
      <c r="K22">
        <v>21</v>
      </c>
      <c r="L22" s="3">
        <f>SUM($I$2:$I22)</f>
        <v>787700</v>
      </c>
      <c r="M22" s="3">
        <f>SUM($J$2:$J22)</f>
        <v>1603508</v>
      </c>
      <c r="N22" s="2">
        <f>SUM($D$2:$D22)</f>
        <v>42.659999999999989</v>
      </c>
      <c r="O22" s="2">
        <f t="shared" si="1"/>
        <v>2.5422547046014461E-3</v>
      </c>
      <c r="P22" s="2" cm="1">
        <f t="array" ref="P22">SUMPRODUCT((O22&gt;$T$9:$T$14)*(O22&lt;=$U$9:$U$14),$S$9:$S$14)</f>
        <v>1</v>
      </c>
    </row>
    <row r="23" spans="1:16" x14ac:dyDescent="0.25">
      <c r="A23">
        <v>115</v>
      </c>
      <c r="B23">
        <v>911</v>
      </c>
      <c r="C23">
        <v>1670</v>
      </c>
      <c r="D23">
        <v>0.3</v>
      </c>
      <c r="E23">
        <v>50205</v>
      </c>
      <c r="F23">
        <v>0</v>
      </c>
      <c r="G23">
        <v>50205000</v>
      </c>
      <c r="H23">
        <v>427</v>
      </c>
      <c r="I23">
        <v>31700</v>
      </c>
      <c r="J23" s="2">
        <f t="shared" si="0"/>
        <v>9510</v>
      </c>
      <c r="K23">
        <v>22</v>
      </c>
      <c r="L23" s="3">
        <f>SUM($I$2:$I23)</f>
        <v>819400</v>
      </c>
      <c r="M23" s="3">
        <f>SUM($J$2:$J23)</f>
        <v>1613018</v>
      </c>
      <c r="N23" s="2">
        <f>SUM($D$2:$D23)</f>
        <v>42.959999999999987</v>
      </c>
      <c r="O23" s="2">
        <f t="shared" si="1"/>
        <v>2.5601327264340862E-3</v>
      </c>
      <c r="P23" s="2" cm="1">
        <f t="array" ref="P23">SUMPRODUCT((O23&gt;$T$9:$T$14)*(O23&lt;=$U$9:$U$14),$S$9:$S$14)</f>
        <v>1</v>
      </c>
    </row>
    <row r="24" spans="1:16" x14ac:dyDescent="0.25">
      <c r="A24">
        <v>1556</v>
      </c>
      <c r="B24">
        <v>388</v>
      </c>
      <c r="C24">
        <v>1533</v>
      </c>
      <c r="D24">
        <v>1.42</v>
      </c>
      <c r="E24">
        <v>47650</v>
      </c>
      <c r="F24">
        <v>0</v>
      </c>
      <c r="G24">
        <v>47650000</v>
      </c>
      <c r="H24">
        <v>401</v>
      </c>
      <c r="I24">
        <v>30400</v>
      </c>
      <c r="J24" s="2">
        <f t="shared" si="0"/>
        <v>43168</v>
      </c>
      <c r="K24">
        <v>23</v>
      </c>
      <c r="L24" s="3">
        <f>SUM($I$2:$I24)</f>
        <v>849800</v>
      </c>
      <c r="M24" s="3">
        <f>SUM($J$2:$J24)</f>
        <v>1656186</v>
      </c>
      <c r="N24" s="2">
        <f>SUM($D$2:$D24)</f>
        <v>44.379999999999988</v>
      </c>
      <c r="O24" s="2">
        <f t="shared" si="1"/>
        <v>2.6447553631085835E-3</v>
      </c>
      <c r="P24" s="2" cm="1">
        <f t="array" ref="P24">SUMPRODUCT((O24&gt;$T$9:$T$14)*(O24&lt;=$U$9:$U$14),$S$9:$S$14)</f>
        <v>1</v>
      </c>
    </row>
    <row r="25" spans="1:16" x14ac:dyDescent="0.25">
      <c r="A25">
        <v>109</v>
      </c>
      <c r="B25">
        <v>905</v>
      </c>
      <c r="C25">
        <v>1663</v>
      </c>
      <c r="D25">
        <v>1.51</v>
      </c>
      <c r="E25">
        <v>47624</v>
      </c>
      <c r="F25">
        <v>0</v>
      </c>
      <c r="G25">
        <v>47624000</v>
      </c>
      <c r="H25">
        <v>401</v>
      </c>
      <c r="I25">
        <v>29900</v>
      </c>
      <c r="J25" s="2">
        <f t="shared" si="0"/>
        <v>45149</v>
      </c>
      <c r="K25">
        <v>24</v>
      </c>
      <c r="L25" s="3">
        <f>SUM($I$2:$I25)</f>
        <v>879700</v>
      </c>
      <c r="M25" s="3">
        <f>SUM($J$2:$J25)</f>
        <v>1701335</v>
      </c>
      <c r="N25" s="2">
        <f>SUM($D$2:$D25)</f>
        <v>45.889999999999986</v>
      </c>
      <c r="O25" s="2">
        <f t="shared" si="1"/>
        <v>2.7347414063328729E-3</v>
      </c>
      <c r="P25" s="2" cm="1">
        <f t="array" ref="P25">SUMPRODUCT((O25&gt;$T$9:$T$14)*(O25&lt;=$U$9:$U$14),$S$9:$S$14)</f>
        <v>1</v>
      </c>
    </row>
    <row r="26" spans="1:16" x14ac:dyDescent="0.25">
      <c r="A26">
        <v>119</v>
      </c>
      <c r="B26">
        <v>915</v>
      </c>
      <c r="C26">
        <v>1674</v>
      </c>
      <c r="D26">
        <v>2.63</v>
      </c>
      <c r="E26">
        <v>47610</v>
      </c>
      <c r="F26">
        <v>0</v>
      </c>
      <c r="G26">
        <v>47610000</v>
      </c>
      <c r="H26">
        <v>401</v>
      </c>
      <c r="I26">
        <v>29700</v>
      </c>
      <c r="J26" s="2">
        <f t="shared" si="0"/>
        <v>78111</v>
      </c>
      <c r="K26">
        <v>25</v>
      </c>
      <c r="L26" s="3">
        <f>SUM($I$2:$I26)</f>
        <v>909400</v>
      </c>
      <c r="M26" s="3">
        <f>SUM($J$2:$J26)</f>
        <v>1779446</v>
      </c>
      <c r="N26" s="2">
        <f>SUM($D$2:$D26)</f>
        <v>48.519999999999989</v>
      </c>
      <c r="O26" s="2">
        <f t="shared" si="1"/>
        <v>2.8914720643990195E-3</v>
      </c>
      <c r="P26" s="2" cm="1">
        <f t="array" ref="P26">SUMPRODUCT((O26&gt;$T$9:$T$14)*(O26&lt;=$U$9:$U$14),$S$9:$S$14)</f>
        <v>1</v>
      </c>
    </row>
    <row r="27" spans="1:16" x14ac:dyDescent="0.25">
      <c r="A27">
        <v>890</v>
      </c>
      <c r="B27">
        <v>516</v>
      </c>
      <c r="C27">
        <v>151</v>
      </c>
      <c r="D27">
        <v>1.59</v>
      </c>
      <c r="E27">
        <v>10135</v>
      </c>
      <c r="F27">
        <v>0</v>
      </c>
      <c r="G27">
        <v>10135000</v>
      </c>
      <c r="H27" t="s">
        <v>20</v>
      </c>
      <c r="I27">
        <v>29700</v>
      </c>
      <c r="J27" s="2">
        <f t="shared" si="0"/>
        <v>47223</v>
      </c>
      <c r="K27">
        <v>26</v>
      </c>
      <c r="L27" s="3">
        <f>SUM($I$2:$I27)</f>
        <v>939100</v>
      </c>
      <c r="M27" s="3">
        <f>SUM($J$2:$J27)</f>
        <v>1826669</v>
      </c>
      <c r="N27" s="2">
        <f>SUM($D$2:$D27)</f>
        <v>50.109999999999992</v>
      </c>
      <c r="O27" s="2">
        <f t="shared" si="1"/>
        <v>2.986225580112013E-3</v>
      </c>
      <c r="P27" s="2" cm="1">
        <f t="array" ref="P27">SUMPRODUCT((O27&gt;$T$9:$T$14)*(O27&lt;=$U$9:$U$14),$S$9:$S$14)</f>
        <v>1</v>
      </c>
    </row>
    <row r="28" spans="1:16" x14ac:dyDescent="0.25">
      <c r="A28">
        <v>898</v>
      </c>
      <c r="B28">
        <v>524</v>
      </c>
      <c r="C28">
        <v>159</v>
      </c>
      <c r="D28">
        <v>2.02</v>
      </c>
      <c r="E28">
        <v>10126</v>
      </c>
      <c r="F28">
        <v>0</v>
      </c>
      <c r="G28">
        <v>10126000</v>
      </c>
      <c r="H28" t="s">
        <v>20</v>
      </c>
      <c r="I28">
        <v>29600</v>
      </c>
      <c r="J28" s="2">
        <f t="shared" si="0"/>
        <v>59792</v>
      </c>
      <c r="K28">
        <v>27</v>
      </c>
      <c r="L28" s="3">
        <f>SUM($I$2:$I28)</f>
        <v>968700</v>
      </c>
      <c r="M28" s="3">
        <f>SUM($J$2:$J28)</f>
        <v>1886461</v>
      </c>
      <c r="N28" s="2">
        <f>SUM($D$2:$D28)</f>
        <v>52.129999999999995</v>
      </c>
      <c r="O28" s="2">
        <f t="shared" si="1"/>
        <v>3.106604260451791E-3</v>
      </c>
      <c r="P28" s="2" cm="1">
        <f t="array" ref="P28">SUMPRODUCT((O28&gt;$T$9:$T$14)*(O28&lt;=$U$9:$U$14),$S$9:$S$14)</f>
        <v>1</v>
      </c>
    </row>
    <row r="29" spans="1:16" x14ac:dyDescent="0.25">
      <c r="A29">
        <v>120</v>
      </c>
      <c r="B29">
        <v>916</v>
      </c>
      <c r="C29">
        <v>1675</v>
      </c>
      <c r="D29">
        <v>1.74</v>
      </c>
      <c r="E29">
        <v>47607</v>
      </c>
      <c r="F29">
        <v>0</v>
      </c>
      <c r="G29">
        <v>47607000</v>
      </c>
      <c r="H29">
        <v>401</v>
      </c>
      <c r="I29">
        <v>29600</v>
      </c>
      <c r="J29" s="2">
        <f t="shared" si="0"/>
        <v>51504</v>
      </c>
      <c r="K29">
        <v>28</v>
      </c>
      <c r="L29" s="3">
        <f>SUM($I$2:$I29)</f>
        <v>998300</v>
      </c>
      <c r="M29" s="3">
        <f>SUM($J$2:$J29)</f>
        <v>1937965</v>
      </c>
      <c r="N29" s="2">
        <f>SUM($D$2:$D29)</f>
        <v>53.87</v>
      </c>
      <c r="O29" s="2">
        <f t="shared" si="1"/>
        <v>3.2102967870811048E-3</v>
      </c>
      <c r="P29" s="2" cm="1">
        <f t="array" ref="P29">SUMPRODUCT((O29&gt;$T$9:$T$14)*(O29&lt;=$U$9:$U$14),$S$9:$S$14)</f>
        <v>1</v>
      </c>
    </row>
    <row r="30" spans="1:16" x14ac:dyDescent="0.25">
      <c r="A30">
        <v>366</v>
      </c>
      <c r="B30">
        <v>1161</v>
      </c>
      <c r="C30">
        <v>2045</v>
      </c>
      <c r="D30">
        <v>4.6500000000000004</v>
      </c>
      <c r="E30">
        <v>48263</v>
      </c>
      <c r="F30">
        <v>0</v>
      </c>
      <c r="G30">
        <v>48263000</v>
      </c>
      <c r="H30">
        <v>403</v>
      </c>
      <c r="I30">
        <v>29000</v>
      </c>
      <c r="J30" s="2">
        <f t="shared" si="0"/>
        <v>134850</v>
      </c>
      <c r="K30">
        <v>29</v>
      </c>
      <c r="L30" s="3">
        <f>SUM($I$2:$I30)</f>
        <v>1027300</v>
      </c>
      <c r="M30" s="3">
        <f>SUM($J$2:$J30)</f>
        <v>2072815</v>
      </c>
      <c r="N30" s="2">
        <f>SUM($D$2:$D30)</f>
        <v>58.519999999999996</v>
      </c>
      <c r="O30" s="2">
        <f t="shared" si="1"/>
        <v>3.4874061254870289E-3</v>
      </c>
      <c r="P30" s="2" cm="1">
        <f t="array" ref="P30">SUMPRODUCT((O30&gt;$T$9:$T$14)*(O30&lt;=$U$9:$U$14),$S$9:$S$14)</f>
        <v>1</v>
      </c>
    </row>
    <row r="31" spans="1:16" x14ac:dyDescent="0.25">
      <c r="A31">
        <v>1680</v>
      </c>
      <c r="B31">
        <v>1680</v>
      </c>
      <c r="C31">
        <v>2179</v>
      </c>
      <c r="D31">
        <v>1.7</v>
      </c>
      <c r="E31">
        <v>47643</v>
      </c>
      <c r="F31">
        <v>0</v>
      </c>
      <c r="G31">
        <v>47643000</v>
      </c>
      <c r="H31">
        <v>401</v>
      </c>
      <c r="I31">
        <v>28800</v>
      </c>
      <c r="J31" s="2">
        <f t="shared" si="0"/>
        <v>48960</v>
      </c>
      <c r="K31">
        <v>30</v>
      </c>
      <c r="L31" s="3">
        <f>SUM($I$2:$I31)</f>
        <v>1056100</v>
      </c>
      <c r="M31" s="3">
        <f>SUM($J$2:$J31)</f>
        <v>2121775</v>
      </c>
      <c r="N31" s="2">
        <f>SUM($D$2:$D31)</f>
        <v>60.22</v>
      </c>
      <c r="O31" s="2">
        <f t="shared" si="1"/>
        <v>3.5887149158719905E-3</v>
      </c>
      <c r="P31" s="2" cm="1">
        <f t="array" ref="P31">SUMPRODUCT((O31&gt;$T$9:$T$14)*(O31&lt;=$U$9:$U$14),$S$9:$S$14)</f>
        <v>1</v>
      </c>
    </row>
    <row r="32" spans="1:16" x14ac:dyDescent="0.25">
      <c r="A32">
        <v>1615</v>
      </c>
      <c r="B32">
        <v>1615</v>
      </c>
      <c r="C32">
        <v>2107</v>
      </c>
      <c r="D32">
        <v>1.1299999999999999</v>
      </c>
      <c r="E32">
        <v>47647</v>
      </c>
      <c r="F32">
        <v>0</v>
      </c>
      <c r="G32">
        <v>47647000</v>
      </c>
      <c r="H32">
        <v>401</v>
      </c>
      <c r="I32">
        <v>28700</v>
      </c>
      <c r="J32" s="2">
        <f t="shared" si="0"/>
        <v>32430.999999999996</v>
      </c>
      <c r="K32">
        <v>31</v>
      </c>
      <c r="L32" s="3">
        <f>SUM($I$2:$I32)</f>
        <v>1084800</v>
      </c>
      <c r="M32" s="3">
        <f>SUM($J$2:$J32)</f>
        <v>2154206</v>
      </c>
      <c r="N32" s="2">
        <f>SUM($D$2:$D32)</f>
        <v>61.35</v>
      </c>
      <c r="O32" s="2">
        <f t="shared" si="1"/>
        <v>3.6560554647749356E-3</v>
      </c>
      <c r="P32" s="2" cm="1">
        <f t="array" ref="P32">SUMPRODUCT((O32&gt;$T$9:$T$14)*(O32&lt;=$U$9:$U$14),$S$9:$S$14)</f>
        <v>1</v>
      </c>
    </row>
    <row r="33" spans="1:16" x14ac:dyDescent="0.25">
      <c r="A33">
        <v>42</v>
      </c>
      <c r="B33">
        <v>838</v>
      </c>
      <c r="C33">
        <v>1592</v>
      </c>
      <c r="D33">
        <v>2.64</v>
      </c>
      <c r="E33">
        <v>50280</v>
      </c>
      <c r="F33">
        <v>0</v>
      </c>
      <c r="G33">
        <v>50280000</v>
      </c>
      <c r="H33">
        <v>427</v>
      </c>
      <c r="I33">
        <v>28600</v>
      </c>
      <c r="J33" s="2">
        <f t="shared" si="0"/>
        <v>75504</v>
      </c>
      <c r="K33">
        <v>32</v>
      </c>
      <c r="L33" s="3">
        <f>SUM($I$2:$I33)</f>
        <v>1113400</v>
      </c>
      <c r="M33" s="3">
        <f>SUM($J$2:$J33)</f>
        <v>2229710</v>
      </c>
      <c r="N33" s="2">
        <f>SUM($D$2:$D33)</f>
        <v>63.99</v>
      </c>
      <c r="O33" s="2">
        <f t="shared" si="1"/>
        <v>3.8133820569021702E-3</v>
      </c>
      <c r="P33" s="2" cm="1">
        <f t="array" ref="P33">SUMPRODUCT((O33&gt;$T$9:$T$14)*(O33&lt;=$U$9:$U$14),$S$9:$S$14)</f>
        <v>1</v>
      </c>
    </row>
    <row r="34" spans="1:16" x14ac:dyDescent="0.25">
      <c r="A34">
        <v>1605</v>
      </c>
      <c r="B34">
        <v>1605</v>
      </c>
      <c r="C34">
        <v>2095</v>
      </c>
      <c r="D34">
        <v>1.62</v>
      </c>
      <c r="E34">
        <v>47629</v>
      </c>
      <c r="F34">
        <v>0</v>
      </c>
      <c r="G34">
        <v>47629000</v>
      </c>
      <c r="H34">
        <v>401</v>
      </c>
      <c r="I34">
        <v>28600</v>
      </c>
      <c r="J34" s="2">
        <f t="shared" si="0"/>
        <v>46332</v>
      </c>
      <c r="K34">
        <v>33</v>
      </c>
      <c r="L34" s="3">
        <f>SUM($I$2:$I34)</f>
        <v>1142000</v>
      </c>
      <c r="M34" s="3">
        <f>SUM($J$2:$J34)</f>
        <v>2276042</v>
      </c>
      <c r="N34" s="2">
        <f>SUM($D$2:$D34)</f>
        <v>65.61</v>
      </c>
      <c r="O34" s="2">
        <f t="shared" si="1"/>
        <v>3.9099233747984276E-3</v>
      </c>
      <c r="P34" s="2" cm="1">
        <f t="array" ref="P34">SUMPRODUCT((O34&gt;$T$9:$T$14)*(O34&lt;=$U$9:$U$14),$S$9:$S$14)</f>
        <v>1</v>
      </c>
    </row>
    <row r="35" spans="1:16" x14ac:dyDescent="0.25">
      <c r="A35">
        <v>361</v>
      </c>
      <c r="B35">
        <v>1156</v>
      </c>
      <c r="C35">
        <v>2040</v>
      </c>
      <c r="D35">
        <v>1.43</v>
      </c>
      <c r="E35">
        <v>48305</v>
      </c>
      <c r="F35">
        <v>0</v>
      </c>
      <c r="G35">
        <v>48305000</v>
      </c>
      <c r="H35">
        <v>403</v>
      </c>
      <c r="I35">
        <v>28500</v>
      </c>
      <c r="J35" s="2">
        <f t="shared" si="0"/>
        <v>40755</v>
      </c>
      <c r="K35">
        <v>34</v>
      </c>
      <c r="L35" s="3">
        <f>SUM($I$2:$I35)</f>
        <v>1170500</v>
      </c>
      <c r="M35" s="3">
        <f>SUM($J$2:$J35)</f>
        <v>2316797</v>
      </c>
      <c r="N35" s="2">
        <f>SUM($D$2:$D35)</f>
        <v>67.040000000000006</v>
      </c>
      <c r="O35" s="2">
        <f t="shared" si="1"/>
        <v>3.9951419455340129E-3</v>
      </c>
      <c r="P35" s="2" cm="1">
        <f t="array" ref="P35">SUMPRODUCT((O35&gt;$T$9:$T$14)*(O35&lt;=$U$9:$U$14),$S$9:$S$14)</f>
        <v>1</v>
      </c>
    </row>
    <row r="36" spans="1:16" x14ac:dyDescent="0.25">
      <c r="A36">
        <v>1451</v>
      </c>
      <c r="B36">
        <v>283</v>
      </c>
      <c r="C36">
        <v>1406</v>
      </c>
      <c r="D36">
        <v>2.0299999999999998</v>
      </c>
      <c r="E36">
        <v>47642</v>
      </c>
      <c r="F36">
        <v>0</v>
      </c>
      <c r="G36">
        <v>47642000</v>
      </c>
      <c r="H36">
        <v>401</v>
      </c>
      <c r="I36">
        <v>28400</v>
      </c>
      <c r="J36" s="2">
        <f t="shared" si="0"/>
        <v>57651.999999999993</v>
      </c>
      <c r="K36">
        <v>35</v>
      </c>
      <c r="L36" s="3">
        <f>SUM($I$2:$I36)</f>
        <v>1198900</v>
      </c>
      <c r="M36" s="3">
        <f>SUM($J$2:$J36)</f>
        <v>2374449</v>
      </c>
      <c r="N36" s="2">
        <f>SUM($D$2:$D36)</f>
        <v>69.070000000000007</v>
      </c>
      <c r="O36" s="2">
        <f t="shared" si="1"/>
        <v>4.1161165599348792E-3</v>
      </c>
      <c r="P36" s="2" cm="1">
        <f t="array" ref="P36">SUMPRODUCT((O36&gt;$T$9:$T$14)*(O36&lt;=$U$9:$U$14),$S$9:$S$14)</f>
        <v>1</v>
      </c>
    </row>
    <row r="37" spans="1:16" x14ac:dyDescent="0.25">
      <c r="A37">
        <v>25</v>
      </c>
      <c r="B37">
        <v>821</v>
      </c>
      <c r="C37">
        <v>1574</v>
      </c>
      <c r="D37">
        <v>1.62</v>
      </c>
      <c r="E37">
        <v>47628</v>
      </c>
      <c r="F37">
        <v>0</v>
      </c>
      <c r="G37">
        <v>47628000</v>
      </c>
      <c r="H37">
        <v>401</v>
      </c>
      <c r="I37">
        <v>28200</v>
      </c>
      <c r="J37" s="2">
        <f t="shared" si="0"/>
        <v>45684</v>
      </c>
      <c r="K37">
        <v>36</v>
      </c>
      <c r="L37" s="3">
        <f>SUM($I$2:$I37)</f>
        <v>1227100</v>
      </c>
      <c r="M37" s="3">
        <f>SUM($J$2:$J37)</f>
        <v>2420133</v>
      </c>
      <c r="N37" s="2">
        <f>SUM($D$2:$D37)</f>
        <v>70.690000000000012</v>
      </c>
      <c r="O37" s="2">
        <f t="shared" si="1"/>
        <v>4.2126578778311366E-3</v>
      </c>
      <c r="P37" s="2" cm="1">
        <f t="array" ref="P37">SUMPRODUCT((O37&gt;$T$9:$T$14)*(O37&lt;=$U$9:$U$14),$S$9:$S$14)</f>
        <v>1</v>
      </c>
    </row>
    <row r="38" spans="1:16" x14ac:dyDescent="0.25">
      <c r="A38">
        <v>1593</v>
      </c>
      <c r="B38">
        <v>1593</v>
      </c>
      <c r="C38">
        <v>2082</v>
      </c>
      <c r="D38">
        <v>3.76</v>
      </c>
      <c r="E38">
        <v>47695</v>
      </c>
      <c r="F38">
        <v>0</v>
      </c>
      <c r="G38">
        <v>47695000</v>
      </c>
      <c r="H38">
        <v>401</v>
      </c>
      <c r="I38">
        <v>28100</v>
      </c>
      <c r="J38" s="2">
        <f t="shared" si="0"/>
        <v>105656</v>
      </c>
      <c r="K38">
        <v>37</v>
      </c>
      <c r="L38" s="3">
        <f>SUM($I$2:$I38)</f>
        <v>1255200</v>
      </c>
      <c r="M38" s="3">
        <f>SUM($J$2:$J38)</f>
        <v>2525789</v>
      </c>
      <c r="N38" s="2">
        <f>SUM($D$2:$D38)</f>
        <v>74.450000000000017</v>
      </c>
      <c r="O38" s="2">
        <f t="shared" si="1"/>
        <v>4.4367290848002288E-3</v>
      </c>
      <c r="P38" s="2" cm="1">
        <f t="array" ref="P38">SUMPRODUCT((O38&gt;$T$9:$T$14)*(O38&lt;=$U$9:$U$14),$S$9:$S$14)</f>
        <v>1</v>
      </c>
    </row>
    <row r="39" spans="1:16" x14ac:dyDescent="0.25">
      <c r="A39">
        <v>1667</v>
      </c>
      <c r="B39">
        <v>1667</v>
      </c>
      <c r="C39">
        <v>2165</v>
      </c>
      <c r="D39">
        <v>1.98</v>
      </c>
      <c r="E39">
        <v>47635</v>
      </c>
      <c r="F39">
        <v>0</v>
      </c>
      <c r="G39">
        <v>47635000</v>
      </c>
      <c r="H39">
        <v>401</v>
      </c>
      <c r="I39">
        <v>28100</v>
      </c>
      <c r="J39" s="2">
        <f t="shared" si="0"/>
        <v>55638</v>
      </c>
      <c r="K39">
        <v>38</v>
      </c>
      <c r="L39" s="3">
        <f>SUM($I$2:$I39)</f>
        <v>1283300</v>
      </c>
      <c r="M39" s="3">
        <f>SUM($J$2:$J39)</f>
        <v>2581427</v>
      </c>
      <c r="N39" s="2">
        <f>SUM($D$2:$D39)</f>
        <v>76.430000000000021</v>
      </c>
      <c r="O39" s="2">
        <f t="shared" si="1"/>
        <v>4.5547240288956545E-3</v>
      </c>
      <c r="P39" s="2" cm="1">
        <f t="array" ref="P39">SUMPRODUCT((O39&gt;$T$9:$T$14)*(O39&lt;=$U$9:$U$14),$S$9:$S$14)</f>
        <v>1</v>
      </c>
    </row>
    <row r="40" spans="1:16" x14ac:dyDescent="0.25">
      <c r="A40">
        <v>26</v>
      </c>
      <c r="B40">
        <v>822</v>
      </c>
      <c r="C40">
        <v>1575</v>
      </c>
      <c r="D40">
        <v>1.94</v>
      </c>
      <c r="E40">
        <v>47640</v>
      </c>
      <c r="F40">
        <v>0</v>
      </c>
      <c r="G40">
        <v>47640000</v>
      </c>
      <c r="H40">
        <v>401</v>
      </c>
      <c r="I40">
        <v>27900</v>
      </c>
      <c r="J40" s="2">
        <f t="shared" si="0"/>
        <v>54126</v>
      </c>
      <c r="K40">
        <v>39</v>
      </c>
      <c r="L40" s="3">
        <f>SUM($I$2:$I40)</f>
        <v>1311200</v>
      </c>
      <c r="M40" s="3">
        <f>SUM($J$2:$J40)</f>
        <v>2635553</v>
      </c>
      <c r="N40" s="2">
        <f>SUM($D$2:$D40)</f>
        <v>78.370000000000019</v>
      </c>
      <c r="O40" s="2">
        <f t="shared" si="1"/>
        <v>4.6703352367467284E-3</v>
      </c>
      <c r="P40" s="2" cm="1">
        <f t="array" ref="P40">SUMPRODUCT((O40&gt;$T$9:$T$14)*(O40&lt;=$U$9:$U$14),$S$9:$S$14)</f>
        <v>1</v>
      </c>
    </row>
    <row r="41" spans="1:16" x14ac:dyDescent="0.25">
      <c r="A41">
        <v>356</v>
      </c>
      <c r="B41">
        <v>1151</v>
      </c>
      <c r="C41">
        <v>2035</v>
      </c>
      <c r="D41">
        <v>2.52</v>
      </c>
      <c r="E41">
        <v>47667</v>
      </c>
      <c r="F41">
        <v>0</v>
      </c>
      <c r="G41">
        <v>47667000</v>
      </c>
      <c r="H41">
        <v>401</v>
      </c>
      <c r="I41">
        <v>27700</v>
      </c>
      <c r="J41" s="2">
        <f t="shared" si="0"/>
        <v>69804</v>
      </c>
      <c r="K41">
        <v>40</v>
      </c>
      <c r="L41" s="3">
        <f>SUM($I$2:$I41)</f>
        <v>1338900</v>
      </c>
      <c r="M41" s="3">
        <f>SUM($J$2:$J41)</f>
        <v>2705357</v>
      </c>
      <c r="N41" s="2">
        <f>SUM($D$2:$D41)</f>
        <v>80.890000000000015</v>
      </c>
      <c r="O41" s="2">
        <f t="shared" si="1"/>
        <v>4.8205106201409066E-3</v>
      </c>
      <c r="P41" s="2" cm="1">
        <f t="array" ref="P41">SUMPRODUCT((O41&gt;$T$9:$T$14)*(O41&lt;=$U$9:$U$14),$S$9:$S$14)</f>
        <v>1</v>
      </c>
    </row>
    <row r="42" spans="1:16" x14ac:dyDescent="0.25">
      <c r="A42">
        <v>62</v>
      </c>
      <c r="B42">
        <v>858</v>
      </c>
      <c r="C42">
        <v>1614</v>
      </c>
      <c r="D42">
        <v>5.49</v>
      </c>
      <c r="E42">
        <v>47796</v>
      </c>
      <c r="F42">
        <v>0</v>
      </c>
      <c r="G42">
        <v>47796000</v>
      </c>
      <c r="H42">
        <v>401</v>
      </c>
      <c r="I42">
        <v>27600</v>
      </c>
      <c r="J42" s="2">
        <f t="shared" si="0"/>
        <v>151524</v>
      </c>
      <c r="K42">
        <v>41</v>
      </c>
      <c r="L42" s="3">
        <f>SUM($I$2:$I42)</f>
        <v>1366500</v>
      </c>
      <c r="M42" s="3">
        <f>SUM($J$2:$J42)</f>
        <v>2856881</v>
      </c>
      <c r="N42" s="2">
        <f>SUM($D$2:$D42)</f>
        <v>86.38000000000001</v>
      </c>
      <c r="O42" s="2">
        <f t="shared" si="1"/>
        <v>5.1476784196782229E-3</v>
      </c>
      <c r="P42" s="2" cm="1">
        <f t="array" ref="P42">SUMPRODUCT((O42&gt;$T$9:$T$14)*(O42&lt;=$U$9:$U$14),$S$9:$S$14)</f>
        <v>1</v>
      </c>
    </row>
    <row r="43" spans="1:16" x14ac:dyDescent="0.25">
      <c r="A43">
        <v>54</v>
      </c>
      <c r="B43">
        <v>850</v>
      </c>
      <c r="C43">
        <v>1605</v>
      </c>
      <c r="D43">
        <v>4.25</v>
      </c>
      <c r="E43">
        <v>47690</v>
      </c>
      <c r="F43">
        <v>0</v>
      </c>
      <c r="G43">
        <v>47690000</v>
      </c>
      <c r="H43">
        <v>401</v>
      </c>
      <c r="I43">
        <v>27500</v>
      </c>
      <c r="J43" s="2">
        <f t="shared" si="0"/>
        <v>116875</v>
      </c>
      <c r="K43">
        <v>42</v>
      </c>
      <c r="L43" s="3">
        <f>SUM($I$2:$I43)</f>
        <v>1394000</v>
      </c>
      <c r="M43" s="3">
        <f>SUM($J$2:$J43)</f>
        <v>2973756</v>
      </c>
      <c r="N43" s="2">
        <f>SUM($D$2:$D43)</f>
        <v>90.63000000000001</v>
      </c>
      <c r="O43" s="2">
        <f t="shared" si="1"/>
        <v>5.4009503956406269E-3</v>
      </c>
      <c r="P43" s="2" cm="1">
        <f t="array" ref="P43">SUMPRODUCT((O43&gt;$T$9:$T$14)*(O43&lt;=$U$9:$U$14),$S$9:$S$14)</f>
        <v>1</v>
      </c>
    </row>
    <row r="44" spans="1:16" x14ac:dyDescent="0.25">
      <c r="A44">
        <v>12</v>
      </c>
      <c r="B44">
        <v>809</v>
      </c>
      <c r="C44">
        <v>1560</v>
      </c>
      <c r="D44">
        <v>1.96</v>
      </c>
      <c r="E44">
        <v>48270</v>
      </c>
      <c r="F44">
        <v>0</v>
      </c>
      <c r="G44">
        <v>48270000</v>
      </c>
      <c r="H44">
        <v>403</v>
      </c>
      <c r="I44">
        <v>27400</v>
      </c>
      <c r="J44" s="2">
        <f t="shared" si="0"/>
        <v>53704</v>
      </c>
      <c r="K44">
        <v>43</v>
      </c>
      <c r="L44" s="3">
        <f>SUM($I$2:$I44)</f>
        <v>1421400</v>
      </c>
      <c r="M44" s="3">
        <f>SUM($J$2:$J44)</f>
        <v>3027460</v>
      </c>
      <c r="N44" s="2">
        <f>SUM($D$2:$D44)</f>
        <v>92.59</v>
      </c>
      <c r="O44" s="2">
        <f t="shared" si="1"/>
        <v>5.5177534716138767E-3</v>
      </c>
      <c r="P44" s="2" cm="1">
        <f t="array" ref="P44">SUMPRODUCT((O44&gt;$T$9:$T$14)*(O44&lt;=$U$9:$U$14),$S$9:$S$14)</f>
        <v>1</v>
      </c>
    </row>
    <row r="45" spans="1:16" x14ac:dyDescent="0.25">
      <c r="A45">
        <v>1644</v>
      </c>
      <c r="B45">
        <v>1644</v>
      </c>
      <c r="C45">
        <v>2139</v>
      </c>
      <c r="D45">
        <v>1.31</v>
      </c>
      <c r="E45">
        <v>47631</v>
      </c>
      <c r="F45">
        <v>0</v>
      </c>
      <c r="G45">
        <v>47631000</v>
      </c>
      <c r="H45">
        <v>401</v>
      </c>
      <c r="I45">
        <v>27300</v>
      </c>
      <c r="J45" s="2">
        <f t="shared" si="0"/>
        <v>35763</v>
      </c>
      <c r="K45">
        <v>44</v>
      </c>
      <c r="L45" s="3">
        <f>SUM($I$2:$I45)</f>
        <v>1448700</v>
      </c>
      <c r="M45" s="3">
        <f>SUM($J$2:$J45)</f>
        <v>3063223</v>
      </c>
      <c r="N45" s="2">
        <f>SUM($D$2:$D45)</f>
        <v>93.9</v>
      </c>
      <c r="O45" s="2">
        <f t="shared" si="1"/>
        <v>5.5958208336164056E-3</v>
      </c>
      <c r="P45" s="2" cm="1">
        <f t="array" ref="P45">SUMPRODUCT((O45&gt;$T$9:$T$14)*(O45&lt;=$U$9:$U$14),$S$9:$S$14)</f>
        <v>1</v>
      </c>
    </row>
    <row r="46" spans="1:16" x14ac:dyDescent="0.25">
      <c r="A46">
        <v>1619</v>
      </c>
      <c r="B46">
        <v>1619</v>
      </c>
      <c r="C46">
        <v>2111</v>
      </c>
      <c r="D46">
        <v>3.44</v>
      </c>
      <c r="E46">
        <v>47685</v>
      </c>
      <c r="F46">
        <v>0</v>
      </c>
      <c r="G46">
        <v>47685000</v>
      </c>
      <c r="H46">
        <v>401</v>
      </c>
      <c r="I46">
        <v>26800</v>
      </c>
      <c r="J46" s="2">
        <f t="shared" si="0"/>
        <v>92192</v>
      </c>
      <c r="K46">
        <v>45</v>
      </c>
      <c r="L46" s="3">
        <f>SUM($I$2:$I46)</f>
        <v>1475500</v>
      </c>
      <c r="M46" s="3">
        <f>SUM($J$2:$J46)</f>
        <v>3155415</v>
      </c>
      <c r="N46" s="2">
        <f>SUM($D$2:$D46)</f>
        <v>97.34</v>
      </c>
      <c r="O46" s="2">
        <f t="shared" si="1"/>
        <v>5.8008221506306804E-3</v>
      </c>
      <c r="P46" s="2" cm="1">
        <f t="array" ref="P46">SUMPRODUCT((O46&gt;$T$9:$T$14)*(O46&lt;=$U$9:$U$14),$S$9:$S$14)</f>
        <v>1</v>
      </c>
    </row>
    <row r="47" spans="1:16" x14ac:dyDescent="0.25">
      <c r="A47">
        <v>78</v>
      </c>
      <c r="B47">
        <v>874</v>
      </c>
      <c r="C47">
        <v>1630</v>
      </c>
      <c r="D47">
        <v>1.43</v>
      </c>
      <c r="E47">
        <v>47633</v>
      </c>
      <c r="F47">
        <v>0</v>
      </c>
      <c r="G47">
        <v>47633000</v>
      </c>
      <c r="H47">
        <v>401</v>
      </c>
      <c r="I47">
        <v>26800</v>
      </c>
      <c r="J47" s="2">
        <f t="shared" si="0"/>
        <v>38324</v>
      </c>
      <c r="K47">
        <v>46</v>
      </c>
      <c r="L47" s="3">
        <f>SUM($I$2:$I47)</f>
        <v>1502300</v>
      </c>
      <c r="M47" s="3">
        <f>SUM($J$2:$J47)</f>
        <v>3193739</v>
      </c>
      <c r="N47" s="2">
        <f>SUM($D$2:$D47)</f>
        <v>98.77000000000001</v>
      </c>
      <c r="O47" s="2">
        <f t="shared" si="1"/>
        <v>5.8860407213662666E-3</v>
      </c>
      <c r="P47" s="2" cm="1">
        <f t="array" ref="P47">SUMPRODUCT((O47&gt;$T$9:$T$14)*(O47&lt;=$U$9:$U$14),$S$9:$S$14)</f>
        <v>1</v>
      </c>
    </row>
    <row r="48" spans="1:16" x14ac:dyDescent="0.25">
      <c r="A48">
        <v>108</v>
      </c>
      <c r="B48">
        <v>904</v>
      </c>
      <c r="C48">
        <v>1662</v>
      </c>
      <c r="D48">
        <v>2.42</v>
      </c>
      <c r="E48">
        <v>47689</v>
      </c>
      <c r="F48">
        <v>0</v>
      </c>
      <c r="G48">
        <v>47689000</v>
      </c>
      <c r="H48">
        <v>401</v>
      </c>
      <c r="I48">
        <v>26600</v>
      </c>
      <c r="J48" s="2">
        <f t="shared" si="0"/>
        <v>64372</v>
      </c>
      <c r="K48">
        <v>47</v>
      </c>
      <c r="L48" s="3">
        <f>SUM($I$2:$I48)</f>
        <v>1528900</v>
      </c>
      <c r="M48" s="3">
        <f>SUM($J$2:$J48)</f>
        <v>3258111</v>
      </c>
      <c r="N48" s="2">
        <f>SUM($D$2:$D48)</f>
        <v>101.19000000000001</v>
      </c>
      <c r="O48" s="2">
        <f t="shared" si="1"/>
        <v>6.0302567641495643E-3</v>
      </c>
      <c r="P48" s="2" cm="1">
        <f t="array" ref="P48">SUMPRODUCT((O48&gt;$T$9:$T$14)*(O48&lt;=$U$9:$U$14),$S$9:$S$14)</f>
        <v>1</v>
      </c>
    </row>
    <row r="49" spans="1:16" x14ac:dyDescent="0.25">
      <c r="A49">
        <v>24</v>
      </c>
      <c r="B49">
        <v>820</v>
      </c>
      <c r="C49">
        <v>1573</v>
      </c>
      <c r="D49">
        <v>2.21</v>
      </c>
      <c r="E49">
        <v>47675</v>
      </c>
      <c r="F49">
        <v>0</v>
      </c>
      <c r="G49">
        <v>47675000</v>
      </c>
      <c r="H49">
        <v>401</v>
      </c>
      <c r="I49">
        <v>26600</v>
      </c>
      <c r="J49" s="2">
        <f t="shared" si="0"/>
        <v>58786</v>
      </c>
      <c r="K49">
        <v>48</v>
      </c>
      <c r="L49" s="3">
        <f>SUM($I$2:$I49)</f>
        <v>1555500</v>
      </c>
      <c r="M49" s="3">
        <f>SUM($J$2:$J49)</f>
        <v>3316897</v>
      </c>
      <c r="N49" s="2">
        <f>SUM($D$2:$D49)</f>
        <v>103.4</v>
      </c>
      <c r="O49" s="2">
        <f t="shared" si="1"/>
        <v>6.1619581916500139E-3</v>
      </c>
      <c r="P49" s="2" cm="1">
        <f t="array" ref="P49">SUMPRODUCT((O49&gt;$T$9:$T$14)*(O49&lt;=$U$9:$U$14),$S$9:$S$14)</f>
        <v>1</v>
      </c>
    </row>
    <row r="50" spans="1:16" x14ac:dyDescent="0.25">
      <c r="A50">
        <v>52</v>
      </c>
      <c r="B50">
        <v>848</v>
      </c>
      <c r="C50">
        <v>1603</v>
      </c>
      <c r="D50">
        <v>2.52</v>
      </c>
      <c r="E50">
        <v>47622</v>
      </c>
      <c r="F50">
        <v>0</v>
      </c>
      <c r="G50">
        <v>47622000</v>
      </c>
      <c r="H50">
        <v>401</v>
      </c>
      <c r="I50">
        <v>26200</v>
      </c>
      <c r="J50" s="2">
        <f t="shared" si="0"/>
        <v>66024</v>
      </c>
      <c r="K50">
        <v>49</v>
      </c>
      <c r="L50" s="3">
        <f>SUM($I$2:$I50)</f>
        <v>1581700</v>
      </c>
      <c r="M50" s="3">
        <f>SUM($J$2:$J50)</f>
        <v>3382921</v>
      </c>
      <c r="N50" s="2">
        <f>SUM($D$2:$D50)</f>
        <v>105.92</v>
      </c>
      <c r="O50" s="2">
        <f t="shared" si="1"/>
        <v>6.3121335750441921E-3</v>
      </c>
      <c r="P50" s="2" cm="1">
        <f t="array" ref="P50">SUMPRODUCT((O50&gt;$T$9:$T$14)*(O50&lt;=$U$9:$U$14),$S$9:$S$14)</f>
        <v>1</v>
      </c>
    </row>
    <row r="51" spans="1:16" x14ac:dyDescent="0.25">
      <c r="A51">
        <v>58</v>
      </c>
      <c r="B51">
        <v>854</v>
      </c>
      <c r="C51">
        <v>1610</v>
      </c>
      <c r="D51">
        <v>1.85</v>
      </c>
      <c r="E51">
        <v>47614</v>
      </c>
      <c r="F51">
        <v>0</v>
      </c>
      <c r="G51">
        <v>47614000</v>
      </c>
      <c r="H51">
        <v>401</v>
      </c>
      <c r="I51">
        <v>25900</v>
      </c>
      <c r="J51" s="2">
        <f t="shared" si="0"/>
        <v>47915</v>
      </c>
      <c r="K51">
        <v>50</v>
      </c>
      <c r="L51" s="3">
        <f>SUM($I$2:$I51)</f>
        <v>1607600</v>
      </c>
      <c r="M51" s="3">
        <f>SUM($J$2:$J51)</f>
        <v>3430836</v>
      </c>
      <c r="N51" s="2">
        <f>SUM($D$2:$D51)</f>
        <v>107.77</v>
      </c>
      <c r="O51" s="2">
        <f t="shared" si="1"/>
        <v>6.4223813763454735E-3</v>
      </c>
      <c r="P51" s="2" cm="1">
        <f t="array" ref="P51">SUMPRODUCT((O51&gt;$T$9:$T$14)*(O51&lt;=$U$9:$U$14),$S$9:$S$14)</f>
        <v>1</v>
      </c>
    </row>
    <row r="52" spans="1:16" x14ac:dyDescent="0.25">
      <c r="A52">
        <v>1666</v>
      </c>
      <c r="B52">
        <v>1666</v>
      </c>
      <c r="C52">
        <v>2164</v>
      </c>
      <c r="D52">
        <v>2.1</v>
      </c>
      <c r="E52">
        <v>47780</v>
      </c>
      <c r="F52">
        <v>0</v>
      </c>
      <c r="G52">
        <v>47780000</v>
      </c>
      <c r="H52">
        <v>401</v>
      </c>
      <c r="I52">
        <v>25800</v>
      </c>
      <c r="J52" s="2">
        <f t="shared" si="0"/>
        <v>54180</v>
      </c>
      <c r="K52">
        <v>51</v>
      </c>
      <c r="L52" s="3">
        <f>SUM($I$2:$I52)</f>
        <v>1633400</v>
      </c>
      <c r="M52" s="3">
        <f>SUM($J$2:$J52)</f>
        <v>3485016</v>
      </c>
      <c r="N52" s="2">
        <f>SUM($D$2:$D52)</f>
        <v>109.86999999999999</v>
      </c>
      <c r="O52" s="2">
        <f t="shared" si="1"/>
        <v>6.5475275291739556E-3</v>
      </c>
      <c r="P52" s="2" cm="1">
        <f t="array" ref="P52">SUMPRODUCT((O52&gt;$T$9:$T$14)*(O52&lt;=$U$9:$U$14),$S$9:$S$14)</f>
        <v>1</v>
      </c>
    </row>
    <row r="53" spans="1:16" x14ac:dyDescent="0.25">
      <c r="A53">
        <v>1557</v>
      </c>
      <c r="B53">
        <v>389</v>
      </c>
      <c r="C53">
        <v>1534</v>
      </c>
      <c r="D53">
        <v>3.54</v>
      </c>
      <c r="E53">
        <v>47682</v>
      </c>
      <c r="F53">
        <v>0</v>
      </c>
      <c r="G53">
        <v>47682000</v>
      </c>
      <c r="H53">
        <v>401</v>
      </c>
      <c r="I53">
        <v>25400</v>
      </c>
      <c r="J53" s="2">
        <f t="shared" si="0"/>
        <v>89916</v>
      </c>
      <c r="K53">
        <v>52</v>
      </c>
      <c r="L53" s="3">
        <f>SUM($I$2:$I53)</f>
        <v>1658800</v>
      </c>
      <c r="M53" s="3">
        <f>SUM($J$2:$J53)</f>
        <v>3574932</v>
      </c>
      <c r="N53" s="2">
        <f>SUM($D$2:$D53)</f>
        <v>113.41</v>
      </c>
      <c r="O53" s="2">
        <f t="shared" si="1"/>
        <v>6.7584881867991109E-3</v>
      </c>
      <c r="P53" s="2" cm="1">
        <f t="array" ref="P53">SUMPRODUCT((O53&gt;$T$9:$T$14)*(O53&lt;=$U$9:$U$14),$S$9:$S$14)</f>
        <v>1</v>
      </c>
    </row>
    <row r="54" spans="1:16" x14ac:dyDescent="0.25">
      <c r="A54">
        <v>82</v>
      </c>
      <c r="B54">
        <v>878</v>
      </c>
      <c r="C54">
        <v>1635</v>
      </c>
      <c r="D54">
        <v>1.61</v>
      </c>
      <c r="E54">
        <v>48266</v>
      </c>
      <c r="F54">
        <v>0</v>
      </c>
      <c r="G54">
        <v>48266000</v>
      </c>
      <c r="H54">
        <v>403</v>
      </c>
      <c r="I54">
        <v>25200</v>
      </c>
      <c r="J54" s="2">
        <f t="shared" si="0"/>
        <v>40572</v>
      </c>
      <c r="K54">
        <v>53</v>
      </c>
      <c r="L54" s="3">
        <f>SUM($I$2:$I54)</f>
        <v>1684000</v>
      </c>
      <c r="M54" s="3">
        <f>SUM($J$2:$J54)</f>
        <v>3615504</v>
      </c>
      <c r="N54" s="2">
        <f>SUM($D$2:$D54)</f>
        <v>115.02</v>
      </c>
      <c r="O54" s="2">
        <f t="shared" si="1"/>
        <v>6.8544335706342803E-3</v>
      </c>
      <c r="P54" s="2" cm="1">
        <f t="array" ref="P54">SUMPRODUCT((O54&gt;$T$9:$T$14)*(O54&lt;=$U$9:$U$14),$S$9:$S$14)</f>
        <v>1</v>
      </c>
    </row>
    <row r="55" spans="1:16" x14ac:dyDescent="0.25">
      <c r="A55">
        <v>910</v>
      </c>
      <c r="B55">
        <v>536</v>
      </c>
      <c r="C55">
        <v>180</v>
      </c>
      <c r="D55">
        <v>2.1</v>
      </c>
      <c r="E55">
        <v>10109</v>
      </c>
      <c r="F55">
        <v>0</v>
      </c>
      <c r="G55">
        <v>10108000</v>
      </c>
      <c r="H55" t="s">
        <v>20</v>
      </c>
      <c r="I55">
        <v>24900</v>
      </c>
      <c r="J55" s="2">
        <f t="shared" si="0"/>
        <v>52290</v>
      </c>
      <c r="K55">
        <v>54</v>
      </c>
      <c r="L55" s="3">
        <f>SUM($I$2:$I55)</f>
        <v>1708900</v>
      </c>
      <c r="M55" s="3">
        <f>SUM($J$2:$J55)</f>
        <v>3667794</v>
      </c>
      <c r="N55" s="2">
        <f>SUM($D$2:$D55)</f>
        <v>117.11999999999999</v>
      </c>
      <c r="O55" s="2">
        <f t="shared" si="1"/>
        <v>6.9795797234627616E-3</v>
      </c>
      <c r="P55" s="2" cm="1">
        <f t="array" ref="P55">SUMPRODUCT((O55&gt;$T$9:$T$14)*(O55&lt;=$U$9:$U$14),$S$9:$S$14)</f>
        <v>1</v>
      </c>
    </row>
    <row r="56" spans="1:16" x14ac:dyDescent="0.25">
      <c r="A56">
        <v>913</v>
      </c>
      <c r="B56">
        <v>539</v>
      </c>
      <c r="C56">
        <v>183</v>
      </c>
      <c r="D56">
        <v>0.91</v>
      </c>
      <c r="E56">
        <v>10108</v>
      </c>
      <c r="F56">
        <v>0</v>
      </c>
      <c r="G56">
        <v>10108000</v>
      </c>
      <c r="H56" t="s">
        <v>20</v>
      </c>
      <c r="I56">
        <v>24900</v>
      </c>
      <c r="J56" s="2">
        <f t="shared" si="0"/>
        <v>22659</v>
      </c>
      <c r="K56">
        <v>55</v>
      </c>
      <c r="L56" s="3">
        <f>SUM($I$2:$I56)</f>
        <v>1733800</v>
      </c>
      <c r="M56" s="3">
        <f>SUM($J$2:$J56)</f>
        <v>3690453</v>
      </c>
      <c r="N56" s="2">
        <f>SUM($D$2:$D56)</f>
        <v>118.02999999999999</v>
      </c>
      <c r="O56" s="2">
        <f t="shared" si="1"/>
        <v>7.0338097230217703E-3</v>
      </c>
      <c r="P56" s="2" cm="1">
        <f t="array" ref="P56">SUMPRODUCT((O56&gt;$T$9:$T$14)*(O56&lt;=$U$9:$U$14),$S$9:$S$14)</f>
        <v>1</v>
      </c>
    </row>
    <row r="57" spans="1:16" x14ac:dyDescent="0.25">
      <c r="A57">
        <v>1446</v>
      </c>
      <c r="B57">
        <v>278</v>
      </c>
      <c r="C57">
        <v>1401</v>
      </c>
      <c r="D57">
        <v>1.82</v>
      </c>
      <c r="E57">
        <v>47625</v>
      </c>
      <c r="F57">
        <v>0</v>
      </c>
      <c r="G57">
        <v>47625000</v>
      </c>
      <c r="H57">
        <v>401</v>
      </c>
      <c r="I57">
        <v>24300</v>
      </c>
      <c r="J57" s="2">
        <f t="shared" si="0"/>
        <v>44226</v>
      </c>
      <c r="K57">
        <v>56</v>
      </c>
      <c r="L57" s="3">
        <f>SUM($I$2:$I57)</f>
        <v>1758100</v>
      </c>
      <c r="M57" s="3">
        <f>SUM($J$2:$J57)</f>
        <v>3734679</v>
      </c>
      <c r="N57" s="2">
        <f>SUM($D$2:$D57)</f>
        <v>119.84999999999998</v>
      </c>
      <c r="O57" s="2">
        <f t="shared" si="1"/>
        <v>7.1422697221397878E-3</v>
      </c>
      <c r="P57" s="2" cm="1">
        <f t="array" ref="P57">SUMPRODUCT((O57&gt;$T$9:$T$14)*(O57&lt;=$U$9:$U$14),$S$9:$S$14)</f>
        <v>1</v>
      </c>
    </row>
    <row r="58" spans="1:16" x14ac:dyDescent="0.25">
      <c r="A58">
        <v>9</v>
      </c>
      <c r="B58">
        <v>806</v>
      </c>
      <c r="C58">
        <v>1558</v>
      </c>
      <c r="D58">
        <v>1.5</v>
      </c>
      <c r="E58">
        <v>47728</v>
      </c>
      <c r="F58">
        <v>0</v>
      </c>
      <c r="G58">
        <v>47728000</v>
      </c>
      <c r="H58">
        <v>401</v>
      </c>
      <c r="I58">
        <v>23500</v>
      </c>
      <c r="J58" s="2">
        <f t="shared" si="0"/>
        <v>35250</v>
      </c>
      <c r="K58">
        <v>57</v>
      </c>
      <c r="L58" s="3">
        <f>SUM($I$2:$I58)</f>
        <v>1781600</v>
      </c>
      <c r="M58" s="3">
        <f>SUM($J$2:$J58)</f>
        <v>3769929</v>
      </c>
      <c r="N58" s="2">
        <f>SUM($D$2:$D58)</f>
        <v>121.34999999999998</v>
      </c>
      <c r="O58" s="2">
        <f t="shared" si="1"/>
        <v>7.2316598313029888E-3</v>
      </c>
      <c r="P58" s="2" cm="1">
        <f t="array" ref="P58">SUMPRODUCT((O58&gt;$T$9:$T$14)*(O58&lt;=$U$9:$U$14),$S$9:$S$14)</f>
        <v>1</v>
      </c>
    </row>
    <row r="59" spans="1:16" x14ac:dyDescent="0.25">
      <c r="A59">
        <v>894</v>
      </c>
      <c r="B59">
        <v>520</v>
      </c>
      <c r="C59">
        <v>155</v>
      </c>
      <c r="D59">
        <v>3.13</v>
      </c>
      <c r="E59">
        <v>10131</v>
      </c>
      <c r="F59">
        <v>0</v>
      </c>
      <c r="G59">
        <v>10131000</v>
      </c>
      <c r="H59" t="s">
        <v>20</v>
      </c>
      <c r="I59">
        <v>23400</v>
      </c>
      <c r="J59" s="2">
        <f t="shared" si="0"/>
        <v>73242</v>
      </c>
      <c r="K59">
        <v>58</v>
      </c>
      <c r="L59" s="3">
        <f>SUM($I$2:$I59)</f>
        <v>1805000</v>
      </c>
      <c r="M59" s="3">
        <f>SUM($J$2:$J59)</f>
        <v>3843171</v>
      </c>
      <c r="N59" s="2">
        <f>SUM($D$2:$D59)</f>
        <v>124.47999999999998</v>
      </c>
      <c r="O59" s="2">
        <f t="shared" si="1"/>
        <v>7.418187192423536E-3</v>
      </c>
      <c r="P59" s="2" cm="1">
        <f t="array" ref="P59">SUMPRODUCT((O59&gt;$T$9:$T$14)*(O59&lt;=$U$9:$U$14),$S$9:$S$14)</f>
        <v>1</v>
      </c>
    </row>
    <row r="60" spans="1:16" x14ac:dyDescent="0.25">
      <c r="A60">
        <v>39</v>
      </c>
      <c r="B60">
        <v>835</v>
      </c>
      <c r="C60">
        <v>1589</v>
      </c>
      <c r="D60">
        <v>2.39</v>
      </c>
      <c r="E60">
        <v>47602</v>
      </c>
      <c r="F60">
        <v>0</v>
      </c>
      <c r="G60">
        <v>47602000</v>
      </c>
      <c r="H60">
        <v>401</v>
      </c>
      <c r="I60">
        <v>23400</v>
      </c>
      <c r="J60" s="2">
        <f t="shared" si="0"/>
        <v>55926</v>
      </c>
      <c r="K60">
        <v>59</v>
      </c>
      <c r="L60" s="3">
        <f>SUM($I$2:$I60)</f>
        <v>1828400</v>
      </c>
      <c r="M60" s="3">
        <f>SUM($J$2:$J60)</f>
        <v>3899097</v>
      </c>
      <c r="N60" s="2">
        <f>SUM($D$2:$D60)</f>
        <v>126.86999999999998</v>
      </c>
      <c r="O60" s="2">
        <f t="shared" si="1"/>
        <v>7.5606154330235698E-3</v>
      </c>
      <c r="P60" s="2" cm="1">
        <f t="array" ref="P60">SUMPRODUCT((O60&gt;$T$9:$T$14)*(O60&lt;=$U$9:$U$14),$S$9:$S$14)</f>
        <v>1</v>
      </c>
    </row>
    <row r="61" spans="1:16" x14ac:dyDescent="0.25">
      <c r="A61">
        <v>116</v>
      </c>
      <c r="B61">
        <v>912</v>
      </c>
      <c r="C61">
        <v>1671</v>
      </c>
      <c r="D61">
        <v>1.93</v>
      </c>
      <c r="E61">
        <v>49050</v>
      </c>
      <c r="F61">
        <v>0</v>
      </c>
      <c r="G61">
        <v>49050000</v>
      </c>
      <c r="H61">
        <v>410</v>
      </c>
      <c r="I61">
        <v>23300</v>
      </c>
      <c r="J61" s="2">
        <f t="shared" si="0"/>
        <v>44969</v>
      </c>
      <c r="K61">
        <v>60</v>
      </c>
      <c r="L61" s="3">
        <f>SUM($I$2:$I61)</f>
        <v>1851700</v>
      </c>
      <c r="M61" s="3">
        <f>SUM($J$2:$J61)</f>
        <v>3944066</v>
      </c>
      <c r="N61" s="2">
        <f>SUM($D$2:$D61)</f>
        <v>128.79999999999998</v>
      </c>
      <c r="O61" s="2">
        <f t="shared" si="1"/>
        <v>7.6756307068135557E-3</v>
      </c>
      <c r="P61" s="2" cm="1">
        <f t="array" ref="P61">SUMPRODUCT((O61&gt;$T$9:$T$14)*(O61&lt;=$U$9:$U$14),$S$9:$S$14)</f>
        <v>1</v>
      </c>
    </row>
    <row r="62" spans="1:16" x14ac:dyDescent="0.25">
      <c r="A62">
        <v>67</v>
      </c>
      <c r="B62">
        <v>863</v>
      </c>
      <c r="C62">
        <v>1619</v>
      </c>
      <c r="D62">
        <v>2.5299999999999998</v>
      </c>
      <c r="E62">
        <v>47790</v>
      </c>
      <c r="F62">
        <v>0</v>
      </c>
      <c r="G62">
        <v>47790000</v>
      </c>
      <c r="H62">
        <v>401</v>
      </c>
      <c r="I62">
        <v>22700</v>
      </c>
      <c r="J62" s="2">
        <f t="shared" si="0"/>
        <v>57430.999999999993</v>
      </c>
      <c r="K62">
        <v>61</v>
      </c>
      <c r="L62" s="3">
        <f>SUM($I$2:$I62)</f>
        <v>1874400</v>
      </c>
      <c r="M62" s="3">
        <f>SUM($J$2:$J62)</f>
        <v>4001497</v>
      </c>
      <c r="N62" s="2">
        <f>SUM($D$2:$D62)</f>
        <v>131.32999999999998</v>
      </c>
      <c r="O62" s="2">
        <f t="shared" si="1"/>
        <v>7.8264020242688227E-3</v>
      </c>
      <c r="P62" s="2" cm="1">
        <f t="array" ref="P62">SUMPRODUCT((O62&gt;$T$9:$T$14)*(O62&lt;=$U$9:$U$14),$S$9:$S$14)</f>
        <v>1</v>
      </c>
    </row>
    <row r="63" spans="1:16" x14ac:dyDescent="0.25">
      <c r="A63">
        <v>883</v>
      </c>
      <c r="B63">
        <v>509</v>
      </c>
      <c r="C63">
        <v>144</v>
      </c>
      <c r="D63">
        <v>1.82</v>
      </c>
      <c r="E63">
        <v>10151</v>
      </c>
      <c r="F63">
        <v>0</v>
      </c>
      <c r="G63">
        <v>10151000</v>
      </c>
      <c r="H63" t="s">
        <v>20</v>
      </c>
      <c r="I63">
        <v>22700</v>
      </c>
      <c r="J63" s="2">
        <f t="shared" si="0"/>
        <v>41314</v>
      </c>
      <c r="K63">
        <v>62</v>
      </c>
      <c r="L63" s="3">
        <f>SUM($I$2:$I63)</f>
        <v>1897100</v>
      </c>
      <c r="M63" s="3">
        <f>SUM($J$2:$J63)</f>
        <v>4042811</v>
      </c>
      <c r="N63" s="2">
        <f>SUM($D$2:$D63)</f>
        <v>133.14999999999998</v>
      </c>
      <c r="O63" s="2">
        <f t="shared" si="1"/>
        <v>7.9348620233868402E-3</v>
      </c>
      <c r="P63" s="2" cm="1">
        <f t="array" ref="P63">SUMPRODUCT((O63&gt;$T$9:$T$14)*(O63&lt;=$U$9:$U$14),$S$9:$S$14)</f>
        <v>1</v>
      </c>
    </row>
    <row r="64" spans="1:16" x14ac:dyDescent="0.25">
      <c r="A64">
        <v>412</v>
      </c>
      <c r="B64">
        <v>406</v>
      </c>
      <c r="C64">
        <v>1554</v>
      </c>
      <c r="D64">
        <v>1.42</v>
      </c>
      <c r="E64">
        <v>48312</v>
      </c>
      <c r="F64">
        <v>0</v>
      </c>
      <c r="G64">
        <v>48312000</v>
      </c>
      <c r="H64">
        <v>403</v>
      </c>
      <c r="I64">
        <v>22700</v>
      </c>
      <c r="J64" s="2">
        <f t="shared" si="0"/>
        <v>32234</v>
      </c>
      <c r="K64">
        <v>63</v>
      </c>
      <c r="L64" s="3">
        <f>SUM($I$2:$I64)</f>
        <v>1919800</v>
      </c>
      <c r="M64" s="3">
        <f>SUM($J$2:$J64)</f>
        <v>4075045</v>
      </c>
      <c r="N64" s="2">
        <f>SUM($D$2:$D64)</f>
        <v>134.56999999999996</v>
      </c>
      <c r="O64" s="2">
        <f t="shared" si="1"/>
        <v>8.0194846600613358E-3</v>
      </c>
      <c r="P64" s="2" cm="1">
        <f t="array" ref="P64">SUMPRODUCT((O64&gt;$T$9:$T$14)*(O64&lt;=$U$9:$U$14),$S$9:$S$14)</f>
        <v>1</v>
      </c>
    </row>
    <row r="65" spans="1:16" x14ac:dyDescent="0.25">
      <c r="A65">
        <v>98</v>
      </c>
      <c r="B65">
        <v>894</v>
      </c>
      <c r="C65">
        <v>1652</v>
      </c>
      <c r="D65">
        <v>8.32</v>
      </c>
      <c r="E65">
        <v>47700</v>
      </c>
      <c r="F65">
        <v>0</v>
      </c>
      <c r="G65">
        <v>47700000</v>
      </c>
      <c r="H65">
        <v>401</v>
      </c>
      <c r="I65">
        <v>22400</v>
      </c>
      <c r="J65" s="2">
        <f t="shared" si="0"/>
        <v>186368</v>
      </c>
      <c r="K65">
        <v>64</v>
      </c>
      <c r="L65" s="3">
        <f>SUM($I$2:$I65)</f>
        <v>1942200</v>
      </c>
      <c r="M65" s="3">
        <f>SUM($J$2:$J65)</f>
        <v>4261413</v>
      </c>
      <c r="N65" s="2">
        <f>SUM($D$2:$D65)</f>
        <v>142.88999999999996</v>
      </c>
      <c r="O65" s="2">
        <f t="shared" si="1"/>
        <v>8.5153017988865588E-3</v>
      </c>
      <c r="P65" s="2" cm="1">
        <f t="array" ref="P65">SUMPRODUCT((O65&gt;$T$9:$T$14)*(O65&lt;=$U$9:$U$14),$S$9:$S$14)</f>
        <v>1</v>
      </c>
    </row>
    <row r="66" spans="1:16" x14ac:dyDescent="0.25">
      <c r="A66">
        <v>1647</v>
      </c>
      <c r="B66">
        <v>1647</v>
      </c>
      <c r="C66">
        <v>2142</v>
      </c>
      <c r="D66">
        <v>2.73</v>
      </c>
      <c r="E66">
        <v>47604</v>
      </c>
      <c r="F66">
        <v>0</v>
      </c>
      <c r="G66">
        <v>47604000</v>
      </c>
      <c r="H66">
        <v>401</v>
      </c>
      <c r="I66">
        <v>22300</v>
      </c>
      <c r="J66" s="2">
        <f t="shared" ref="J66:J129" si="10">I66*D66</f>
        <v>60879</v>
      </c>
      <c r="K66">
        <v>65</v>
      </c>
      <c r="L66" s="3">
        <f>SUM($I$2:$I66)</f>
        <v>1964500</v>
      </c>
      <c r="M66" s="3">
        <f>SUM($J$2:$J66)</f>
        <v>4322292</v>
      </c>
      <c r="N66" s="2">
        <f>SUM($D$2:$D66)</f>
        <v>145.61999999999995</v>
      </c>
      <c r="O66" s="2">
        <f t="shared" ref="O66:O129" si="11">N66/$T$4</f>
        <v>8.6779917975635858E-3</v>
      </c>
      <c r="P66" s="2" cm="1">
        <f t="array" ref="P66">SUMPRODUCT((O66&gt;$T$9:$T$14)*(O66&lt;=$U$9:$U$14),$S$9:$S$14)</f>
        <v>1</v>
      </c>
    </row>
    <row r="67" spans="1:16" x14ac:dyDescent="0.25">
      <c r="A67">
        <v>68</v>
      </c>
      <c r="B67">
        <v>864</v>
      </c>
      <c r="C67">
        <v>1620</v>
      </c>
      <c r="D67">
        <v>4.38</v>
      </c>
      <c r="E67">
        <v>47720</v>
      </c>
      <c r="F67">
        <v>0</v>
      </c>
      <c r="G67">
        <v>47720000</v>
      </c>
      <c r="H67">
        <v>401</v>
      </c>
      <c r="I67">
        <v>22200</v>
      </c>
      <c r="J67" s="2">
        <f t="shared" si="10"/>
        <v>97236</v>
      </c>
      <c r="K67">
        <v>66</v>
      </c>
      <c r="L67" s="3">
        <f>SUM($I$2:$I67)</f>
        <v>1986700</v>
      </c>
      <c r="M67" s="3">
        <f>SUM($J$2:$J67)</f>
        <v>4419528</v>
      </c>
      <c r="N67" s="2">
        <f>SUM($D$2:$D67)</f>
        <v>149.99999999999994</v>
      </c>
      <c r="O67" s="2">
        <f t="shared" si="11"/>
        <v>8.9390109163201333E-3</v>
      </c>
      <c r="P67" s="2" cm="1">
        <f t="array" ref="P67">SUMPRODUCT((O67&gt;$T$9:$T$14)*(O67&lt;=$U$9:$U$14),$S$9:$S$14)</f>
        <v>1</v>
      </c>
    </row>
    <row r="68" spans="1:16" x14ac:dyDescent="0.25">
      <c r="A68">
        <v>914</v>
      </c>
      <c r="B68">
        <v>540</v>
      </c>
      <c r="C68">
        <v>184</v>
      </c>
      <c r="D68">
        <v>4</v>
      </c>
      <c r="E68">
        <v>10105</v>
      </c>
      <c r="F68">
        <v>0</v>
      </c>
      <c r="G68">
        <v>10105000</v>
      </c>
      <c r="H68" t="s">
        <v>20</v>
      </c>
      <c r="I68">
        <v>22100</v>
      </c>
      <c r="J68" s="2">
        <f t="shared" si="10"/>
        <v>88400</v>
      </c>
      <c r="K68">
        <v>67</v>
      </c>
      <c r="L68" s="3">
        <f>SUM($I$2:$I68)</f>
        <v>2008800</v>
      </c>
      <c r="M68" s="3">
        <f>SUM($J$2:$J68)</f>
        <v>4507928</v>
      </c>
      <c r="N68" s="2">
        <f>SUM($D$2:$D68)</f>
        <v>153.99999999999994</v>
      </c>
      <c r="O68" s="2">
        <f t="shared" si="11"/>
        <v>9.1773845407553366E-3</v>
      </c>
      <c r="P68" s="2" cm="1">
        <f t="array" ref="P68">SUMPRODUCT((O68&gt;$T$9:$T$14)*(O68&lt;=$U$9:$U$14),$S$9:$S$14)</f>
        <v>1</v>
      </c>
    </row>
    <row r="69" spans="1:16" x14ac:dyDescent="0.25">
      <c r="A69">
        <v>1590</v>
      </c>
      <c r="B69">
        <v>1590</v>
      </c>
      <c r="C69">
        <v>2079</v>
      </c>
      <c r="D69">
        <v>7.48</v>
      </c>
      <c r="E69">
        <v>47715</v>
      </c>
      <c r="F69">
        <v>0</v>
      </c>
      <c r="G69">
        <v>47715000</v>
      </c>
      <c r="H69">
        <v>401</v>
      </c>
      <c r="I69">
        <v>22000</v>
      </c>
      <c r="J69" s="2">
        <f t="shared" si="10"/>
        <v>164560</v>
      </c>
      <c r="K69">
        <v>68</v>
      </c>
      <c r="L69" s="3">
        <f>SUM($I$2:$I69)</f>
        <v>2030800</v>
      </c>
      <c r="M69" s="3">
        <f>SUM($J$2:$J69)</f>
        <v>4672488</v>
      </c>
      <c r="N69" s="2">
        <f>SUM($D$2:$D69)</f>
        <v>161.47999999999993</v>
      </c>
      <c r="O69" s="2">
        <f t="shared" si="11"/>
        <v>9.6231432184491674E-3</v>
      </c>
      <c r="P69" s="2" cm="1">
        <f t="array" ref="P69">SUMPRODUCT((O69&gt;$T$9:$T$14)*(O69&lt;=$U$9:$U$14),$S$9:$S$14)</f>
        <v>1</v>
      </c>
    </row>
    <row r="70" spans="1:16" x14ac:dyDescent="0.25">
      <c r="A70">
        <v>881</v>
      </c>
      <c r="B70">
        <v>507</v>
      </c>
      <c r="C70">
        <v>142</v>
      </c>
      <c r="D70">
        <v>0.62</v>
      </c>
      <c r="E70">
        <v>10155</v>
      </c>
      <c r="F70">
        <v>0</v>
      </c>
      <c r="G70">
        <v>10155000</v>
      </c>
      <c r="H70" t="s">
        <v>20</v>
      </c>
      <c r="I70">
        <v>21500</v>
      </c>
      <c r="J70" s="2">
        <f t="shared" si="10"/>
        <v>13330</v>
      </c>
      <c r="K70">
        <v>69</v>
      </c>
      <c r="L70" s="3">
        <f>SUM($I$2:$I70)</f>
        <v>2052300</v>
      </c>
      <c r="M70" s="3">
        <f>SUM($J$2:$J70)</f>
        <v>4685818</v>
      </c>
      <c r="N70" s="2">
        <f>SUM($D$2:$D70)</f>
        <v>162.09999999999994</v>
      </c>
      <c r="O70" s="2">
        <f t="shared" si="11"/>
        <v>9.6600911302366227E-3</v>
      </c>
      <c r="P70" s="2" cm="1">
        <f t="array" ref="P70">SUMPRODUCT((O70&gt;$T$9:$T$14)*(O70&lt;=$U$9:$U$14),$S$9:$S$14)</f>
        <v>1</v>
      </c>
    </row>
    <row r="71" spans="1:16" x14ac:dyDescent="0.25">
      <c r="A71">
        <v>56</v>
      </c>
      <c r="B71">
        <v>852</v>
      </c>
      <c r="C71">
        <v>1607</v>
      </c>
      <c r="D71">
        <v>2.29</v>
      </c>
      <c r="E71">
        <v>47725</v>
      </c>
      <c r="F71">
        <v>0</v>
      </c>
      <c r="G71">
        <v>47725000</v>
      </c>
      <c r="H71">
        <v>401</v>
      </c>
      <c r="I71">
        <v>21400</v>
      </c>
      <c r="J71" s="2">
        <f t="shared" si="10"/>
        <v>49006</v>
      </c>
      <c r="K71">
        <v>70</v>
      </c>
      <c r="L71" s="3">
        <f>SUM($I$2:$I71)</f>
        <v>2073700</v>
      </c>
      <c r="M71" s="3">
        <f>SUM($J$2:$J71)</f>
        <v>4734824</v>
      </c>
      <c r="N71" s="2">
        <f>SUM($D$2:$D71)</f>
        <v>164.38999999999993</v>
      </c>
      <c r="O71" s="2">
        <f t="shared" si="11"/>
        <v>9.7965600302257778E-3</v>
      </c>
      <c r="P71" s="2" cm="1">
        <f t="array" ref="P71">SUMPRODUCT((O71&gt;$T$9:$T$14)*(O71&lt;=$U$9:$U$14),$S$9:$S$14)</f>
        <v>1</v>
      </c>
    </row>
    <row r="72" spans="1:16" x14ac:dyDescent="0.25">
      <c r="A72">
        <v>1563</v>
      </c>
      <c r="B72">
        <v>395</v>
      </c>
      <c r="C72">
        <v>1543</v>
      </c>
      <c r="D72">
        <v>9.18</v>
      </c>
      <c r="E72">
        <v>47723</v>
      </c>
      <c r="F72">
        <v>0</v>
      </c>
      <c r="G72">
        <v>47723000</v>
      </c>
      <c r="H72">
        <v>401</v>
      </c>
      <c r="I72">
        <v>21300</v>
      </c>
      <c r="J72" s="2">
        <f t="shared" si="10"/>
        <v>195534</v>
      </c>
      <c r="K72">
        <v>71</v>
      </c>
      <c r="L72" s="3">
        <f>SUM($I$2:$I72)</f>
        <v>2095000</v>
      </c>
      <c r="M72" s="3">
        <f>SUM($J$2:$J72)</f>
        <v>4930358</v>
      </c>
      <c r="N72" s="2">
        <f>SUM($D$2:$D72)</f>
        <v>173.56999999999994</v>
      </c>
      <c r="O72" s="2">
        <f t="shared" si="11"/>
        <v>1.0343627498304571E-2</v>
      </c>
      <c r="P72" s="2" cm="1">
        <f t="array" ref="P72">SUMPRODUCT((O72&gt;$T$9:$T$14)*(O72&lt;=$U$9:$U$14),$S$9:$S$14)</f>
        <v>1</v>
      </c>
    </row>
    <row r="73" spans="1:16" x14ac:dyDescent="0.25">
      <c r="A73">
        <v>1663</v>
      </c>
      <c r="B73">
        <v>1663</v>
      </c>
      <c r="C73">
        <v>2161</v>
      </c>
      <c r="D73">
        <v>4.5</v>
      </c>
      <c r="E73">
        <v>47710</v>
      </c>
      <c r="F73">
        <v>0</v>
      </c>
      <c r="G73">
        <v>47710000</v>
      </c>
      <c r="H73">
        <v>401</v>
      </c>
      <c r="I73">
        <v>21300</v>
      </c>
      <c r="J73" s="2">
        <f t="shared" si="10"/>
        <v>95850</v>
      </c>
      <c r="K73">
        <v>72</v>
      </c>
      <c r="L73" s="3">
        <f>SUM($I$2:$I73)</f>
        <v>2116300</v>
      </c>
      <c r="M73" s="3">
        <f>SUM($J$2:$J73)</f>
        <v>5026208</v>
      </c>
      <c r="N73" s="2">
        <f>SUM($D$2:$D73)</f>
        <v>178.06999999999994</v>
      </c>
      <c r="O73" s="2">
        <f t="shared" si="11"/>
        <v>1.0611797825794174E-2</v>
      </c>
      <c r="P73" s="2" cm="1">
        <f t="array" ref="P73">SUMPRODUCT((O73&gt;$T$9:$T$14)*(O73&lt;=$U$9:$U$14),$S$9:$S$14)</f>
        <v>1</v>
      </c>
    </row>
    <row r="74" spans="1:16" x14ac:dyDescent="0.25">
      <c r="A74">
        <v>884</v>
      </c>
      <c r="B74">
        <v>510</v>
      </c>
      <c r="C74">
        <v>145</v>
      </c>
      <c r="D74">
        <v>2.23</v>
      </c>
      <c r="E74">
        <v>10150</v>
      </c>
      <c r="F74">
        <v>0</v>
      </c>
      <c r="G74">
        <v>10150000</v>
      </c>
      <c r="H74" t="s">
        <v>20</v>
      </c>
      <c r="I74">
        <v>21100</v>
      </c>
      <c r="J74" s="2">
        <f t="shared" si="10"/>
        <v>47053</v>
      </c>
      <c r="K74">
        <v>73</v>
      </c>
      <c r="L74" s="3">
        <f>SUM($I$2:$I74)</f>
        <v>2137400</v>
      </c>
      <c r="M74" s="3">
        <f>SUM($J$2:$J74)</f>
        <v>5073261</v>
      </c>
      <c r="N74" s="2">
        <f>SUM($D$2:$D74)</f>
        <v>180.29999999999993</v>
      </c>
      <c r="O74" s="2">
        <f t="shared" si="11"/>
        <v>1.0744691121416799E-2</v>
      </c>
      <c r="P74" s="2" cm="1">
        <f t="array" ref="P74">SUMPRODUCT((O74&gt;$T$9:$T$14)*(O74&lt;=$U$9:$U$14),$S$9:$S$14)</f>
        <v>1</v>
      </c>
    </row>
    <row r="75" spans="1:16" x14ac:dyDescent="0.25">
      <c r="A75">
        <v>899</v>
      </c>
      <c r="B75">
        <v>525</v>
      </c>
      <c r="C75">
        <v>160</v>
      </c>
      <c r="D75">
        <v>2.13</v>
      </c>
      <c r="E75">
        <v>10125</v>
      </c>
      <c r="F75">
        <v>0</v>
      </c>
      <c r="G75">
        <v>10125000</v>
      </c>
      <c r="H75" t="s">
        <v>20</v>
      </c>
      <c r="I75">
        <v>21000</v>
      </c>
      <c r="J75" s="2">
        <f t="shared" si="10"/>
        <v>44730</v>
      </c>
      <c r="K75">
        <v>74</v>
      </c>
      <c r="L75" s="3">
        <f>SUM($I$2:$I75)</f>
        <v>2158400</v>
      </c>
      <c r="M75" s="3">
        <f>SUM($J$2:$J75)</f>
        <v>5117991</v>
      </c>
      <c r="N75" s="2">
        <f>SUM($D$2:$D75)</f>
        <v>182.42999999999992</v>
      </c>
      <c r="O75" s="2">
        <f t="shared" si="11"/>
        <v>1.0871625076428545E-2</v>
      </c>
      <c r="P75" s="2" cm="1">
        <f t="array" ref="P75">SUMPRODUCT((O75&gt;$T$9:$T$14)*(O75&lt;=$U$9:$U$14),$S$9:$S$14)</f>
        <v>1</v>
      </c>
    </row>
    <row r="76" spans="1:16" x14ac:dyDescent="0.25">
      <c r="A76">
        <v>376</v>
      </c>
      <c r="B76">
        <v>1171</v>
      </c>
      <c r="C76">
        <v>2055</v>
      </c>
      <c r="D76">
        <v>3.79</v>
      </c>
      <c r="E76">
        <v>47805</v>
      </c>
      <c r="F76">
        <v>0</v>
      </c>
      <c r="G76">
        <v>47805000</v>
      </c>
      <c r="H76">
        <v>401</v>
      </c>
      <c r="I76">
        <v>20800</v>
      </c>
      <c r="J76" s="2">
        <f t="shared" si="10"/>
        <v>78832</v>
      </c>
      <c r="K76">
        <v>75</v>
      </c>
      <c r="L76" s="3">
        <f>SUM($I$2:$I76)</f>
        <v>2179200</v>
      </c>
      <c r="M76" s="3">
        <f>SUM($J$2:$J76)</f>
        <v>5196823</v>
      </c>
      <c r="N76" s="2">
        <f>SUM($D$2:$D76)</f>
        <v>186.21999999999991</v>
      </c>
      <c r="O76" s="2">
        <f t="shared" si="11"/>
        <v>1.1097484085580899E-2</v>
      </c>
      <c r="P76" s="2" cm="1">
        <f t="array" ref="P76">SUMPRODUCT((O76&gt;$T$9:$T$14)*(O76&lt;=$U$9:$U$14),$S$9:$S$14)</f>
        <v>1</v>
      </c>
    </row>
    <row r="77" spans="1:16" x14ac:dyDescent="0.25">
      <c r="A77">
        <v>1546</v>
      </c>
      <c r="B77">
        <v>378</v>
      </c>
      <c r="C77">
        <v>1522</v>
      </c>
      <c r="D77">
        <v>3.36</v>
      </c>
      <c r="E77">
        <v>47776</v>
      </c>
      <c r="F77">
        <v>0</v>
      </c>
      <c r="G77">
        <v>47776000</v>
      </c>
      <c r="H77">
        <v>401</v>
      </c>
      <c r="I77">
        <v>20800</v>
      </c>
      <c r="J77" s="2">
        <f t="shared" si="10"/>
        <v>69888</v>
      </c>
      <c r="K77">
        <v>76</v>
      </c>
      <c r="L77" s="3">
        <f>SUM($I$2:$I77)</f>
        <v>2200000</v>
      </c>
      <c r="M77" s="3">
        <f>SUM($J$2:$J77)</f>
        <v>5266711</v>
      </c>
      <c r="N77" s="2">
        <f>SUM($D$2:$D77)</f>
        <v>189.57999999999993</v>
      </c>
      <c r="O77" s="2">
        <f t="shared" si="11"/>
        <v>1.1297717930106472E-2</v>
      </c>
      <c r="P77" s="2" cm="1">
        <f t="array" ref="P77">SUMPRODUCT((O77&gt;$T$9:$T$14)*(O77&lt;=$U$9:$U$14),$S$9:$S$14)</f>
        <v>1</v>
      </c>
    </row>
    <row r="78" spans="1:16" x14ac:dyDescent="0.25">
      <c r="A78">
        <v>1626</v>
      </c>
      <c r="B78">
        <v>1626</v>
      </c>
      <c r="C78">
        <v>2119</v>
      </c>
      <c r="D78">
        <v>3.68</v>
      </c>
      <c r="E78">
        <v>47800</v>
      </c>
      <c r="F78">
        <v>0</v>
      </c>
      <c r="G78">
        <v>47800000</v>
      </c>
      <c r="H78">
        <v>401</v>
      </c>
      <c r="I78">
        <v>20600</v>
      </c>
      <c r="J78" s="2">
        <f t="shared" si="10"/>
        <v>75808</v>
      </c>
      <c r="K78">
        <v>77</v>
      </c>
      <c r="L78" s="3">
        <f>SUM($I$2:$I78)</f>
        <v>2220600</v>
      </c>
      <c r="M78" s="3">
        <f>SUM($J$2:$J78)</f>
        <v>5342519</v>
      </c>
      <c r="N78" s="2">
        <f>SUM($D$2:$D78)</f>
        <v>193.25999999999993</v>
      </c>
      <c r="O78" s="2">
        <f t="shared" si="11"/>
        <v>1.151702166458686E-2</v>
      </c>
      <c r="P78" s="2" cm="1">
        <f t="array" ref="P78">SUMPRODUCT((O78&gt;$T$9:$T$14)*(O78&lt;=$U$9:$U$14),$S$9:$S$14)</f>
        <v>1</v>
      </c>
    </row>
    <row r="79" spans="1:16" x14ac:dyDescent="0.25">
      <c r="A79">
        <v>902</v>
      </c>
      <c r="B79">
        <v>528</v>
      </c>
      <c r="C79">
        <v>167</v>
      </c>
      <c r="D79">
        <v>2.02</v>
      </c>
      <c r="E79">
        <v>10123</v>
      </c>
      <c r="F79">
        <v>0</v>
      </c>
      <c r="G79">
        <v>10123000</v>
      </c>
      <c r="H79" t="s">
        <v>20</v>
      </c>
      <c r="I79">
        <v>20600</v>
      </c>
      <c r="J79" s="2">
        <f t="shared" si="10"/>
        <v>41612</v>
      </c>
      <c r="K79">
        <v>78</v>
      </c>
      <c r="L79" s="3">
        <f>SUM($I$2:$I79)</f>
        <v>2241200</v>
      </c>
      <c r="M79" s="3">
        <f>SUM($J$2:$J79)</f>
        <v>5384131</v>
      </c>
      <c r="N79" s="2">
        <f>SUM($D$2:$D79)</f>
        <v>195.27999999999994</v>
      </c>
      <c r="O79" s="2">
        <f t="shared" si="11"/>
        <v>1.1637400344926638E-2</v>
      </c>
      <c r="P79" s="2" cm="1">
        <f t="array" ref="P79">SUMPRODUCT((O79&gt;$T$9:$T$14)*(O79&lt;=$U$9:$U$14),$S$9:$S$14)</f>
        <v>1</v>
      </c>
    </row>
    <row r="80" spans="1:16" x14ac:dyDescent="0.25">
      <c r="A80">
        <v>888</v>
      </c>
      <c r="B80">
        <v>514</v>
      </c>
      <c r="C80">
        <v>149</v>
      </c>
      <c r="D80">
        <v>1.4</v>
      </c>
      <c r="E80">
        <v>10140</v>
      </c>
      <c r="F80">
        <v>0</v>
      </c>
      <c r="G80">
        <v>10140000</v>
      </c>
      <c r="H80" t="s">
        <v>20</v>
      </c>
      <c r="I80">
        <v>20600</v>
      </c>
      <c r="J80" s="2">
        <f t="shared" si="10"/>
        <v>28839.999999999996</v>
      </c>
      <c r="K80">
        <v>79</v>
      </c>
      <c r="L80" s="3">
        <f>SUM($I$2:$I80)</f>
        <v>2261800</v>
      </c>
      <c r="M80" s="3">
        <f>SUM($J$2:$J80)</f>
        <v>5412971</v>
      </c>
      <c r="N80" s="2">
        <f>SUM($D$2:$D80)</f>
        <v>196.67999999999995</v>
      </c>
      <c r="O80" s="2">
        <f t="shared" si="11"/>
        <v>1.172083111347896E-2</v>
      </c>
      <c r="P80" s="2" cm="1">
        <f t="array" ref="P80">SUMPRODUCT((O80&gt;$T$9:$T$14)*(O80&lt;=$U$9:$U$14),$S$9:$S$14)</f>
        <v>1</v>
      </c>
    </row>
    <row r="81" spans="1:16" x14ac:dyDescent="0.25">
      <c r="A81">
        <v>1607</v>
      </c>
      <c r="B81">
        <v>1607</v>
      </c>
      <c r="C81">
        <v>2097</v>
      </c>
      <c r="D81">
        <v>4.49</v>
      </c>
      <c r="E81">
        <v>47815</v>
      </c>
      <c r="F81">
        <v>0</v>
      </c>
      <c r="G81">
        <v>47815000</v>
      </c>
      <c r="H81">
        <v>401</v>
      </c>
      <c r="I81">
        <v>20400</v>
      </c>
      <c r="J81" s="2">
        <f t="shared" si="10"/>
        <v>91596</v>
      </c>
      <c r="K81">
        <v>80</v>
      </c>
      <c r="L81" s="3">
        <f>SUM($I$2:$I81)</f>
        <v>2282200</v>
      </c>
      <c r="M81" s="3">
        <f>SUM($J$2:$J81)</f>
        <v>5504567</v>
      </c>
      <c r="N81" s="2">
        <f>SUM($D$2:$D81)</f>
        <v>201.16999999999996</v>
      </c>
      <c r="O81" s="2">
        <f t="shared" si="11"/>
        <v>1.1988405506907477E-2</v>
      </c>
      <c r="P81" s="2" cm="1">
        <f t="array" ref="P81">SUMPRODUCT((O81&gt;$T$9:$T$14)*(O81&lt;=$U$9:$U$14),$S$9:$S$14)</f>
        <v>1</v>
      </c>
    </row>
    <row r="82" spans="1:16" x14ac:dyDescent="0.25">
      <c r="A82">
        <v>1543</v>
      </c>
      <c r="B82">
        <v>375</v>
      </c>
      <c r="C82">
        <v>1519</v>
      </c>
      <c r="D82">
        <v>2.93</v>
      </c>
      <c r="E82">
        <v>47577</v>
      </c>
      <c r="F82">
        <v>0</v>
      </c>
      <c r="G82">
        <v>47577000</v>
      </c>
      <c r="H82">
        <v>401</v>
      </c>
      <c r="I82">
        <v>20400</v>
      </c>
      <c r="J82" s="2">
        <f t="shared" si="10"/>
        <v>59772</v>
      </c>
      <c r="K82">
        <v>81</v>
      </c>
      <c r="L82" s="3">
        <f>SUM($I$2:$I82)</f>
        <v>2302600</v>
      </c>
      <c r="M82" s="3">
        <f>SUM($J$2:$J82)</f>
        <v>5564339</v>
      </c>
      <c r="N82" s="2">
        <f>SUM($D$2:$D82)</f>
        <v>204.09999999999997</v>
      </c>
      <c r="O82" s="2">
        <f t="shared" si="11"/>
        <v>1.2163014186806263E-2</v>
      </c>
      <c r="P82" s="2" cm="1">
        <f t="array" ref="P82">SUMPRODUCT((O82&gt;$T$9:$T$14)*(O82&lt;=$U$9:$U$14),$S$9:$S$14)</f>
        <v>1</v>
      </c>
    </row>
    <row r="83" spans="1:16" x14ac:dyDescent="0.25">
      <c r="A83">
        <v>909</v>
      </c>
      <c r="B83">
        <v>535</v>
      </c>
      <c r="C83">
        <v>179</v>
      </c>
      <c r="D83">
        <v>2.0699999999999998</v>
      </c>
      <c r="E83">
        <v>10113</v>
      </c>
      <c r="F83">
        <v>0</v>
      </c>
      <c r="G83">
        <v>10113000</v>
      </c>
      <c r="H83" t="s">
        <v>20</v>
      </c>
      <c r="I83">
        <v>20400</v>
      </c>
      <c r="J83" s="2">
        <f t="shared" si="10"/>
        <v>42228</v>
      </c>
      <c r="K83">
        <v>82</v>
      </c>
      <c r="L83" s="3">
        <f>SUM($I$2:$I83)</f>
        <v>2323000</v>
      </c>
      <c r="M83" s="3">
        <f>SUM($J$2:$J83)</f>
        <v>5606567</v>
      </c>
      <c r="N83" s="2">
        <f>SUM($D$2:$D83)</f>
        <v>206.16999999999996</v>
      </c>
      <c r="O83" s="2">
        <f t="shared" si="11"/>
        <v>1.2286372537451481E-2</v>
      </c>
      <c r="P83" s="2" cm="1">
        <f t="array" ref="P83">SUMPRODUCT((O83&gt;$T$9:$T$14)*(O83&lt;=$U$9:$U$14),$S$9:$S$14)</f>
        <v>1</v>
      </c>
    </row>
    <row r="84" spans="1:16" x14ac:dyDescent="0.25">
      <c r="A84">
        <v>1632</v>
      </c>
      <c r="B84">
        <v>1632</v>
      </c>
      <c r="C84">
        <v>2127</v>
      </c>
      <c r="D84">
        <v>7.59</v>
      </c>
      <c r="E84">
        <v>47784</v>
      </c>
      <c r="F84">
        <v>0</v>
      </c>
      <c r="G84">
        <v>47784000</v>
      </c>
      <c r="H84">
        <v>401</v>
      </c>
      <c r="I84">
        <v>20300</v>
      </c>
      <c r="J84" s="2">
        <f t="shared" si="10"/>
        <v>154077</v>
      </c>
      <c r="K84">
        <v>83</v>
      </c>
      <c r="L84" s="3">
        <f>SUM($I$2:$I84)</f>
        <v>2343300</v>
      </c>
      <c r="M84" s="3">
        <f>SUM($J$2:$J84)</f>
        <v>5760644</v>
      </c>
      <c r="N84" s="2">
        <f>SUM($D$2:$D84)</f>
        <v>213.75999999999996</v>
      </c>
      <c r="O84" s="2">
        <f t="shared" si="11"/>
        <v>1.273868648981728E-2</v>
      </c>
      <c r="P84" s="2" cm="1">
        <f t="array" ref="P84">SUMPRODUCT((O84&gt;$T$9:$T$14)*(O84&lt;=$U$9:$U$14),$S$9:$S$14)</f>
        <v>1</v>
      </c>
    </row>
    <row r="85" spans="1:16" x14ac:dyDescent="0.25">
      <c r="A85">
        <v>885</v>
      </c>
      <c r="B85">
        <v>511</v>
      </c>
      <c r="C85">
        <v>146</v>
      </c>
      <c r="D85">
        <v>2.0299999999999998</v>
      </c>
      <c r="E85">
        <v>10146</v>
      </c>
      <c r="F85">
        <v>0</v>
      </c>
      <c r="G85">
        <v>10146000</v>
      </c>
      <c r="H85" t="s">
        <v>20</v>
      </c>
      <c r="I85">
        <v>20300</v>
      </c>
      <c r="J85" s="2">
        <f t="shared" si="10"/>
        <v>41208.999999999993</v>
      </c>
      <c r="K85">
        <v>84</v>
      </c>
      <c r="L85" s="3">
        <f>SUM($I$2:$I85)</f>
        <v>2363600</v>
      </c>
      <c r="M85" s="3">
        <f>SUM($J$2:$J85)</f>
        <v>5801853</v>
      </c>
      <c r="N85" s="2">
        <f>SUM($D$2:$D85)</f>
        <v>215.78999999999996</v>
      </c>
      <c r="O85" s="2">
        <f t="shared" si="11"/>
        <v>1.2859661104218146E-2</v>
      </c>
      <c r="P85" s="2" cm="1">
        <f t="array" ref="P85">SUMPRODUCT((O85&gt;$T$9:$T$14)*(O85&lt;=$U$9:$U$14),$S$9:$S$14)</f>
        <v>1</v>
      </c>
    </row>
    <row r="86" spans="1:16" x14ac:dyDescent="0.25">
      <c r="A86">
        <v>882</v>
      </c>
      <c r="B86">
        <v>508</v>
      </c>
      <c r="C86">
        <v>143</v>
      </c>
      <c r="D86">
        <v>1.82</v>
      </c>
      <c r="E86">
        <v>10153</v>
      </c>
      <c r="F86">
        <v>0</v>
      </c>
      <c r="G86">
        <v>10153000</v>
      </c>
      <c r="H86" t="s">
        <v>20</v>
      </c>
      <c r="I86">
        <v>20300</v>
      </c>
      <c r="J86" s="2">
        <f t="shared" si="10"/>
        <v>36946</v>
      </c>
      <c r="K86">
        <v>85</v>
      </c>
      <c r="L86" s="3">
        <f>SUM($I$2:$I86)</f>
        <v>2383900</v>
      </c>
      <c r="M86" s="3">
        <f>SUM($J$2:$J86)</f>
        <v>5838799</v>
      </c>
      <c r="N86" s="2">
        <f>SUM($D$2:$D86)</f>
        <v>217.60999999999996</v>
      </c>
      <c r="O86" s="2">
        <f t="shared" si="11"/>
        <v>1.2968121103336163E-2</v>
      </c>
      <c r="P86" s="2" cm="1">
        <f t="array" ref="P86">SUMPRODUCT((O86&gt;$T$9:$T$14)*(O86&lt;=$U$9:$U$14),$S$9:$S$14)</f>
        <v>1</v>
      </c>
    </row>
    <row r="87" spans="1:16" x14ac:dyDescent="0.25">
      <c r="A87">
        <v>1594</v>
      </c>
      <c r="B87">
        <v>1594</v>
      </c>
      <c r="C87">
        <v>2083</v>
      </c>
      <c r="D87">
        <v>3.11</v>
      </c>
      <c r="E87">
        <v>47594</v>
      </c>
      <c r="F87">
        <v>0</v>
      </c>
      <c r="G87">
        <v>47594000</v>
      </c>
      <c r="H87">
        <v>401</v>
      </c>
      <c r="I87">
        <v>20000</v>
      </c>
      <c r="J87" s="2">
        <f t="shared" si="10"/>
        <v>62200</v>
      </c>
      <c r="K87">
        <v>86</v>
      </c>
      <c r="L87" s="3">
        <f>SUM($I$2:$I87)</f>
        <v>2403900</v>
      </c>
      <c r="M87" s="3">
        <f>SUM($J$2:$J87)</f>
        <v>5900999</v>
      </c>
      <c r="N87" s="2">
        <f>SUM($D$2:$D87)</f>
        <v>220.71999999999997</v>
      </c>
      <c r="O87" s="2">
        <f t="shared" si="11"/>
        <v>1.3153456596334535E-2</v>
      </c>
      <c r="P87" s="2" cm="1">
        <f t="array" ref="P87">SUMPRODUCT((O87&gt;$T$9:$T$14)*(O87&lt;=$U$9:$U$14),$S$9:$S$14)</f>
        <v>1</v>
      </c>
    </row>
    <row r="88" spans="1:16" x14ac:dyDescent="0.25">
      <c r="A88">
        <v>1453</v>
      </c>
      <c r="B88">
        <v>285</v>
      </c>
      <c r="C88">
        <v>1408</v>
      </c>
      <c r="D88">
        <v>2.06</v>
      </c>
      <c r="E88">
        <v>46815</v>
      </c>
      <c r="F88">
        <v>0</v>
      </c>
      <c r="G88">
        <v>46815000</v>
      </c>
      <c r="H88">
        <v>400</v>
      </c>
      <c r="I88">
        <v>20000</v>
      </c>
      <c r="J88" s="2">
        <f t="shared" si="10"/>
        <v>41200</v>
      </c>
      <c r="K88">
        <v>87</v>
      </c>
      <c r="L88" s="3">
        <f>SUM($I$2:$I88)</f>
        <v>2423900</v>
      </c>
      <c r="M88" s="3">
        <f>SUM($J$2:$J88)</f>
        <v>5942199</v>
      </c>
      <c r="N88" s="2">
        <f>SUM($D$2:$D88)</f>
        <v>222.77999999999997</v>
      </c>
      <c r="O88" s="2">
        <f t="shared" si="11"/>
        <v>1.3276219012918665E-2</v>
      </c>
      <c r="P88" s="2" cm="1">
        <f t="array" ref="P88">SUMPRODUCT((O88&gt;$T$9:$T$14)*(O88&lt;=$U$9:$U$14),$S$9:$S$14)</f>
        <v>1</v>
      </c>
    </row>
    <row r="89" spans="1:16" x14ac:dyDescent="0.25">
      <c r="A89">
        <v>687</v>
      </c>
      <c r="B89">
        <v>1474</v>
      </c>
      <c r="C89">
        <v>925</v>
      </c>
      <c r="D89">
        <v>1.73</v>
      </c>
      <c r="E89">
        <v>10100</v>
      </c>
      <c r="F89">
        <v>0</v>
      </c>
      <c r="G89">
        <v>10100000</v>
      </c>
      <c r="H89" t="s">
        <v>20</v>
      </c>
      <c r="I89">
        <v>19900</v>
      </c>
      <c r="J89" s="2">
        <f t="shared" si="10"/>
        <v>34427</v>
      </c>
      <c r="K89">
        <v>88</v>
      </c>
      <c r="L89" s="3">
        <f>SUM($I$2:$I89)</f>
        <v>2443800</v>
      </c>
      <c r="M89" s="3">
        <f>SUM($J$2:$J89)</f>
        <v>5976626</v>
      </c>
      <c r="N89" s="2">
        <f>SUM($D$2:$D89)</f>
        <v>224.50999999999996</v>
      </c>
      <c r="O89" s="2">
        <f t="shared" si="11"/>
        <v>1.3379315605486889E-2</v>
      </c>
      <c r="P89" s="2" cm="1">
        <f t="array" ref="P89">SUMPRODUCT((O89&gt;$T$9:$T$14)*(O89&lt;=$U$9:$U$14),$S$9:$S$14)</f>
        <v>1</v>
      </c>
    </row>
    <row r="90" spans="1:16" x14ac:dyDescent="0.25">
      <c r="A90">
        <v>1559</v>
      </c>
      <c r="B90">
        <v>391</v>
      </c>
      <c r="C90">
        <v>1538</v>
      </c>
      <c r="D90">
        <v>2.5299999999999998</v>
      </c>
      <c r="E90">
        <v>47596</v>
      </c>
      <c r="F90">
        <v>0</v>
      </c>
      <c r="G90">
        <v>47596000</v>
      </c>
      <c r="H90">
        <v>401</v>
      </c>
      <c r="I90">
        <v>19800</v>
      </c>
      <c r="J90" s="2">
        <f t="shared" si="10"/>
        <v>50093.999999999993</v>
      </c>
      <c r="K90">
        <v>89</v>
      </c>
      <c r="L90" s="3">
        <f>SUM($I$2:$I90)</f>
        <v>2463600</v>
      </c>
      <c r="M90" s="3">
        <f>SUM($J$2:$J90)</f>
        <v>6026720</v>
      </c>
      <c r="N90" s="2">
        <f>SUM($D$2:$D90)</f>
        <v>227.03999999999996</v>
      </c>
      <c r="O90" s="2">
        <f t="shared" si="11"/>
        <v>1.3530086922942157E-2</v>
      </c>
      <c r="P90" s="2" cm="1">
        <f t="array" ref="P90">SUMPRODUCT((O90&gt;$T$9:$T$14)*(O90&lt;=$U$9:$U$14),$S$9:$S$14)</f>
        <v>1</v>
      </c>
    </row>
    <row r="91" spans="1:16" x14ac:dyDescent="0.25">
      <c r="A91">
        <v>117</v>
      </c>
      <c r="B91">
        <v>913</v>
      </c>
      <c r="C91">
        <v>1672</v>
      </c>
      <c r="D91">
        <v>3.69</v>
      </c>
      <c r="E91">
        <v>47786</v>
      </c>
      <c r="F91">
        <v>0</v>
      </c>
      <c r="G91">
        <v>47786000</v>
      </c>
      <c r="H91">
        <v>401</v>
      </c>
      <c r="I91">
        <v>19500</v>
      </c>
      <c r="J91" s="2">
        <f t="shared" si="10"/>
        <v>71955</v>
      </c>
      <c r="K91">
        <v>90</v>
      </c>
      <c r="L91" s="3">
        <f>SUM($I$2:$I91)</f>
        <v>2483100</v>
      </c>
      <c r="M91" s="3">
        <f>SUM($J$2:$J91)</f>
        <v>6098675</v>
      </c>
      <c r="N91" s="2">
        <f>SUM($D$2:$D91)</f>
        <v>230.72999999999996</v>
      </c>
      <c r="O91" s="2">
        <f t="shared" si="11"/>
        <v>1.3749986591483632E-2</v>
      </c>
      <c r="P91" s="2" cm="1">
        <f t="array" ref="P91">SUMPRODUCT((O91&gt;$T$9:$T$14)*(O91&lt;=$U$9:$U$14),$S$9:$S$14)</f>
        <v>1</v>
      </c>
    </row>
    <row r="92" spans="1:16" x14ac:dyDescent="0.25">
      <c r="A92">
        <v>110</v>
      </c>
      <c r="B92">
        <v>906</v>
      </c>
      <c r="C92">
        <v>1664</v>
      </c>
      <c r="D92">
        <v>2.35</v>
      </c>
      <c r="E92">
        <v>47688</v>
      </c>
      <c r="F92">
        <v>0</v>
      </c>
      <c r="G92">
        <v>47688000</v>
      </c>
      <c r="H92">
        <v>401</v>
      </c>
      <c r="I92">
        <v>19400</v>
      </c>
      <c r="J92" s="2">
        <f t="shared" si="10"/>
        <v>45590</v>
      </c>
      <c r="K92">
        <v>91</v>
      </c>
      <c r="L92" s="3">
        <f>SUM($I$2:$I92)</f>
        <v>2502500</v>
      </c>
      <c r="M92" s="3">
        <f>SUM($J$2:$J92)</f>
        <v>6144265</v>
      </c>
      <c r="N92" s="2">
        <f>SUM($D$2:$D92)</f>
        <v>233.07999999999996</v>
      </c>
      <c r="O92" s="2">
        <f t="shared" si="11"/>
        <v>1.3890031095839313E-2</v>
      </c>
      <c r="P92" s="2" cm="1">
        <f t="array" ref="P92">SUMPRODUCT((O92&gt;$T$9:$T$14)*(O92&lt;=$U$9:$U$14),$S$9:$S$14)</f>
        <v>1</v>
      </c>
    </row>
    <row r="93" spans="1:16" x14ac:dyDescent="0.25">
      <c r="A93">
        <v>1650</v>
      </c>
      <c r="B93">
        <v>1650</v>
      </c>
      <c r="C93">
        <v>2145</v>
      </c>
      <c r="D93">
        <v>2.12</v>
      </c>
      <c r="E93">
        <v>48260</v>
      </c>
      <c r="F93">
        <v>0</v>
      </c>
      <c r="G93">
        <v>48260000</v>
      </c>
      <c r="H93">
        <v>403</v>
      </c>
      <c r="I93">
        <v>19400</v>
      </c>
      <c r="J93" s="2">
        <f t="shared" si="10"/>
        <v>41128</v>
      </c>
      <c r="K93">
        <v>92</v>
      </c>
      <c r="L93" s="3">
        <f>SUM($I$2:$I93)</f>
        <v>2521900</v>
      </c>
      <c r="M93" s="3">
        <f>SUM($J$2:$J93)</f>
        <v>6185393</v>
      </c>
      <c r="N93" s="2">
        <f>SUM($D$2:$D93)</f>
        <v>235.19999999999996</v>
      </c>
      <c r="O93" s="2">
        <f t="shared" si="11"/>
        <v>1.4016369116789971E-2</v>
      </c>
      <c r="P93" s="2" cm="1">
        <f t="array" ref="P93">SUMPRODUCT((O93&gt;$T$9:$T$14)*(O93&lt;=$U$9:$U$14),$S$9:$S$14)</f>
        <v>1</v>
      </c>
    </row>
    <row r="94" spans="1:16" x14ac:dyDescent="0.25">
      <c r="A94">
        <v>107</v>
      </c>
      <c r="B94">
        <v>903</v>
      </c>
      <c r="C94">
        <v>1661</v>
      </c>
      <c r="D94">
        <v>1.52</v>
      </c>
      <c r="E94">
        <v>48986</v>
      </c>
      <c r="F94">
        <v>0</v>
      </c>
      <c r="G94">
        <v>48986000</v>
      </c>
      <c r="H94">
        <v>409</v>
      </c>
      <c r="I94">
        <v>19200</v>
      </c>
      <c r="J94" s="2">
        <f t="shared" si="10"/>
        <v>29184</v>
      </c>
      <c r="K94">
        <v>93</v>
      </c>
      <c r="L94" s="3">
        <f>SUM($I$2:$I94)</f>
        <v>2541100</v>
      </c>
      <c r="M94" s="3">
        <f>SUM($J$2:$J94)</f>
        <v>6214577</v>
      </c>
      <c r="N94" s="2">
        <f>SUM($D$2:$D94)</f>
        <v>236.71999999999997</v>
      </c>
      <c r="O94" s="2">
        <f t="shared" si="11"/>
        <v>1.4106951094075349E-2</v>
      </c>
      <c r="P94" s="2" cm="1">
        <f t="array" ref="P94">SUMPRODUCT((O94&gt;$T$9:$T$14)*(O94&lt;=$U$9:$U$14),$S$9:$S$14)</f>
        <v>1</v>
      </c>
    </row>
    <row r="95" spans="1:16" x14ac:dyDescent="0.25">
      <c r="A95">
        <v>891</v>
      </c>
      <c r="B95">
        <v>517</v>
      </c>
      <c r="C95">
        <v>152</v>
      </c>
      <c r="D95">
        <v>2.13</v>
      </c>
      <c r="E95">
        <v>10133</v>
      </c>
      <c r="F95">
        <v>0</v>
      </c>
      <c r="G95">
        <v>10133000</v>
      </c>
      <c r="H95" t="s">
        <v>20</v>
      </c>
      <c r="I95">
        <v>19100</v>
      </c>
      <c r="J95" s="2">
        <f t="shared" si="10"/>
        <v>40683</v>
      </c>
      <c r="K95">
        <v>94</v>
      </c>
      <c r="L95" s="3">
        <f>SUM($I$2:$I95)</f>
        <v>2560200</v>
      </c>
      <c r="M95" s="3">
        <f>SUM($J$2:$J95)</f>
        <v>6255260</v>
      </c>
      <c r="N95" s="2">
        <f>SUM($D$2:$D95)</f>
        <v>238.84999999999997</v>
      </c>
      <c r="O95" s="2">
        <f t="shared" si="11"/>
        <v>1.4233885049087095E-2</v>
      </c>
      <c r="P95" s="2" cm="1">
        <f t="array" ref="P95">SUMPRODUCT((O95&gt;$T$9:$T$14)*(O95&lt;=$U$9:$U$14),$S$9:$S$14)</f>
        <v>1</v>
      </c>
    </row>
    <row r="96" spans="1:16" x14ac:dyDescent="0.25">
      <c r="A96">
        <v>122</v>
      </c>
      <c r="B96">
        <v>918</v>
      </c>
      <c r="C96">
        <v>1677</v>
      </c>
      <c r="D96">
        <v>3.2</v>
      </c>
      <c r="E96">
        <v>47820</v>
      </c>
      <c r="F96">
        <v>0</v>
      </c>
      <c r="G96">
        <v>47820000</v>
      </c>
      <c r="H96">
        <v>401</v>
      </c>
      <c r="I96">
        <v>18800</v>
      </c>
      <c r="J96" s="2">
        <f t="shared" si="10"/>
        <v>60160</v>
      </c>
      <c r="K96">
        <v>95</v>
      </c>
      <c r="L96" s="3">
        <f>SUM($I$2:$I96)</f>
        <v>2579000</v>
      </c>
      <c r="M96" s="3">
        <f>SUM($J$2:$J96)</f>
        <v>6315420</v>
      </c>
      <c r="N96" s="2">
        <f>SUM($D$2:$D96)</f>
        <v>242.04999999999995</v>
      </c>
      <c r="O96" s="2">
        <f t="shared" si="11"/>
        <v>1.4424583948635257E-2</v>
      </c>
      <c r="P96" s="2" cm="1">
        <f t="array" ref="P96">SUMPRODUCT((O96&gt;$T$9:$T$14)*(O96&lt;=$U$9:$U$14),$S$9:$S$14)</f>
        <v>1</v>
      </c>
    </row>
    <row r="97" spans="1:16" x14ac:dyDescent="0.25">
      <c r="A97">
        <v>1542</v>
      </c>
      <c r="B97">
        <v>374</v>
      </c>
      <c r="C97">
        <v>1518</v>
      </c>
      <c r="D97">
        <v>3.34</v>
      </c>
      <c r="E97">
        <v>47578</v>
      </c>
      <c r="F97">
        <v>0</v>
      </c>
      <c r="G97">
        <v>47578000</v>
      </c>
      <c r="H97">
        <v>401</v>
      </c>
      <c r="I97">
        <v>18700</v>
      </c>
      <c r="J97" s="2">
        <f t="shared" si="10"/>
        <v>62458</v>
      </c>
      <c r="K97">
        <v>96</v>
      </c>
      <c r="L97" s="3">
        <f>SUM($I$2:$I97)</f>
        <v>2597700</v>
      </c>
      <c r="M97" s="3">
        <f>SUM($J$2:$J97)</f>
        <v>6377878</v>
      </c>
      <c r="N97" s="2">
        <f>SUM($D$2:$D97)</f>
        <v>245.38999999999996</v>
      </c>
      <c r="O97" s="2">
        <f t="shared" si="11"/>
        <v>1.4623625925038653E-2</v>
      </c>
      <c r="P97" s="2" cm="1">
        <f t="array" ref="P97">SUMPRODUCT((O97&gt;$T$9:$T$14)*(O97&lt;=$U$9:$U$14),$S$9:$S$14)</f>
        <v>1</v>
      </c>
    </row>
    <row r="98" spans="1:16" x14ac:dyDescent="0.25">
      <c r="A98">
        <v>1629</v>
      </c>
      <c r="B98">
        <v>1629</v>
      </c>
      <c r="C98">
        <v>2123</v>
      </c>
      <c r="D98">
        <v>7.47</v>
      </c>
      <c r="E98">
        <v>47793</v>
      </c>
      <c r="F98">
        <v>0</v>
      </c>
      <c r="G98">
        <v>47793000</v>
      </c>
      <c r="H98">
        <v>401</v>
      </c>
      <c r="I98">
        <v>18600</v>
      </c>
      <c r="J98" s="2">
        <f t="shared" si="10"/>
        <v>138942</v>
      </c>
      <c r="K98">
        <v>97</v>
      </c>
      <c r="L98" s="3">
        <f>SUM($I$2:$I98)</f>
        <v>2616300</v>
      </c>
      <c r="M98" s="3">
        <f>SUM($J$2:$J98)</f>
        <v>6516820</v>
      </c>
      <c r="N98" s="2">
        <f>SUM($D$2:$D98)</f>
        <v>252.85999999999996</v>
      </c>
      <c r="O98" s="2">
        <f t="shared" si="11"/>
        <v>1.5068788668671396E-2</v>
      </c>
      <c r="P98" s="2" cm="1">
        <f t="array" ref="P98">SUMPRODUCT((O98&gt;$T$9:$T$14)*(O98&lt;=$U$9:$U$14),$S$9:$S$14)</f>
        <v>1</v>
      </c>
    </row>
    <row r="99" spans="1:16" x14ac:dyDescent="0.25">
      <c r="A99">
        <v>1668</v>
      </c>
      <c r="B99">
        <v>1668</v>
      </c>
      <c r="C99">
        <v>2166</v>
      </c>
      <c r="D99">
        <v>2.89</v>
      </c>
      <c r="E99">
        <v>47740</v>
      </c>
      <c r="F99">
        <v>0</v>
      </c>
      <c r="G99">
        <v>47740000</v>
      </c>
      <c r="H99">
        <v>401</v>
      </c>
      <c r="I99">
        <v>18600</v>
      </c>
      <c r="J99" s="2">
        <f t="shared" si="10"/>
        <v>53754</v>
      </c>
      <c r="K99">
        <v>98</v>
      </c>
      <c r="L99" s="3">
        <f>SUM($I$2:$I99)</f>
        <v>2634900</v>
      </c>
      <c r="M99" s="3">
        <f>SUM($J$2:$J99)</f>
        <v>6570574</v>
      </c>
      <c r="N99" s="2">
        <f>SUM($D$2:$D99)</f>
        <v>255.74999999999994</v>
      </c>
      <c r="O99" s="2">
        <f t="shared" si="11"/>
        <v>1.5241013612325828E-2</v>
      </c>
      <c r="P99" s="2" cm="1">
        <f t="array" ref="P99">SUMPRODUCT((O99&gt;$T$9:$T$14)*(O99&lt;=$U$9:$U$14),$S$9:$S$14)</f>
        <v>1</v>
      </c>
    </row>
    <row r="100" spans="1:16" x14ac:dyDescent="0.25">
      <c r="A100">
        <v>49</v>
      </c>
      <c r="B100">
        <v>845</v>
      </c>
      <c r="C100">
        <v>1600</v>
      </c>
      <c r="D100">
        <v>2.71</v>
      </c>
      <c r="E100">
        <v>47823</v>
      </c>
      <c r="F100">
        <v>0</v>
      </c>
      <c r="G100">
        <v>47823000</v>
      </c>
      <c r="H100">
        <v>401</v>
      </c>
      <c r="I100">
        <v>18400</v>
      </c>
      <c r="J100" s="2">
        <f t="shared" si="10"/>
        <v>49864</v>
      </c>
      <c r="K100">
        <v>99</v>
      </c>
      <c r="L100" s="3">
        <f>SUM($I$2:$I100)</f>
        <v>2653300</v>
      </c>
      <c r="M100" s="3">
        <f>SUM($J$2:$J100)</f>
        <v>6620438</v>
      </c>
      <c r="N100" s="2">
        <f>SUM($D$2:$D100)</f>
        <v>258.45999999999992</v>
      </c>
      <c r="O100" s="2">
        <f t="shared" si="11"/>
        <v>1.5402511742880678E-2</v>
      </c>
      <c r="P100" s="2" cm="1">
        <f t="array" ref="P100">SUMPRODUCT((O100&gt;$T$9:$T$14)*(O100&lt;=$U$9:$U$14),$S$9:$S$14)</f>
        <v>1</v>
      </c>
    </row>
    <row r="101" spans="1:16" x14ac:dyDescent="0.25">
      <c r="A101">
        <v>1454</v>
      </c>
      <c r="B101">
        <v>286</v>
      </c>
      <c r="C101">
        <v>1409</v>
      </c>
      <c r="D101">
        <v>4.3600000000000003</v>
      </c>
      <c r="E101">
        <v>46810</v>
      </c>
      <c r="F101">
        <v>0</v>
      </c>
      <c r="G101">
        <v>46810000</v>
      </c>
      <c r="H101">
        <v>400</v>
      </c>
      <c r="I101">
        <v>18300</v>
      </c>
      <c r="J101" s="2">
        <f t="shared" si="10"/>
        <v>79788</v>
      </c>
      <c r="K101">
        <v>100</v>
      </c>
      <c r="L101" s="3">
        <f>SUM($I$2:$I101)</f>
        <v>2671600</v>
      </c>
      <c r="M101" s="3">
        <f>SUM($J$2:$J101)</f>
        <v>6700226</v>
      </c>
      <c r="N101" s="2">
        <f>SUM($D$2:$D101)</f>
        <v>262.81999999999994</v>
      </c>
      <c r="O101" s="2">
        <f t="shared" si="11"/>
        <v>1.5662338993515049E-2</v>
      </c>
      <c r="P101" s="2" cm="1">
        <f t="array" ref="P101">SUMPRODUCT((O101&gt;$T$9:$T$14)*(O101&lt;=$U$9:$U$14),$S$9:$S$14)</f>
        <v>1</v>
      </c>
    </row>
    <row r="102" spans="1:16" x14ac:dyDescent="0.25">
      <c r="A102">
        <v>897</v>
      </c>
      <c r="B102">
        <v>523</v>
      </c>
      <c r="C102">
        <v>158</v>
      </c>
      <c r="D102">
        <v>1.62</v>
      </c>
      <c r="E102">
        <v>10128</v>
      </c>
      <c r="F102">
        <v>0</v>
      </c>
      <c r="G102">
        <v>10128000</v>
      </c>
      <c r="H102" t="s">
        <v>20</v>
      </c>
      <c r="I102">
        <v>18200</v>
      </c>
      <c r="J102" s="2">
        <f t="shared" si="10"/>
        <v>29484.000000000004</v>
      </c>
      <c r="K102">
        <v>101</v>
      </c>
      <c r="L102" s="3">
        <f>SUM($I$2:$I102)</f>
        <v>2689800</v>
      </c>
      <c r="M102" s="3">
        <f>SUM($J$2:$J102)</f>
        <v>6729710</v>
      </c>
      <c r="N102" s="2">
        <f>SUM($D$2:$D102)</f>
        <v>264.43999999999994</v>
      </c>
      <c r="O102" s="2">
        <f t="shared" si="11"/>
        <v>1.5758880311411309E-2</v>
      </c>
      <c r="P102" s="2" cm="1">
        <f t="array" ref="P102">SUMPRODUCT((O102&gt;$T$9:$T$14)*(O102&lt;=$U$9:$U$14),$S$9:$S$14)</f>
        <v>1</v>
      </c>
    </row>
    <row r="103" spans="1:16" x14ac:dyDescent="0.25">
      <c r="A103">
        <v>895</v>
      </c>
      <c r="B103">
        <v>521</v>
      </c>
      <c r="C103">
        <v>156</v>
      </c>
      <c r="D103">
        <v>2.15</v>
      </c>
      <c r="E103">
        <v>10130</v>
      </c>
      <c r="F103">
        <v>0</v>
      </c>
      <c r="G103">
        <v>10130000</v>
      </c>
      <c r="H103" t="s">
        <v>20</v>
      </c>
      <c r="I103">
        <v>18100</v>
      </c>
      <c r="J103" s="2">
        <f t="shared" si="10"/>
        <v>38915</v>
      </c>
      <c r="K103">
        <v>102</v>
      </c>
      <c r="L103" s="3">
        <f>SUM($I$2:$I103)</f>
        <v>2707900</v>
      </c>
      <c r="M103" s="3">
        <f>SUM($J$2:$J103)</f>
        <v>6768625</v>
      </c>
      <c r="N103" s="2">
        <f>SUM($D$2:$D103)</f>
        <v>266.58999999999992</v>
      </c>
      <c r="O103" s="2">
        <f t="shared" si="11"/>
        <v>1.5887006134545228E-2</v>
      </c>
      <c r="P103" s="2" cm="1">
        <f t="array" ref="P103">SUMPRODUCT((O103&gt;$T$9:$T$14)*(O103&lt;=$U$9:$U$14),$S$9:$S$14)</f>
        <v>1</v>
      </c>
    </row>
    <row r="104" spans="1:16" x14ac:dyDescent="0.25">
      <c r="A104">
        <v>1604</v>
      </c>
      <c r="B104">
        <v>1604</v>
      </c>
      <c r="C104">
        <v>2094</v>
      </c>
      <c r="D104">
        <v>2.42</v>
      </c>
      <c r="E104">
        <v>49065</v>
      </c>
      <c r="F104">
        <v>0</v>
      </c>
      <c r="G104">
        <v>49065000</v>
      </c>
      <c r="H104">
        <v>410</v>
      </c>
      <c r="I104">
        <v>17900</v>
      </c>
      <c r="J104" s="2">
        <f t="shared" si="10"/>
        <v>43318</v>
      </c>
      <c r="K104">
        <v>103</v>
      </c>
      <c r="L104" s="3">
        <f>SUM($I$2:$I104)</f>
        <v>2725800</v>
      </c>
      <c r="M104" s="3">
        <f>SUM($J$2:$J104)</f>
        <v>6811943</v>
      </c>
      <c r="N104" s="2">
        <f>SUM($D$2:$D104)</f>
        <v>269.00999999999993</v>
      </c>
      <c r="O104" s="2">
        <f t="shared" si="11"/>
        <v>1.6031222177328528E-2</v>
      </c>
      <c r="P104" s="2" cm="1">
        <f t="array" ref="P104">SUMPRODUCT((O104&gt;$T$9:$T$14)*(O104&lt;=$U$9:$U$14),$S$9:$S$14)</f>
        <v>1</v>
      </c>
    </row>
    <row r="105" spans="1:16" x14ac:dyDescent="0.25">
      <c r="A105">
        <v>65</v>
      </c>
      <c r="B105">
        <v>861</v>
      </c>
      <c r="C105">
        <v>1617</v>
      </c>
      <c r="D105">
        <v>1.51</v>
      </c>
      <c r="E105">
        <v>49055</v>
      </c>
      <c r="F105">
        <v>0</v>
      </c>
      <c r="G105">
        <v>49055000</v>
      </c>
      <c r="H105">
        <v>410</v>
      </c>
      <c r="I105">
        <v>17900</v>
      </c>
      <c r="J105" s="2">
        <f t="shared" si="10"/>
        <v>27029</v>
      </c>
      <c r="K105">
        <v>104</v>
      </c>
      <c r="L105" s="3">
        <f>SUM($I$2:$I105)</f>
        <v>2743700</v>
      </c>
      <c r="M105" s="3">
        <f>SUM($J$2:$J105)</f>
        <v>6838972</v>
      </c>
      <c r="N105" s="2">
        <f>SUM($D$2:$D105)</f>
        <v>270.51999999999992</v>
      </c>
      <c r="O105" s="2">
        <f t="shared" si="11"/>
        <v>1.6121208220552817E-2</v>
      </c>
      <c r="P105" s="2" cm="1">
        <f t="array" ref="P105">SUMPRODUCT((O105&gt;$T$9:$T$14)*(O105&lt;=$U$9:$U$14),$S$9:$S$14)</f>
        <v>1</v>
      </c>
    </row>
    <row r="106" spans="1:16" x14ac:dyDescent="0.25">
      <c r="A106">
        <v>105</v>
      </c>
      <c r="B106">
        <v>901</v>
      </c>
      <c r="C106">
        <v>1659</v>
      </c>
      <c r="D106">
        <v>17.760000000000002</v>
      </c>
      <c r="E106">
        <v>47750</v>
      </c>
      <c r="F106">
        <v>0</v>
      </c>
      <c r="G106">
        <v>47750000</v>
      </c>
      <c r="H106">
        <v>401</v>
      </c>
      <c r="I106">
        <v>17600</v>
      </c>
      <c r="J106" s="2">
        <f t="shared" si="10"/>
        <v>312576</v>
      </c>
      <c r="K106">
        <v>105</v>
      </c>
      <c r="L106" s="3">
        <f>SUM($I$2:$I106)</f>
        <v>2761300</v>
      </c>
      <c r="M106" s="3">
        <f>SUM($J$2:$J106)</f>
        <v>7151548</v>
      </c>
      <c r="N106" s="2">
        <f>SUM($D$2:$D106)</f>
        <v>288.27999999999992</v>
      </c>
      <c r="O106" s="2">
        <f t="shared" si="11"/>
        <v>1.7179587113045122E-2</v>
      </c>
      <c r="P106" s="2" cm="1">
        <f t="array" ref="P106">SUMPRODUCT((O106&gt;$T$9:$T$14)*(O106&lt;=$U$9:$U$14),$S$9:$S$14)</f>
        <v>1</v>
      </c>
    </row>
    <row r="107" spans="1:16" x14ac:dyDescent="0.25">
      <c r="A107">
        <v>886</v>
      </c>
      <c r="B107">
        <v>512</v>
      </c>
      <c r="C107">
        <v>147</v>
      </c>
      <c r="D107">
        <v>4.21</v>
      </c>
      <c r="E107">
        <v>10144</v>
      </c>
      <c r="F107">
        <v>0</v>
      </c>
      <c r="G107">
        <v>10144000</v>
      </c>
      <c r="H107" t="s">
        <v>20</v>
      </c>
      <c r="I107">
        <v>17300</v>
      </c>
      <c r="J107" s="2">
        <f t="shared" si="10"/>
        <v>72833</v>
      </c>
      <c r="K107">
        <v>106</v>
      </c>
      <c r="L107" s="3">
        <f>SUM($I$2:$I107)</f>
        <v>2778600</v>
      </c>
      <c r="M107" s="3">
        <f>SUM($J$2:$J107)</f>
        <v>7224381</v>
      </c>
      <c r="N107" s="2">
        <f>SUM($D$2:$D107)</f>
        <v>292.4899999999999</v>
      </c>
      <c r="O107" s="2">
        <f t="shared" si="11"/>
        <v>1.743047535276317E-2</v>
      </c>
      <c r="P107" s="2" cm="1">
        <f t="array" ref="P107">SUMPRODUCT((O107&gt;$T$9:$T$14)*(O107&lt;=$U$9:$U$14),$S$9:$S$14)</f>
        <v>1</v>
      </c>
    </row>
    <row r="108" spans="1:16" x14ac:dyDescent="0.25">
      <c r="A108">
        <v>1541</v>
      </c>
      <c r="B108">
        <v>373</v>
      </c>
      <c r="C108">
        <v>1517</v>
      </c>
      <c r="D108">
        <v>5.63</v>
      </c>
      <c r="E108">
        <v>47580</v>
      </c>
      <c r="F108">
        <v>0</v>
      </c>
      <c r="G108">
        <v>47580000</v>
      </c>
      <c r="H108">
        <v>401</v>
      </c>
      <c r="I108">
        <v>17200</v>
      </c>
      <c r="J108" s="2">
        <f t="shared" si="10"/>
        <v>96836</v>
      </c>
      <c r="K108">
        <v>107</v>
      </c>
      <c r="L108" s="3">
        <f>SUM($I$2:$I108)</f>
        <v>2795800</v>
      </c>
      <c r="M108" s="3">
        <f>SUM($J$2:$J108)</f>
        <v>7321217</v>
      </c>
      <c r="N108" s="2">
        <f>SUM($D$2:$D108)</f>
        <v>298.11999999999989</v>
      </c>
      <c r="O108" s="2">
        <f t="shared" si="11"/>
        <v>1.776598622915572E-2</v>
      </c>
      <c r="P108" s="2" cm="1">
        <f t="array" ref="P108">SUMPRODUCT((O108&gt;$T$9:$T$14)*(O108&lt;=$U$9:$U$14),$S$9:$S$14)</f>
        <v>1</v>
      </c>
    </row>
    <row r="109" spans="1:16" x14ac:dyDescent="0.25">
      <c r="A109">
        <v>102</v>
      </c>
      <c r="B109">
        <v>898</v>
      </c>
      <c r="C109">
        <v>1656</v>
      </c>
      <c r="D109">
        <v>1.82</v>
      </c>
      <c r="E109">
        <v>50350</v>
      </c>
      <c r="F109">
        <v>0</v>
      </c>
      <c r="G109">
        <v>50350000</v>
      </c>
      <c r="H109">
        <v>427</v>
      </c>
      <c r="I109">
        <v>17000</v>
      </c>
      <c r="J109" s="2">
        <f t="shared" si="10"/>
        <v>30940</v>
      </c>
      <c r="K109">
        <v>108</v>
      </c>
      <c r="L109" s="3">
        <f>SUM($I$2:$I109)</f>
        <v>2812800</v>
      </c>
      <c r="M109" s="3">
        <f>SUM($J$2:$J109)</f>
        <v>7352157</v>
      </c>
      <c r="N109" s="2">
        <f>SUM($D$2:$D109)</f>
        <v>299.93999999999988</v>
      </c>
      <c r="O109" s="2">
        <f t="shared" si="11"/>
        <v>1.7874446228273739E-2</v>
      </c>
      <c r="P109" s="2" cm="1">
        <f t="array" ref="P109">SUMPRODUCT((O109&gt;$T$9:$T$14)*(O109&lt;=$U$9:$U$14),$S$9:$S$14)</f>
        <v>1</v>
      </c>
    </row>
    <row r="110" spans="1:16" x14ac:dyDescent="0.25">
      <c r="A110">
        <v>60</v>
      </c>
      <c r="B110">
        <v>856</v>
      </c>
      <c r="C110">
        <v>1612</v>
      </c>
      <c r="D110">
        <v>1.9</v>
      </c>
      <c r="E110">
        <v>47810</v>
      </c>
      <c r="F110">
        <v>0</v>
      </c>
      <c r="G110">
        <v>47810000</v>
      </c>
      <c r="H110">
        <v>401</v>
      </c>
      <c r="I110">
        <v>16900</v>
      </c>
      <c r="J110" s="2">
        <f t="shared" si="10"/>
        <v>32110</v>
      </c>
      <c r="K110">
        <v>109</v>
      </c>
      <c r="L110" s="3">
        <f>SUM($I$2:$I110)</f>
        <v>2829700</v>
      </c>
      <c r="M110" s="3">
        <f>SUM($J$2:$J110)</f>
        <v>7384267</v>
      </c>
      <c r="N110" s="2">
        <f>SUM($D$2:$D110)</f>
        <v>301.83999999999986</v>
      </c>
      <c r="O110" s="2">
        <f t="shared" si="11"/>
        <v>1.7987673699880458E-2</v>
      </c>
      <c r="P110" s="2" cm="1">
        <f t="array" ref="P110">SUMPRODUCT((O110&gt;$T$9:$T$14)*(O110&lt;=$U$9:$U$14),$S$9:$S$14)</f>
        <v>1</v>
      </c>
    </row>
    <row r="111" spans="1:16" x14ac:dyDescent="0.25">
      <c r="A111">
        <v>683</v>
      </c>
      <c r="B111">
        <v>1470</v>
      </c>
      <c r="C111">
        <v>920</v>
      </c>
      <c r="D111">
        <v>2.87</v>
      </c>
      <c r="E111">
        <v>10066</v>
      </c>
      <c r="F111">
        <v>0</v>
      </c>
      <c r="G111">
        <v>10066000</v>
      </c>
      <c r="H111" t="s">
        <v>20</v>
      </c>
      <c r="I111">
        <v>16400</v>
      </c>
      <c r="J111" s="2">
        <f t="shared" si="10"/>
        <v>47068</v>
      </c>
      <c r="K111">
        <v>110</v>
      </c>
      <c r="L111" s="3">
        <f>SUM($I$2:$I111)</f>
        <v>2846100</v>
      </c>
      <c r="M111" s="3">
        <f>SUM($J$2:$J111)</f>
        <v>7431335</v>
      </c>
      <c r="N111" s="2">
        <f>SUM($D$2:$D111)</f>
        <v>304.70999999999987</v>
      </c>
      <c r="O111" s="2">
        <f t="shared" si="11"/>
        <v>1.8158706775412717E-2</v>
      </c>
      <c r="P111" s="2" cm="1">
        <f t="array" ref="P111">SUMPRODUCT((O111&gt;$T$9:$T$14)*(O111&lt;=$U$9:$U$14),$S$9:$S$14)</f>
        <v>1</v>
      </c>
    </row>
    <row r="112" spans="1:16" x14ac:dyDescent="0.25">
      <c r="A112">
        <v>408</v>
      </c>
      <c r="B112">
        <v>405</v>
      </c>
      <c r="C112">
        <v>1553</v>
      </c>
      <c r="D112">
        <v>1.83</v>
      </c>
      <c r="E112">
        <v>48325</v>
      </c>
      <c r="F112">
        <v>0</v>
      </c>
      <c r="G112">
        <v>48325000</v>
      </c>
      <c r="H112">
        <v>403</v>
      </c>
      <c r="I112">
        <v>16400</v>
      </c>
      <c r="J112" s="2">
        <f t="shared" si="10"/>
        <v>30012</v>
      </c>
      <c r="K112">
        <v>111</v>
      </c>
      <c r="L112" s="3">
        <f>SUM($I$2:$I112)</f>
        <v>2862500</v>
      </c>
      <c r="M112" s="3">
        <f>SUM($J$2:$J112)</f>
        <v>7461347</v>
      </c>
      <c r="N112" s="2">
        <f>SUM($D$2:$D112)</f>
        <v>306.53999999999985</v>
      </c>
      <c r="O112" s="2">
        <f t="shared" si="11"/>
        <v>1.8267762708591821E-2</v>
      </c>
      <c r="P112" s="2" cm="1">
        <f t="array" ref="P112">SUMPRODUCT((O112&gt;$T$9:$T$14)*(O112&lt;=$U$9:$U$14),$S$9:$S$14)</f>
        <v>1</v>
      </c>
    </row>
    <row r="113" spans="1:16" x14ac:dyDescent="0.25">
      <c r="A113">
        <v>1537</v>
      </c>
      <c r="B113">
        <v>369</v>
      </c>
      <c r="C113">
        <v>1513</v>
      </c>
      <c r="D113">
        <v>0.82</v>
      </c>
      <c r="E113">
        <v>47587</v>
      </c>
      <c r="F113">
        <v>0</v>
      </c>
      <c r="G113">
        <v>47587000</v>
      </c>
      <c r="H113">
        <v>401</v>
      </c>
      <c r="I113">
        <v>16100</v>
      </c>
      <c r="J113" s="2">
        <f t="shared" si="10"/>
        <v>13202</v>
      </c>
      <c r="K113">
        <v>112</v>
      </c>
      <c r="L113" s="3">
        <f>SUM($I$2:$I113)</f>
        <v>2878600</v>
      </c>
      <c r="M113" s="3">
        <f>SUM($J$2:$J113)</f>
        <v>7474549</v>
      </c>
      <c r="N113" s="2">
        <f>SUM($D$2:$D113)</f>
        <v>307.35999999999984</v>
      </c>
      <c r="O113" s="2">
        <f t="shared" si="11"/>
        <v>1.8316629301601037E-2</v>
      </c>
      <c r="P113" s="2" cm="1">
        <f t="array" ref="P113">SUMPRODUCT((O113&gt;$T$9:$T$14)*(O113&lt;=$U$9:$U$14),$S$9:$S$14)</f>
        <v>1</v>
      </c>
    </row>
    <row r="114" spans="1:16" x14ac:dyDescent="0.25">
      <c r="A114">
        <v>1587</v>
      </c>
      <c r="B114">
        <v>1587</v>
      </c>
      <c r="C114">
        <v>2076</v>
      </c>
      <c r="D114">
        <v>7.09</v>
      </c>
      <c r="E114">
        <v>47745</v>
      </c>
      <c r="F114">
        <v>0</v>
      </c>
      <c r="G114">
        <v>47745000</v>
      </c>
      <c r="H114">
        <v>401</v>
      </c>
      <c r="I114">
        <v>16000</v>
      </c>
      <c r="J114" s="2">
        <f t="shared" si="10"/>
        <v>113440</v>
      </c>
      <c r="K114">
        <v>113</v>
      </c>
      <c r="L114" s="3">
        <f>SUM($I$2:$I114)</f>
        <v>2894600</v>
      </c>
      <c r="M114" s="3">
        <f>SUM($J$2:$J114)</f>
        <v>7587989</v>
      </c>
      <c r="N114" s="2">
        <f>SUM($D$2:$D114)</f>
        <v>314.44999999999982</v>
      </c>
      <c r="O114" s="2">
        <f t="shared" si="11"/>
        <v>1.8739146550912435E-2</v>
      </c>
      <c r="P114" s="2" cm="1">
        <f t="array" ref="P114">SUMPRODUCT((O114&gt;$T$9:$T$14)*(O114&lt;=$U$9:$U$14),$S$9:$S$14)</f>
        <v>1</v>
      </c>
    </row>
    <row r="115" spans="1:16" x14ac:dyDescent="0.25">
      <c r="A115">
        <v>84</v>
      </c>
      <c r="B115">
        <v>880</v>
      </c>
      <c r="C115">
        <v>1637</v>
      </c>
      <c r="D115">
        <v>2.0099999999999998</v>
      </c>
      <c r="E115">
        <v>47530</v>
      </c>
      <c r="F115">
        <v>0</v>
      </c>
      <c r="G115">
        <v>47530000</v>
      </c>
      <c r="H115">
        <v>401</v>
      </c>
      <c r="I115">
        <v>15600</v>
      </c>
      <c r="J115" s="2">
        <f t="shared" si="10"/>
        <v>31355.999999999996</v>
      </c>
      <c r="K115">
        <v>114</v>
      </c>
      <c r="L115" s="3">
        <f>SUM($I$2:$I115)</f>
        <v>2910200</v>
      </c>
      <c r="M115" s="3">
        <f>SUM($J$2:$J115)</f>
        <v>7619345</v>
      </c>
      <c r="N115" s="2">
        <f>SUM($D$2:$D115)</f>
        <v>316.45999999999981</v>
      </c>
      <c r="O115" s="2">
        <f t="shared" si="11"/>
        <v>1.8858929297191126E-2</v>
      </c>
      <c r="P115" s="2" cm="1">
        <f t="array" ref="P115">SUMPRODUCT((O115&gt;$T$9:$T$14)*(O115&lt;=$U$9:$U$14),$S$9:$S$14)</f>
        <v>1</v>
      </c>
    </row>
    <row r="116" spans="1:16" x14ac:dyDescent="0.25">
      <c r="A116">
        <v>1539</v>
      </c>
      <c r="B116">
        <v>371</v>
      </c>
      <c r="C116">
        <v>1515</v>
      </c>
      <c r="D116">
        <v>1.41</v>
      </c>
      <c r="E116">
        <v>47584</v>
      </c>
      <c r="F116">
        <v>0</v>
      </c>
      <c r="G116">
        <v>47584000</v>
      </c>
      <c r="H116">
        <v>401</v>
      </c>
      <c r="I116">
        <v>15600</v>
      </c>
      <c r="J116" s="2">
        <f t="shared" si="10"/>
        <v>21996</v>
      </c>
      <c r="K116">
        <v>115</v>
      </c>
      <c r="L116" s="3">
        <f>SUM($I$2:$I116)</f>
        <v>2925800</v>
      </c>
      <c r="M116" s="3">
        <f>SUM($J$2:$J116)</f>
        <v>7641341</v>
      </c>
      <c r="N116" s="2">
        <f>SUM($D$2:$D116)</f>
        <v>317.86999999999983</v>
      </c>
      <c r="O116" s="2">
        <f t="shared" si="11"/>
        <v>1.8942955999804535E-2</v>
      </c>
      <c r="P116" s="2" cm="1">
        <f t="array" ref="P116">SUMPRODUCT((O116&gt;$T$9:$T$14)*(O116&lt;=$U$9:$U$14),$S$9:$S$14)</f>
        <v>1</v>
      </c>
    </row>
    <row r="117" spans="1:16" x14ac:dyDescent="0.25">
      <c r="A117">
        <v>1635</v>
      </c>
      <c r="B117">
        <v>1635</v>
      </c>
      <c r="C117">
        <v>2130</v>
      </c>
      <c r="D117">
        <v>1.01</v>
      </c>
      <c r="E117">
        <v>47590</v>
      </c>
      <c r="F117">
        <v>0</v>
      </c>
      <c r="G117">
        <v>47590000</v>
      </c>
      <c r="H117">
        <v>401</v>
      </c>
      <c r="I117">
        <v>15400</v>
      </c>
      <c r="J117" s="2">
        <f t="shared" si="10"/>
        <v>15554</v>
      </c>
      <c r="K117">
        <v>116</v>
      </c>
      <c r="L117" s="3">
        <f>SUM($I$2:$I117)</f>
        <v>2941200</v>
      </c>
      <c r="M117" s="3">
        <f>SUM($J$2:$J117)</f>
        <v>7656895</v>
      </c>
      <c r="N117" s="2">
        <f>SUM($D$2:$D117)</f>
        <v>318.87999999999982</v>
      </c>
      <c r="O117" s="2">
        <f t="shared" si="11"/>
        <v>1.9003145339974423E-2</v>
      </c>
      <c r="P117" s="2" cm="1">
        <f t="array" ref="P117">SUMPRODUCT((O117&gt;$T$9:$T$14)*(O117&lt;=$U$9:$U$14),$S$9:$S$14)</f>
        <v>1</v>
      </c>
    </row>
    <row r="118" spans="1:16" x14ac:dyDescent="0.25">
      <c r="A118">
        <v>593</v>
      </c>
      <c r="B118">
        <v>1380</v>
      </c>
      <c r="C118">
        <v>812</v>
      </c>
      <c r="D118">
        <v>5.05</v>
      </c>
      <c r="E118">
        <v>10090</v>
      </c>
      <c r="F118">
        <v>0</v>
      </c>
      <c r="G118">
        <v>10090000</v>
      </c>
      <c r="H118" t="s">
        <v>20</v>
      </c>
      <c r="I118">
        <v>15300</v>
      </c>
      <c r="J118" s="2">
        <f t="shared" si="10"/>
        <v>77265</v>
      </c>
      <c r="K118">
        <v>117</v>
      </c>
      <c r="L118" s="3">
        <f>SUM($I$2:$I118)</f>
        <v>2956500</v>
      </c>
      <c r="M118" s="3">
        <f>SUM($J$2:$J118)</f>
        <v>7734160</v>
      </c>
      <c r="N118" s="2">
        <f>SUM($D$2:$D118)</f>
        <v>323.92999999999984</v>
      </c>
      <c r="O118" s="2">
        <f t="shared" si="11"/>
        <v>1.9304092040823867E-2</v>
      </c>
      <c r="P118" s="2" cm="1">
        <f t="array" ref="P118">SUMPRODUCT((O118&gt;$T$9:$T$14)*(O118&lt;=$U$9:$U$14),$S$9:$S$14)</f>
        <v>1</v>
      </c>
    </row>
    <row r="119" spans="1:16" x14ac:dyDescent="0.25">
      <c r="A119">
        <v>1592</v>
      </c>
      <c r="B119">
        <v>1592</v>
      </c>
      <c r="C119">
        <v>2081</v>
      </c>
      <c r="D119">
        <v>2.64</v>
      </c>
      <c r="E119">
        <v>47770</v>
      </c>
      <c r="F119">
        <v>0</v>
      </c>
      <c r="G119">
        <v>47770000</v>
      </c>
      <c r="H119">
        <v>401</v>
      </c>
      <c r="I119">
        <v>15300</v>
      </c>
      <c r="J119" s="2">
        <f t="shared" si="10"/>
        <v>40392</v>
      </c>
      <c r="K119">
        <v>118</v>
      </c>
      <c r="L119" s="3">
        <f>SUM($I$2:$I119)</f>
        <v>2971800</v>
      </c>
      <c r="M119" s="3">
        <f>SUM($J$2:$J119)</f>
        <v>7774552</v>
      </c>
      <c r="N119" s="2">
        <f>SUM($D$2:$D119)</f>
        <v>326.56999999999982</v>
      </c>
      <c r="O119" s="2">
        <f t="shared" si="11"/>
        <v>1.9461418632951102E-2</v>
      </c>
      <c r="P119" s="2" cm="1">
        <f t="array" ref="P119">SUMPRODUCT((O119&gt;$T$9:$T$14)*(O119&lt;=$U$9:$U$14),$S$9:$S$14)</f>
        <v>1</v>
      </c>
    </row>
    <row r="120" spans="1:16" x14ac:dyDescent="0.25">
      <c r="A120">
        <v>1672</v>
      </c>
      <c r="B120">
        <v>1672</v>
      </c>
      <c r="C120">
        <v>2170</v>
      </c>
      <c r="D120">
        <v>1.88</v>
      </c>
      <c r="E120">
        <v>47350</v>
      </c>
      <c r="F120">
        <v>0</v>
      </c>
      <c r="G120">
        <v>47350000</v>
      </c>
      <c r="H120">
        <v>401</v>
      </c>
      <c r="I120">
        <v>15100</v>
      </c>
      <c r="J120" s="2">
        <f t="shared" si="10"/>
        <v>28388</v>
      </c>
      <c r="K120">
        <v>119</v>
      </c>
      <c r="L120" s="3">
        <f>SUM($I$2:$I120)</f>
        <v>2986900</v>
      </c>
      <c r="M120" s="3">
        <f>SUM($J$2:$J120)</f>
        <v>7802940</v>
      </c>
      <c r="N120" s="2">
        <f>SUM($D$2:$D120)</f>
        <v>328.44999999999982</v>
      </c>
      <c r="O120" s="2">
        <f t="shared" si="11"/>
        <v>1.9573454236435646E-2</v>
      </c>
      <c r="P120" s="2" cm="1">
        <f t="array" ref="P120">SUMPRODUCT((O120&gt;$T$9:$T$14)*(O120&lt;=$U$9:$U$14),$S$9:$S$14)</f>
        <v>1</v>
      </c>
    </row>
    <row r="121" spans="1:16" x14ac:dyDescent="0.25">
      <c r="A121">
        <v>1142</v>
      </c>
      <c r="B121">
        <v>768</v>
      </c>
      <c r="C121">
        <v>484</v>
      </c>
      <c r="D121">
        <v>5.16</v>
      </c>
      <c r="E121">
        <v>10094</v>
      </c>
      <c r="F121">
        <v>0</v>
      </c>
      <c r="G121">
        <v>10094000</v>
      </c>
      <c r="H121" t="s">
        <v>20</v>
      </c>
      <c r="I121">
        <v>14900</v>
      </c>
      <c r="J121" s="2">
        <f t="shared" si="10"/>
        <v>76884</v>
      </c>
      <c r="K121">
        <v>120</v>
      </c>
      <c r="L121" s="3">
        <f>SUM($I$2:$I121)</f>
        <v>3001800</v>
      </c>
      <c r="M121" s="3">
        <f>SUM($J$2:$J121)</f>
        <v>7879824</v>
      </c>
      <c r="N121" s="2">
        <f>SUM($D$2:$D121)</f>
        <v>333.60999999999984</v>
      </c>
      <c r="O121" s="2">
        <f t="shared" si="11"/>
        <v>1.9880956211957061E-2</v>
      </c>
      <c r="P121" s="2" cm="1">
        <f t="array" ref="P121">SUMPRODUCT((O121&gt;$T$9:$T$14)*(O121&lt;=$U$9:$U$14),$S$9:$S$14)</f>
        <v>1</v>
      </c>
    </row>
    <row r="122" spans="1:16" x14ac:dyDescent="0.25">
      <c r="A122">
        <v>1675</v>
      </c>
      <c r="B122">
        <v>1675</v>
      </c>
      <c r="C122">
        <v>2173</v>
      </c>
      <c r="D122">
        <v>12.18</v>
      </c>
      <c r="E122">
        <v>47760</v>
      </c>
      <c r="F122">
        <v>0</v>
      </c>
      <c r="G122">
        <v>47760000</v>
      </c>
      <c r="H122">
        <v>401</v>
      </c>
      <c r="I122">
        <v>14800</v>
      </c>
      <c r="J122" s="2">
        <f t="shared" si="10"/>
        <v>180264</v>
      </c>
      <c r="K122">
        <v>121</v>
      </c>
      <c r="L122" s="3">
        <f>SUM($I$2:$I122)</f>
        <v>3016600</v>
      </c>
      <c r="M122" s="3">
        <f>SUM($J$2:$J122)</f>
        <v>8060088</v>
      </c>
      <c r="N122" s="2">
        <f>SUM($D$2:$D122)</f>
        <v>345.78999999999985</v>
      </c>
      <c r="O122" s="2">
        <f t="shared" si="11"/>
        <v>2.0606803898362256E-2</v>
      </c>
      <c r="P122" s="2" cm="1">
        <f t="array" ref="P122">SUMPRODUCT((O122&gt;$T$9:$T$14)*(O122&lt;=$U$9:$U$14),$S$9:$S$14)</f>
        <v>1</v>
      </c>
    </row>
    <row r="123" spans="1:16" x14ac:dyDescent="0.25">
      <c r="A123">
        <v>1597</v>
      </c>
      <c r="B123">
        <v>1597</v>
      </c>
      <c r="C123">
        <v>2086</v>
      </c>
      <c r="D123">
        <v>1.62</v>
      </c>
      <c r="E123">
        <v>47626</v>
      </c>
      <c r="F123">
        <v>0</v>
      </c>
      <c r="G123">
        <v>47626000</v>
      </c>
      <c r="H123">
        <v>401</v>
      </c>
      <c r="I123">
        <v>14800</v>
      </c>
      <c r="J123" s="2">
        <f t="shared" si="10"/>
        <v>23976</v>
      </c>
      <c r="K123">
        <v>122</v>
      </c>
      <c r="L123" s="3">
        <f>SUM($I$2:$I123)</f>
        <v>3031400</v>
      </c>
      <c r="M123" s="3">
        <f>SUM($J$2:$J123)</f>
        <v>8084064</v>
      </c>
      <c r="N123" s="2">
        <f>SUM($D$2:$D123)</f>
        <v>347.40999999999985</v>
      </c>
      <c r="O123" s="2">
        <f t="shared" si="11"/>
        <v>2.0703345216258516E-2</v>
      </c>
      <c r="P123" s="2" cm="1">
        <f t="array" ref="P123">SUMPRODUCT((O123&gt;$T$9:$T$14)*(O123&lt;=$U$9:$U$14),$S$9:$S$14)</f>
        <v>1</v>
      </c>
    </row>
    <row r="124" spans="1:16" x14ac:dyDescent="0.25">
      <c r="A124">
        <v>365</v>
      </c>
      <c r="B124">
        <v>1160</v>
      </c>
      <c r="C124">
        <v>2044</v>
      </c>
      <c r="D124">
        <v>2</v>
      </c>
      <c r="E124">
        <v>48273</v>
      </c>
      <c r="F124">
        <v>0</v>
      </c>
      <c r="G124">
        <v>48273000</v>
      </c>
      <c r="H124">
        <v>403</v>
      </c>
      <c r="I124">
        <v>14600</v>
      </c>
      <c r="J124" s="2">
        <f t="shared" si="10"/>
        <v>29200</v>
      </c>
      <c r="K124">
        <v>123</v>
      </c>
      <c r="L124" s="3">
        <f>SUM($I$2:$I124)</f>
        <v>3046000</v>
      </c>
      <c r="M124" s="3">
        <f>SUM($J$2:$J124)</f>
        <v>8113264</v>
      </c>
      <c r="N124" s="2">
        <f>SUM($D$2:$D124)</f>
        <v>349.40999999999985</v>
      </c>
      <c r="O124" s="2">
        <f t="shared" si="11"/>
        <v>2.0822532028476115E-2</v>
      </c>
      <c r="P124" s="2" cm="1">
        <f t="array" ref="P124">SUMPRODUCT((O124&gt;$T$9:$T$14)*(O124&lt;=$U$9:$U$14),$S$9:$S$14)</f>
        <v>1</v>
      </c>
    </row>
    <row r="125" spans="1:16" x14ac:dyDescent="0.25">
      <c r="A125">
        <v>887</v>
      </c>
      <c r="B125">
        <v>513</v>
      </c>
      <c r="C125">
        <v>148</v>
      </c>
      <c r="D125">
        <v>2.0699999999999998</v>
      </c>
      <c r="E125">
        <v>10142</v>
      </c>
      <c r="F125">
        <v>0</v>
      </c>
      <c r="G125">
        <v>10142000</v>
      </c>
      <c r="H125" t="s">
        <v>20</v>
      </c>
      <c r="I125">
        <v>14300</v>
      </c>
      <c r="J125" s="2">
        <f t="shared" si="10"/>
        <v>29600.999999999996</v>
      </c>
      <c r="K125">
        <v>124</v>
      </c>
      <c r="L125" s="3">
        <f>SUM($I$2:$I125)</f>
        <v>3060300</v>
      </c>
      <c r="M125" s="3">
        <f>SUM($J$2:$J125)</f>
        <v>8142865</v>
      </c>
      <c r="N125" s="2">
        <f>SUM($D$2:$D125)</f>
        <v>351.47999999999985</v>
      </c>
      <c r="O125" s="2">
        <f t="shared" si="11"/>
        <v>2.0945890379121333E-2</v>
      </c>
      <c r="P125" s="2" cm="1">
        <f t="array" ref="P125">SUMPRODUCT((O125&gt;$T$9:$T$14)*(O125&lt;=$U$9:$U$14),$S$9:$S$14)</f>
        <v>1</v>
      </c>
    </row>
    <row r="126" spans="1:16" x14ac:dyDescent="0.25">
      <c r="A126">
        <v>373</v>
      </c>
      <c r="B126">
        <v>1168</v>
      </c>
      <c r="C126">
        <v>2052</v>
      </c>
      <c r="D126">
        <v>0.7</v>
      </c>
      <c r="E126">
        <v>47470</v>
      </c>
      <c r="F126">
        <v>0</v>
      </c>
      <c r="G126">
        <v>47470000</v>
      </c>
      <c r="H126">
        <v>401</v>
      </c>
      <c r="I126">
        <v>14200</v>
      </c>
      <c r="J126" s="2">
        <f t="shared" si="10"/>
        <v>9940</v>
      </c>
      <c r="K126">
        <v>125</v>
      </c>
      <c r="L126" s="3">
        <f>SUM($I$2:$I126)</f>
        <v>3074500</v>
      </c>
      <c r="M126" s="3">
        <f>SUM($J$2:$J126)</f>
        <v>8152805</v>
      </c>
      <c r="N126" s="2">
        <f>SUM($D$2:$D126)</f>
        <v>352.17999999999984</v>
      </c>
      <c r="O126" s="2">
        <f t="shared" si="11"/>
        <v>2.0987605763397494E-2</v>
      </c>
      <c r="P126" s="2" cm="1">
        <f t="array" ref="P126">SUMPRODUCT((O126&gt;$T$9:$T$14)*(O126&lt;=$U$9:$U$14),$S$9:$S$14)</f>
        <v>1</v>
      </c>
    </row>
    <row r="127" spans="1:16" x14ac:dyDescent="0.25">
      <c r="A127">
        <v>1562</v>
      </c>
      <c r="B127">
        <v>394</v>
      </c>
      <c r="C127">
        <v>1542</v>
      </c>
      <c r="D127">
        <v>1.21</v>
      </c>
      <c r="E127">
        <v>49062</v>
      </c>
      <c r="F127">
        <v>0</v>
      </c>
      <c r="G127">
        <v>49062000</v>
      </c>
      <c r="H127">
        <v>410</v>
      </c>
      <c r="I127">
        <v>14100</v>
      </c>
      <c r="J127" s="2">
        <f t="shared" si="10"/>
        <v>17061</v>
      </c>
      <c r="K127">
        <v>126</v>
      </c>
      <c r="L127" s="3">
        <f>SUM($I$2:$I127)</f>
        <v>3088600</v>
      </c>
      <c r="M127" s="3">
        <f>SUM($J$2:$J127)</f>
        <v>8169866</v>
      </c>
      <c r="N127" s="2">
        <f>SUM($D$2:$D127)</f>
        <v>353.38999999999982</v>
      </c>
      <c r="O127" s="2">
        <f t="shared" si="11"/>
        <v>2.1059713784789141E-2</v>
      </c>
      <c r="P127" s="2" cm="1">
        <f t="array" ref="P127">SUMPRODUCT((O127&gt;$T$9:$T$14)*(O127&lt;=$U$9:$U$14),$S$9:$S$14)</f>
        <v>1</v>
      </c>
    </row>
    <row r="128" spans="1:16" x14ac:dyDescent="0.25">
      <c r="A128">
        <v>370</v>
      </c>
      <c r="B128">
        <v>1165</v>
      </c>
      <c r="C128">
        <v>2049</v>
      </c>
      <c r="D128">
        <v>1.0900000000000001</v>
      </c>
      <c r="E128">
        <v>47487</v>
      </c>
      <c r="F128">
        <v>0</v>
      </c>
      <c r="G128">
        <v>47487000</v>
      </c>
      <c r="H128">
        <v>401</v>
      </c>
      <c r="I128">
        <v>14000</v>
      </c>
      <c r="J128" s="2">
        <f t="shared" si="10"/>
        <v>15260.000000000002</v>
      </c>
      <c r="K128">
        <v>127</v>
      </c>
      <c r="L128" s="3">
        <f>SUM($I$2:$I128)</f>
        <v>3102600</v>
      </c>
      <c r="M128" s="3">
        <f>SUM($J$2:$J128)</f>
        <v>8185126</v>
      </c>
      <c r="N128" s="2">
        <f>SUM($D$2:$D128)</f>
        <v>354.47999999999979</v>
      </c>
      <c r="O128" s="2">
        <f t="shared" si="11"/>
        <v>2.1124670597447735E-2</v>
      </c>
      <c r="P128" s="2" cm="1">
        <f t="array" ref="P128">SUMPRODUCT((O128&gt;$T$9:$T$14)*(O128&lt;=$U$9:$U$14),$S$9:$S$14)</f>
        <v>1</v>
      </c>
    </row>
    <row r="129" spans="1:16" x14ac:dyDescent="0.25">
      <c r="A129">
        <v>1665</v>
      </c>
      <c r="B129">
        <v>1665</v>
      </c>
      <c r="C129">
        <v>2163</v>
      </c>
      <c r="D129">
        <v>1.31</v>
      </c>
      <c r="E129">
        <v>50310</v>
      </c>
      <c r="F129">
        <v>0</v>
      </c>
      <c r="G129">
        <v>50310000</v>
      </c>
      <c r="H129">
        <v>427</v>
      </c>
      <c r="I129">
        <v>13900</v>
      </c>
      <c r="J129" s="2">
        <f t="shared" si="10"/>
        <v>18209</v>
      </c>
      <c r="K129">
        <v>128</v>
      </c>
      <c r="L129" s="3">
        <f>SUM($I$2:$I129)</f>
        <v>3116500</v>
      </c>
      <c r="M129" s="3">
        <f>SUM($J$2:$J129)</f>
        <v>8203335</v>
      </c>
      <c r="N129" s="2">
        <f>SUM($D$2:$D129)</f>
        <v>355.78999999999979</v>
      </c>
      <c r="O129" s="2">
        <f t="shared" si="11"/>
        <v>2.1202737959450262E-2</v>
      </c>
      <c r="P129" s="2" cm="1">
        <f t="array" ref="P129">SUMPRODUCT((O129&gt;$T$9:$T$14)*(O129&lt;=$U$9:$U$14),$S$9:$S$14)</f>
        <v>1</v>
      </c>
    </row>
    <row r="130" spans="1:16" x14ac:dyDescent="0.25">
      <c r="A130">
        <v>1628</v>
      </c>
      <c r="B130">
        <v>1628</v>
      </c>
      <c r="C130">
        <v>2122</v>
      </c>
      <c r="D130">
        <v>0.94</v>
      </c>
      <c r="E130">
        <v>48450</v>
      </c>
      <c r="F130">
        <v>0</v>
      </c>
      <c r="G130">
        <v>48450000</v>
      </c>
      <c r="H130">
        <v>404</v>
      </c>
      <c r="I130">
        <v>13800</v>
      </c>
      <c r="J130" s="2">
        <f t="shared" ref="J130:J193" si="12">I130*D130</f>
        <v>12972</v>
      </c>
      <c r="K130">
        <v>129</v>
      </c>
      <c r="L130" s="3">
        <f>SUM($I$2:$I130)</f>
        <v>3130300</v>
      </c>
      <c r="M130" s="3">
        <f>SUM($J$2:$J130)</f>
        <v>8216307</v>
      </c>
      <c r="N130" s="2">
        <f>SUM($D$2:$D130)</f>
        <v>356.72999999999979</v>
      </c>
      <c r="O130" s="2">
        <f t="shared" ref="O130:O193" si="13">N130/$T$4</f>
        <v>2.1258755761192537E-2</v>
      </c>
      <c r="P130" s="2" cm="1">
        <f t="array" ref="P130">SUMPRODUCT((O130&gt;$T$9:$T$14)*(O130&lt;=$U$9:$U$14),$S$9:$S$14)</f>
        <v>1</v>
      </c>
    </row>
    <row r="131" spans="1:16" x14ac:dyDescent="0.25">
      <c r="A131">
        <v>1545</v>
      </c>
      <c r="B131">
        <v>377</v>
      </c>
      <c r="C131">
        <v>1521</v>
      </c>
      <c r="D131">
        <v>2.52</v>
      </c>
      <c r="E131">
        <v>47573</v>
      </c>
      <c r="F131">
        <v>0</v>
      </c>
      <c r="G131">
        <v>47573000</v>
      </c>
      <c r="H131">
        <v>401</v>
      </c>
      <c r="I131">
        <v>13700</v>
      </c>
      <c r="J131" s="2">
        <f t="shared" si="12"/>
        <v>34524</v>
      </c>
      <c r="K131">
        <v>130</v>
      </c>
      <c r="L131" s="3">
        <f>SUM($I$2:$I131)</f>
        <v>3144000</v>
      </c>
      <c r="M131" s="3">
        <f>SUM($J$2:$J131)</f>
        <v>8250831</v>
      </c>
      <c r="N131" s="2">
        <f>SUM($D$2:$D131)</f>
        <v>359.24999999999977</v>
      </c>
      <c r="O131" s="2">
        <f t="shared" si="13"/>
        <v>2.1408931144586713E-2</v>
      </c>
      <c r="P131" s="2" cm="1">
        <f t="array" ref="P131">SUMPRODUCT((O131&gt;$T$9:$T$14)*(O131&lt;=$U$9:$U$14),$S$9:$S$14)</f>
        <v>1</v>
      </c>
    </row>
    <row r="132" spans="1:16" x14ac:dyDescent="0.25">
      <c r="A132">
        <v>635</v>
      </c>
      <c r="B132">
        <v>1422</v>
      </c>
      <c r="C132">
        <v>862</v>
      </c>
      <c r="D132">
        <v>1.28</v>
      </c>
      <c r="E132">
        <v>10057</v>
      </c>
      <c r="F132">
        <v>0</v>
      </c>
      <c r="G132">
        <v>10057000</v>
      </c>
      <c r="H132" t="s">
        <v>20</v>
      </c>
      <c r="I132">
        <v>13700</v>
      </c>
      <c r="J132" s="2">
        <f t="shared" si="12"/>
        <v>17536</v>
      </c>
      <c r="K132">
        <v>131</v>
      </c>
      <c r="L132" s="3">
        <f>SUM($I$2:$I132)</f>
        <v>3157700</v>
      </c>
      <c r="M132" s="3">
        <f>SUM($J$2:$J132)</f>
        <v>8268367</v>
      </c>
      <c r="N132" s="2">
        <f>SUM($D$2:$D132)</f>
        <v>360.52999999999975</v>
      </c>
      <c r="O132" s="2">
        <f t="shared" si="13"/>
        <v>2.1485210704405976E-2</v>
      </c>
      <c r="P132" s="2" cm="1">
        <f t="array" ref="P132">SUMPRODUCT((O132&gt;$T$9:$T$14)*(O132&lt;=$U$9:$U$14),$S$9:$S$14)</f>
        <v>1</v>
      </c>
    </row>
    <row r="133" spans="1:16" x14ac:dyDescent="0.25">
      <c r="A133">
        <v>557</v>
      </c>
      <c r="B133">
        <v>1344</v>
      </c>
      <c r="C133">
        <v>763</v>
      </c>
      <c r="D133">
        <v>1.27</v>
      </c>
      <c r="E133">
        <v>10050</v>
      </c>
      <c r="F133">
        <v>0</v>
      </c>
      <c r="G133">
        <v>10050000</v>
      </c>
      <c r="H133" t="s">
        <v>20</v>
      </c>
      <c r="I133">
        <v>13700</v>
      </c>
      <c r="J133" s="2">
        <f t="shared" si="12"/>
        <v>17399</v>
      </c>
      <c r="K133">
        <v>132</v>
      </c>
      <c r="L133" s="3">
        <f>SUM($I$2:$I133)</f>
        <v>3171400</v>
      </c>
      <c r="M133" s="3">
        <f>SUM($J$2:$J133)</f>
        <v>8285766</v>
      </c>
      <c r="N133" s="2">
        <f>SUM($D$2:$D133)</f>
        <v>361.79999999999973</v>
      </c>
      <c r="O133" s="2">
        <f t="shared" si="13"/>
        <v>2.1560894330164154E-2</v>
      </c>
      <c r="P133" s="2" cm="1">
        <f t="array" ref="P133">SUMPRODUCT((O133&gt;$T$9:$T$14)*(O133&lt;=$U$9:$U$14),$S$9:$S$14)</f>
        <v>1</v>
      </c>
    </row>
    <row r="134" spans="1:16" x14ac:dyDescent="0.25">
      <c r="A134">
        <v>111</v>
      </c>
      <c r="B134">
        <v>907</v>
      </c>
      <c r="C134">
        <v>1665</v>
      </c>
      <c r="D134">
        <v>3.1</v>
      </c>
      <c r="E134">
        <v>47490</v>
      </c>
      <c r="F134">
        <v>0</v>
      </c>
      <c r="G134">
        <v>47490000</v>
      </c>
      <c r="H134">
        <v>401</v>
      </c>
      <c r="I134">
        <v>13500</v>
      </c>
      <c r="J134" s="2">
        <f t="shared" si="12"/>
        <v>41850</v>
      </c>
      <c r="K134">
        <v>133</v>
      </c>
      <c r="L134" s="3">
        <f>SUM($I$2:$I134)</f>
        <v>3184900</v>
      </c>
      <c r="M134" s="3">
        <f>SUM($J$2:$J134)</f>
        <v>8327616</v>
      </c>
      <c r="N134" s="2">
        <f>SUM($D$2:$D134)</f>
        <v>364.89999999999975</v>
      </c>
      <c r="O134" s="2">
        <f t="shared" si="13"/>
        <v>2.1745633889101435E-2</v>
      </c>
      <c r="P134" s="2" cm="1">
        <f t="array" ref="P134">SUMPRODUCT((O134&gt;$T$9:$T$14)*(O134&lt;=$U$9:$U$14),$S$9:$S$14)</f>
        <v>1</v>
      </c>
    </row>
    <row r="135" spans="1:16" x14ac:dyDescent="0.25">
      <c r="A135">
        <v>1449</v>
      </c>
      <c r="B135">
        <v>281</v>
      </c>
      <c r="C135">
        <v>1404</v>
      </c>
      <c r="D135">
        <v>2.12</v>
      </c>
      <c r="E135">
        <v>49063</v>
      </c>
      <c r="F135">
        <v>0</v>
      </c>
      <c r="G135">
        <v>49063000</v>
      </c>
      <c r="H135">
        <v>410</v>
      </c>
      <c r="I135">
        <v>13500</v>
      </c>
      <c r="J135" s="2">
        <f t="shared" si="12"/>
        <v>28620</v>
      </c>
      <c r="K135">
        <v>134</v>
      </c>
      <c r="L135" s="3">
        <f>SUM($I$2:$I135)</f>
        <v>3198400</v>
      </c>
      <c r="M135" s="3">
        <f>SUM($J$2:$J135)</f>
        <v>8356236</v>
      </c>
      <c r="N135" s="2">
        <f>SUM($D$2:$D135)</f>
        <v>367.01999999999975</v>
      </c>
      <c r="O135" s="2">
        <f t="shared" si="13"/>
        <v>2.1871971910052093E-2</v>
      </c>
      <c r="P135" s="2" cm="1">
        <f t="array" ref="P135">SUMPRODUCT((O135&gt;$T$9:$T$14)*(O135&lt;=$U$9:$U$14),$S$9:$S$14)</f>
        <v>1</v>
      </c>
    </row>
    <row r="136" spans="1:16" x14ac:dyDescent="0.25">
      <c r="A136">
        <v>1448</v>
      </c>
      <c r="B136">
        <v>280</v>
      </c>
      <c r="C136">
        <v>1403</v>
      </c>
      <c r="D136">
        <v>1.98</v>
      </c>
      <c r="E136">
        <v>46820</v>
      </c>
      <c r="F136">
        <v>0</v>
      </c>
      <c r="G136">
        <v>46820000</v>
      </c>
      <c r="H136">
        <v>400</v>
      </c>
      <c r="I136">
        <v>13400</v>
      </c>
      <c r="J136" s="2">
        <f t="shared" si="12"/>
        <v>26532</v>
      </c>
      <c r="K136">
        <v>135</v>
      </c>
      <c r="L136" s="3">
        <f>SUM($I$2:$I136)</f>
        <v>3211800</v>
      </c>
      <c r="M136" s="3">
        <f>SUM($J$2:$J136)</f>
        <v>8382768</v>
      </c>
      <c r="N136" s="2">
        <f>SUM($D$2:$D136)</f>
        <v>368.99999999999977</v>
      </c>
      <c r="O136" s="2">
        <f t="shared" si="13"/>
        <v>2.1989966854147523E-2</v>
      </c>
      <c r="P136" s="2" cm="1">
        <f t="array" ref="P136">SUMPRODUCT((O136&gt;$T$9:$T$14)*(O136&lt;=$U$9:$U$14),$S$9:$S$14)</f>
        <v>1</v>
      </c>
    </row>
    <row r="137" spans="1:16" x14ac:dyDescent="0.25">
      <c r="A137">
        <v>595</v>
      </c>
      <c r="B137">
        <v>1382</v>
      </c>
      <c r="C137">
        <v>815</v>
      </c>
      <c r="D137">
        <v>4.26</v>
      </c>
      <c r="E137">
        <v>10064</v>
      </c>
      <c r="F137">
        <v>0</v>
      </c>
      <c r="G137">
        <v>10064000</v>
      </c>
      <c r="H137" t="s">
        <v>20</v>
      </c>
      <c r="I137">
        <v>13300</v>
      </c>
      <c r="J137" s="2">
        <f t="shared" si="12"/>
        <v>56658</v>
      </c>
      <c r="K137">
        <v>136</v>
      </c>
      <c r="L137" s="3">
        <f>SUM($I$2:$I137)</f>
        <v>3225100</v>
      </c>
      <c r="M137" s="3">
        <f>SUM($J$2:$J137)</f>
        <v>8439426</v>
      </c>
      <c r="N137" s="2">
        <f>SUM($D$2:$D137)</f>
        <v>373.25999999999976</v>
      </c>
      <c r="O137" s="2">
        <f t="shared" si="13"/>
        <v>2.2243834764171012E-2</v>
      </c>
      <c r="P137" s="2" cm="1">
        <f t="array" ref="P137">SUMPRODUCT((O137&gt;$T$9:$T$14)*(O137&lt;=$U$9:$U$14),$S$9:$S$14)</f>
        <v>1</v>
      </c>
    </row>
    <row r="138" spans="1:16" x14ac:dyDescent="0.25">
      <c r="A138">
        <v>1436</v>
      </c>
      <c r="B138">
        <v>268</v>
      </c>
      <c r="C138">
        <v>1391</v>
      </c>
      <c r="D138">
        <v>5.65</v>
      </c>
      <c r="E138">
        <v>46870</v>
      </c>
      <c r="F138">
        <v>0</v>
      </c>
      <c r="G138">
        <v>46870000</v>
      </c>
      <c r="H138">
        <v>400</v>
      </c>
      <c r="I138">
        <v>13100</v>
      </c>
      <c r="J138" s="2">
        <f t="shared" si="12"/>
        <v>74015</v>
      </c>
      <c r="K138">
        <v>137</v>
      </c>
      <c r="L138" s="3">
        <f>SUM($I$2:$I138)</f>
        <v>3238200</v>
      </c>
      <c r="M138" s="3">
        <f>SUM($J$2:$J138)</f>
        <v>8513441</v>
      </c>
      <c r="N138" s="2">
        <f>SUM($D$2:$D138)</f>
        <v>378.90999999999974</v>
      </c>
      <c r="O138" s="2">
        <f t="shared" si="13"/>
        <v>2.2580537508685737E-2</v>
      </c>
      <c r="P138" s="2" cm="1">
        <f t="array" ref="P138">SUMPRODUCT((O138&gt;$T$9:$T$14)*(O138&lt;=$U$9:$U$14),$S$9:$S$14)</f>
        <v>1</v>
      </c>
    </row>
    <row r="139" spans="1:16" x14ac:dyDescent="0.25">
      <c r="A139">
        <v>704</v>
      </c>
      <c r="B139">
        <v>1491</v>
      </c>
      <c r="C139">
        <v>943</v>
      </c>
      <c r="D139">
        <v>1.98</v>
      </c>
      <c r="E139">
        <v>10063</v>
      </c>
      <c r="F139">
        <v>0</v>
      </c>
      <c r="G139">
        <v>10063000</v>
      </c>
      <c r="H139" t="s">
        <v>20</v>
      </c>
      <c r="I139">
        <v>13100</v>
      </c>
      <c r="J139" s="2">
        <f t="shared" si="12"/>
        <v>25938</v>
      </c>
      <c r="K139">
        <v>138</v>
      </c>
      <c r="L139" s="3">
        <f>SUM($I$2:$I139)</f>
        <v>3251300</v>
      </c>
      <c r="M139" s="3">
        <f>SUM($J$2:$J139)</f>
        <v>8539379</v>
      </c>
      <c r="N139" s="2">
        <f>SUM($D$2:$D139)</f>
        <v>380.88999999999976</v>
      </c>
      <c r="O139" s="2">
        <f t="shared" si="13"/>
        <v>2.2698532452781164E-2</v>
      </c>
      <c r="P139" s="2" cm="1">
        <f t="array" ref="P139">SUMPRODUCT((O139&gt;$T$9:$T$14)*(O139&lt;=$U$9:$U$14),$S$9:$S$14)</f>
        <v>1</v>
      </c>
    </row>
    <row r="140" spans="1:16" x14ac:dyDescent="0.25">
      <c r="A140">
        <v>1567</v>
      </c>
      <c r="B140">
        <v>399</v>
      </c>
      <c r="C140">
        <v>1547</v>
      </c>
      <c r="D140">
        <v>2.92</v>
      </c>
      <c r="E140">
        <v>49520</v>
      </c>
      <c r="F140">
        <v>0</v>
      </c>
      <c r="G140">
        <v>49520000</v>
      </c>
      <c r="H140">
        <v>417</v>
      </c>
      <c r="I140">
        <v>13000</v>
      </c>
      <c r="J140" s="2">
        <f t="shared" si="12"/>
        <v>37960</v>
      </c>
      <c r="K140">
        <v>139</v>
      </c>
      <c r="L140" s="3">
        <f>SUM($I$2:$I140)</f>
        <v>3264300</v>
      </c>
      <c r="M140" s="3">
        <f>SUM($J$2:$J140)</f>
        <v>8577339</v>
      </c>
      <c r="N140" s="2">
        <f>SUM($D$2:$D140)</f>
        <v>383.80999999999977</v>
      </c>
      <c r="O140" s="2">
        <f t="shared" si="13"/>
        <v>2.2872545198618862E-2</v>
      </c>
      <c r="P140" s="2" cm="1">
        <f t="array" ref="P140">SUMPRODUCT((O140&gt;$T$9:$T$14)*(O140&lt;=$U$9:$U$14),$S$9:$S$14)</f>
        <v>1</v>
      </c>
    </row>
    <row r="141" spans="1:16" x14ac:dyDescent="0.25">
      <c r="A141">
        <v>1554</v>
      </c>
      <c r="B141">
        <v>386</v>
      </c>
      <c r="C141">
        <v>1531</v>
      </c>
      <c r="D141">
        <v>1.51</v>
      </c>
      <c r="E141">
        <v>47570</v>
      </c>
      <c r="F141">
        <v>0</v>
      </c>
      <c r="G141">
        <v>47570000</v>
      </c>
      <c r="H141">
        <v>401</v>
      </c>
      <c r="I141">
        <v>12900</v>
      </c>
      <c r="J141" s="2">
        <f t="shared" si="12"/>
        <v>19479</v>
      </c>
      <c r="K141">
        <v>140</v>
      </c>
      <c r="L141" s="3">
        <f>SUM($I$2:$I141)</f>
        <v>3277200</v>
      </c>
      <c r="M141" s="3">
        <f>SUM($J$2:$J141)</f>
        <v>8596818</v>
      </c>
      <c r="N141" s="2">
        <f>SUM($D$2:$D141)</f>
        <v>385.31999999999977</v>
      </c>
      <c r="O141" s="2">
        <f t="shared" si="13"/>
        <v>2.2962531241843151E-2</v>
      </c>
      <c r="P141" s="2" cm="1">
        <f t="array" ref="P141">SUMPRODUCT((O141&gt;$T$9:$T$14)*(O141&lt;=$U$9:$U$14),$S$9:$S$14)</f>
        <v>1</v>
      </c>
    </row>
    <row r="142" spans="1:16" x14ac:dyDescent="0.25">
      <c r="A142">
        <v>74</v>
      </c>
      <c r="B142">
        <v>870</v>
      </c>
      <c r="C142">
        <v>1626</v>
      </c>
      <c r="D142">
        <v>1.1200000000000001</v>
      </c>
      <c r="E142">
        <v>48322</v>
      </c>
      <c r="F142">
        <v>0</v>
      </c>
      <c r="G142">
        <v>48322000</v>
      </c>
      <c r="H142">
        <v>403</v>
      </c>
      <c r="I142">
        <v>12900</v>
      </c>
      <c r="J142" s="2">
        <f t="shared" si="12"/>
        <v>14448.000000000002</v>
      </c>
      <c r="K142">
        <v>141</v>
      </c>
      <c r="L142" s="3">
        <f>SUM($I$2:$I142)</f>
        <v>3290100</v>
      </c>
      <c r="M142" s="3">
        <f>SUM($J$2:$J142)</f>
        <v>8611266</v>
      </c>
      <c r="N142" s="2">
        <f>SUM($D$2:$D142)</f>
        <v>386.43999999999977</v>
      </c>
      <c r="O142" s="2">
        <f t="shared" si="13"/>
        <v>2.3029275856685009E-2</v>
      </c>
      <c r="P142" s="2" cm="1">
        <f t="array" ref="P142">SUMPRODUCT((O142&gt;$T$9:$T$14)*(O142&lt;=$U$9:$U$14),$S$9:$S$14)</f>
        <v>1</v>
      </c>
    </row>
    <row r="143" spans="1:16" x14ac:dyDescent="0.25">
      <c r="A143">
        <v>1439</v>
      </c>
      <c r="B143">
        <v>271</v>
      </c>
      <c r="C143">
        <v>1394</v>
      </c>
      <c r="D143">
        <v>5.59</v>
      </c>
      <c r="E143">
        <v>46842</v>
      </c>
      <c r="F143">
        <v>0</v>
      </c>
      <c r="G143">
        <v>46842000</v>
      </c>
      <c r="H143">
        <v>400</v>
      </c>
      <c r="I143">
        <v>12800</v>
      </c>
      <c r="J143" s="2">
        <f t="shared" si="12"/>
        <v>71552</v>
      </c>
      <c r="K143">
        <v>142</v>
      </c>
      <c r="L143" s="3">
        <f>SUM($I$2:$I143)</f>
        <v>3302900</v>
      </c>
      <c r="M143" s="3">
        <f>SUM($J$2:$J143)</f>
        <v>8682818</v>
      </c>
      <c r="N143" s="2">
        <f>SUM($D$2:$D143)</f>
        <v>392.02999999999975</v>
      </c>
      <c r="O143" s="2">
        <f t="shared" si="13"/>
        <v>2.3362402996833204E-2</v>
      </c>
      <c r="P143" s="2" cm="1">
        <f t="array" ref="P143">SUMPRODUCT((O143&gt;$T$9:$T$14)*(O143&lt;=$U$9:$U$14),$S$9:$S$14)</f>
        <v>1</v>
      </c>
    </row>
    <row r="144" spans="1:16" x14ac:dyDescent="0.25">
      <c r="A144">
        <v>358</v>
      </c>
      <c r="B144">
        <v>1153</v>
      </c>
      <c r="C144">
        <v>2037</v>
      </c>
      <c r="D144">
        <v>1.61</v>
      </c>
      <c r="E144">
        <v>49071</v>
      </c>
      <c r="F144">
        <v>0</v>
      </c>
      <c r="G144">
        <v>49071000</v>
      </c>
      <c r="H144">
        <v>410</v>
      </c>
      <c r="I144">
        <v>12500</v>
      </c>
      <c r="J144" s="2">
        <f t="shared" si="12"/>
        <v>20125</v>
      </c>
      <c r="K144">
        <v>143</v>
      </c>
      <c r="L144" s="3">
        <f>SUM($I$2:$I144)</f>
        <v>3315400</v>
      </c>
      <c r="M144" s="3">
        <f>SUM($J$2:$J144)</f>
        <v>8702943</v>
      </c>
      <c r="N144" s="2">
        <f>SUM($D$2:$D144)</f>
        <v>393.63999999999976</v>
      </c>
      <c r="O144" s="2">
        <f t="shared" si="13"/>
        <v>2.3458348380668376E-2</v>
      </c>
      <c r="P144" s="2" cm="1">
        <f t="array" ref="P144">SUMPRODUCT((O144&gt;$T$9:$T$14)*(O144&lt;=$U$9:$U$14),$S$9:$S$14)</f>
        <v>1</v>
      </c>
    </row>
    <row r="145" spans="1:16" x14ac:dyDescent="0.25">
      <c r="A145">
        <v>1544</v>
      </c>
      <c r="B145">
        <v>376</v>
      </c>
      <c r="C145">
        <v>1520</v>
      </c>
      <c r="D145">
        <v>1.22</v>
      </c>
      <c r="E145">
        <v>47575</v>
      </c>
      <c r="F145">
        <v>0</v>
      </c>
      <c r="G145">
        <v>47575000</v>
      </c>
      <c r="H145">
        <v>401</v>
      </c>
      <c r="I145">
        <v>12500</v>
      </c>
      <c r="J145" s="2">
        <f t="shared" si="12"/>
        <v>15250</v>
      </c>
      <c r="K145">
        <v>144</v>
      </c>
      <c r="L145" s="3">
        <f>SUM($I$2:$I145)</f>
        <v>3327900</v>
      </c>
      <c r="M145" s="3">
        <f>SUM($J$2:$J145)</f>
        <v>8718193</v>
      </c>
      <c r="N145" s="2">
        <f>SUM($D$2:$D145)</f>
        <v>394.85999999999979</v>
      </c>
      <c r="O145" s="2">
        <f t="shared" si="13"/>
        <v>2.3531052336121114E-2</v>
      </c>
      <c r="P145" s="2" cm="1">
        <f t="array" ref="P145">SUMPRODUCT((O145&gt;$T$9:$T$14)*(O145&lt;=$U$9:$U$14),$S$9:$S$14)</f>
        <v>1</v>
      </c>
    </row>
    <row r="146" spans="1:16" x14ac:dyDescent="0.25">
      <c r="A146">
        <v>1437</v>
      </c>
      <c r="B146">
        <v>269</v>
      </c>
      <c r="C146">
        <v>1392</v>
      </c>
      <c r="D146">
        <v>9.6300000000000008</v>
      </c>
      <c r="E146">
        <v>46860</v>
      </c>
      <c r="F146">
        <v>0</v>
      </c>
      <c r="G146">
        <v>46860000</v>
      </c>
      <c r="H146">
        <v>400</v>
      </c>
      <c r="I146">
        <v>12400</v>
      </c>
      <c r="J146" s="2">
        <f t="shared" si="12"/>
        <v>119412.00000000001</v>
      </c>
      <c r="K146">
        <v>145</v>
      </c>
      <c r="L146" s="3">
        <f>SUM($I$2:$I146)</f>
        <v>3340300</v>
      </c>
      <c r="M146" s="3">
        <f>SUM($J$2:$J146)</f>
        <v>8837605</v>
      </c>
      <c r="N146" s="2">
        <f>SUM($D$2:$D146)</f>
        <v>404.48999999999978</v>
      </c>
      <c r="O146" s="2">
        <f t="shared" si="13"/>
        <v>2.4104936836948865E-2</v>
      </c>
      <c r="P146" s="2" cm="1">
        <f t="array" ref="P146">SUMPRODUCT((O146&gt;$T$9:$T$14)*(O146&lt;=$U$9:$U$14),$S$9:$S$14)</f>
        <v>1</v>
      </c>
    </row>
    <row r="147" spans="1:16" x14ac:dyDescent="0.25">
      <c r="A147">
        <v>1447</v>
      </c>
      <c r="B147">
        <v>279</v>
      </c>
      <c r="C147">
        <v>1402</v>
      </c>
      <c r="D147">
        <v>2.08</v>
      </c>
      <c r="E147">
        <v>46822</v>
      </c>
      <c r="F147">
        <v>0</v>
      </c>
      <c r="G147">
        <v>46822000</v>
      </c>
      <c r="H147">
        <v>400</v>
      </c>
      <c r="I147">
        <v>12400</v>
      </c>
      <c r="J147" s="2">
        <f t="shared" si="12"/>
        <v>25792</v>
      </c>
      <c r="K147">
        <v>146</v>
      </c>
      <c r="L147" s="3">
        <f>SUM($I$2:$I147)</f>
        <v>3352700</v>
      </c>
      <c r="M147" s="3">
        <f>SUM($J$2:$J147)</f>
        <v>8863397</v>
      </c>
      <c r="N147" s="2">
        <f>SUM($D$2:$D147)</f>
        <v>406.56999999999977</v>
      </c>
      <c r="O147" s="2">
        <f t="shared" si="13"/>
        <v>2.4228891121655171E-2</v>
      </c>
      <c r="P147" s="2" cm="1">
        <f t="array" ref="P147">SUMPRODUCT((O147&gt;$T$9:$T$14)*(O147&lt;=$U$9:$U$14),$S$9:$S$14)</f>
        <v>1</v>
      </c>
    </row>
    <row r="148" spans="1:16" x14ac:dyDescent="0.25">
      <c r="A148">
        <v>1620</v>
      </c>
      <c r="B148">
        <v>1620</v>
      </c>
      <c r="C148">
        <v>2112</v>
      </c>
      <c r="D148">
        <v>2.2999999999999998</v>
      </c>
      <c r="E148">
        <v>47417</v>
      </c>
      <c r="F148">
        <v>0</v>
      </c>
      <c r="G148">
        <v>47417000</v>
      </c>
      <c r="H148">
        <v>401</v>
      </c>
      <c r="I148">
        <v>12300</v>
      </c>
      <c r="J148" s="2">
        <f t="shared" si="12"/>
        <v>28289.999999999996</v>
      </c>
      <c r="K148">
        <v>147</v>
      </c>
      <c r="L148" s="3">
        <f>SUM($I$2:$I148)</f>
        <v>3365000</v>
      </c>
      <c r="M148" s="3">
        <f>SUM($J$2:$J148)</f>
        <v>8891687</v>
      </c>
      <c r="N148" s="2">
        <f>SUM($D$2:$D148)</f>
        <v>408.86999999999978</v>
      </c>
      <c r="O148" s="2">
        <f t="shared" si="13"/>
        <v>2.4365955955705416E-2</v>
      </c>
      <c r="P148" s="2" cm="1">
        <f t="array" ref="P148">SUMPRODUCT((O148&gt;$T$9:$T$14)*(O148&lt;=$U$9:$U$14),$S$9:$S$14)</f>
        <v>1</v>
      </c>
    </row>
    <row r="149" spans="1:16" x14ac:dyDescent="0.25">
      <c r="A149">
        <v>611</v>
      </c>
      <c r="B149">
        <v>1398</v>
      </c>
      <c r="C149">
        <v>833</v>
      </c>
      <c r="D149">
        <v>0.79</v>
      </c>
      <c r="E149">
        <v>10060</v>
      </c>
      <c r="F149">
        <v>0</v>
      </c>
      <c r="G149">
        <v>10060000</v>
      </c>
      <c r="H149" t="s">
        <v>20</v>
      </c>
      <c r="I149">
        <v>12300</v>
      </c>
      <c r="J149" s="2">
        <f t="shared" si="12"/>
        <v>9717</v>
      </c>
      <c r="K149">
        <v>148</v>
      </c>
      <c r="L149" s="3">
        <f>SUM($I$2:$I149)</f>
        <v>3377300</v>
      </c>
      <c r="M149" s="3">
        <f>SUM($J$2:$J149)</f>
        <v>8901404</v>
      </c>
      <c r="N149" s="2">
        <f>SUM($D$2:$D149)</f>
        <v>409.6599999999998</v>
      </c>
      <c r="O149" s="2">
        <f t="shared" si="13"/>
        <v>2.4413034746531368E-2</v>
      </c>
      <c r="P149" s="2" cm="1">
        <f t="array" ref="P149">SUMPRODUCT((O149&gt;$T$9:$T$14)*(O149&lt;=$U$9:$U$14),$S$9:$S$14)</f>
        <v>1</v>
      </c>
    </row>
    <row r="150" spans="1:16" x14ac:dyDescent="0.25">
      <c r="A150">
        <v>45</v>
      </c>
      <c r="B150">
        <v>841</v>
      </c>
      <c r="C150">
        <v>1596</v>
      </c>
      <c r="D150">
        <v>2.3199999999999998</v>
      </c>
      <c r="E150">
        <v>50355</v>
      </c>
      <c r="F150">
        <v>0</v>
      </c>
      <c r="G150">
        <v>50355000</v>
      </c>
      <c r="H150">
        <v>427</v>
      </c>
      <c r="I150">
        <v>12100</v>
      </c>
      <c r="J150" s="2">
        <f t="shared" si="12"/>
        <v>28071.999999999996</v>
      </c>
      <c r="K150">
        <v>149</v>
      </c>
      <c r="L150" s="3">
        <f>SUM($I$2:$I150)</f>
        <v>3389400</v>
      </c>
      <c r="M150" s="3">
        <f>SUM($J$2:$J150)</f>
        <v>8929476</v>
      </c>
      <c r="N150" s="2">
        <f>SUM($D$2:$D150)</f>
        <v>411.97999999999979</v>
      </c>
      <c r="O150" s="2">
        <f t="shared" si="13"/>
        <v>2.4551291448703785E-2</v>
      </c>
      <c r="P150" s="2" cm="1">
        <f t="array" ref="P150">SUMPRODUCT((O150&gt;$T$9:$T$14)*(O150&lt;=$U$9:$U$14),$S$9:$S$14)</f>
        <v>1</v>
      </c>
    </row>
    <row r="151" spans="1:16" x14ac:dyDescent="0.25">
      <c r="A151">
        <v>1565</v>
      </c>
      <c r="B151">
        <v>397</v>
      </c>
      <c r="C151">
        <v>1545</v>
      </c>
      <c r="D151">
        <v>0.51</v>
      </c>
      <c r="E151">
        <v>48440</v>
      </c>
      <c r="F151">
        <v>0</v>
      </c>
      <c r="G151">
        <v>48440000</v>
      </c>
      <c r="H151">
        <v>404</v>
      </c>
      <c r="I151">
        <v>12100</v>
      </c>
      <c r="J151" s="2">
        <f t="shared" si="12"/>
        <v>6171</v>
      </c>
      <c r="K151">
        <v>150</v>
      </c>
      <c r="L151" s="3">
        <f>SUM($I$2:$I151)</f>
        <v>3401500</v>
      </c>
      <c r="M151" s="3">
        <f>SUM($J$2:$J151)</f>
        <v>8935647</v>
      </c>
      <c r="N151" s="2">
        <f>SUM($D$2:$D151)</f>
        <v>412.48999999999978</v>
      </c>
      <c r="O151" s="2">
        <f t="shared" si="13"/>
        <v>2.4581684085819275E-2</v>
      </c>
      <c r="P151" s="2" cm="1">
        <f t="array" ref="P151">SUMPRODUCT((O151&gt;$T$9:$T$14)*(O151&lt;=$U$9:$U$14),$S$9:$S$14)</f>
        <v>1</v>
      </c>
    </row>
    <row r="152" spans="1:16" x14ac:dyDescent="0.25">
      <c r="A152">
        <v>592</v>
      </c>
      <c r="B152">
        <v>1379</v>
      </c>
      <c r="C152">
        <v>810</v>
      </c>
      <c r="D152">
        <v>3.57</v>
      </c>
      <c r="E152">
        <v>10085</v>
      </c>
      <c r="F152">
        <v>0</v>
      </c>
      <c r="G152">
        <v>10085000</v>
      </c>
      <c r="H152" t="s">
        <v>20</v>
      </c>
      <c r="I152">
        <v>12000</v>
      </c>
      <c r="J152" s="2">
        <f t="shared" si="12"/>
        <v>42840</v>
      </c>
      <c r="K152">
        <v>151</v>
      </c>
      <c r="L152" s="3">
        <f>SUM($I$2:$I152)</f>
        <v>3413500</v>
      </c>
      <c r="M152" s="3">
        <f>SUM($J$2:$J152)</f>
        <v>8978487</v>
      </c>
      <c r="N152" s="2">
        <f>SUM($D$2:$D152)</f>
        <v>416.05999999999977</v>
      </c>
      <c r="O152" s="2">
        <f t="shared" si="13"/>
        <v>2.4794432545627694E-2</v>
      </c>
      <c r="P152" s="2" cm="1">
        <f t="array" ref="P152">SUMPRODUCT((O152&gt;$T$9:$T$14)*(O152&lt;=$U$9:$U$14),$S$9:$S$14)</f>
        <v>1</v>
      </c>
    </row>
    <row r="153" spans="1:16" x14ac:dyDescent="0.25">
      <c r="A153">
        <v>1642</v>
      </c>
      <c r="B153">
        <v>1642</v>
      </c>
      <c r="C153">
        <v>2137</v>
      </c>
      <c r="D153">
        <v>3.33</v>
      </c>
      <c r="E153">
        <v>48300</v>
      </c>
      <c r="F153">
        <v>0</v>
      </c>
      <c r="G153">
        <v>48300000</v>
      </c>
      <c r="H153">
        <v>403</v>
      </c>
      <c r="I153">
        <v>12000</v>
      </c>
      <c r="J153" s="2">
        <f t="shared" si="12"/>
        <v>39960</v>
      </c>
      <c r="K153">
        <v>152</v>
      </c>
      <c r="L153" s="3">
        <f>SUM($I$2:$I153)</f>
        <v>3425500</v>
      </c>
      <c r="M153" s="3">
        <f>SUM($J$2:$J153)</f>
        <v>9018447</v>
      </c>
      <c r="N153" s="2">
        <f>SUM($D$2:$D153)</f>
        <v>419.38999999999976</v>
      </c>
      <c r="O153" s="2">
        <f t="shared" si="13"/>
        <v>2.4992878587969999E-2</v>
      </c>
      <c r="P153" s="2" cm="1">
        <f t="array" ref="P153">SUMPRODUCT((O153&gt;$T$9:$T$14)*(O153&lt;=$U$9:$U$14),$S$9:$S$14)</f>
        <v>1</v>
      </c>
    </row>
    <row r="154" spans="1:16" x14ac:dyDescent="0.25">
      <c r="A154">
        <v>1438</v>
      </c>
      <c r="B154">
        <v>270</v>
      </c>
      <c r="C154">
        <v>1393</v>
      </c>
      <c r="D154">
        <v>11.43</v>
      </c>
      <c r="E154">
        <v>46850</v>
      </c>
      <c r="F154">
        <v>0</v>
      </c>
      <c r="G154">
        <v>46850000</v>
      </c>
      <c r="H154">
        <v>400</v>
      </c>
      <c r="I154">
        <v>11800</v>
      </c>
      <c r="J154" s="2">
        <f t="shared" si="12"/>
        <v>134874</v>
      </c>
      <c r="K154">
        <v>153</v>
      </c>
      <c r="L154" s="3">
        <f>SUM($I$2:$I154)</f>
        <v>3437300</v>
      </c>
      <c r="M154" s="3">
        <f>SUM($J$2:$J154)</f>
        <v>9153321</v>
      </c>
      <c r="N154" s="2">
        <f>SUM($D$2:$D154)</f>
        <v>430.81999999999977</v>
      </c>
      <c r="O154" s="2">
        <f t="shared" si="13"/>
        <v>2.5674031219793593E-2</v>
      </c>
      <c r="P154" s="2" cm="1">
        <f t="array" ref="P154">SUMPRODUCT((O154&gt;$T$9:$T$14)*(O154&lt;=$U$9:$U$14),$S$9:$S$14)</f>
        <v>1</v>
      </c>
    </row>
    <row r="155" spans="1:16" x14ac:dyDescent="0.25">
      <c r="A155">
        <v>11</v>
      </c>
      <c r="B155">
        <v>808</v>
      </c>
      <c r="C155">
        <v>1559</v>
      </c>
      <c r="D155">
        <v>3.75</v>
      </c>
      <c r="E155">
        <v>48295</v>
      </c>
      <c r="F155">
        <v>0</v>
      </c>
      <c r="G155">
        <v>48295000</v>
      </c>
      <c r="H155">
        <v>403</v>
      </c>
      <c r="I155">
        <v>11800</v>
      </c>
      <c r="J155" s="2">
        <f t="shared" si="12"/>
        <v>44250</v>
      </c>
      <c r="K155">
        <v>154</v>
      </c>
      <c r="L155" s="3">
        <f>SUM($I$2:$I155)</f>
        <v>3449100</v>
      </c>
      <c r="M155" s="3">
        <f>SUM($J$2:$J155)</f>
        <v>9197571</v>
      </c>
      <c r="N155" s="2">
        <f>SUM($D$2:$D155)</f>
        <v>434.56999999999977</v>
      </c>
      <c r="O155" s="2">
        <f t="shared" si="13"/>
        <v>2.5897506492701595E-2</v>
      </c>
      <c r="P155" s="2" cm="1">
        <f t="array" ref="P155">SUMPRODUCT((O155&gt;$T$9:$T$14)*(O155&lt;=$U$9:$U$14),$S$9:$S$14)</f>
        <v>1</v>
      </c>
    </row>
    <row r="156" spans="1:16" x14ac:dyDescent="0.25">
      <c r="A156">
        <v>1540</v>
      </c>
      <c r="B156">
        <v>372</v>
      </c>
      <c r="C156">
        <v>1516</v>
      </c>
      <c r="D156">
        <v>2.5299999999999998</v>
      </c>
      <c r="E156">
        <v>50300</v>
      </c>
      <c r="F156">
        <v>0</v>
      </c>
      <c r="G156">
        <v>50300000</v>
      </c>
      <c r="H156">
        <v>427</v>
      </c>
      <c r="I156">
        <v>11800</v>
      </c>
      <c r="J156" s="2">
        <f t="shared" si="12"/>
        <v>29853.999999999996</v>
      </c>
      <c r="K156">
        <v>155</v>
      </c>
      <c r="L156" s="3">
        <f>SUM($I$2:$I156)</f>
        <v>3460900</v>
      </c>
      <c r="M156" s="3">
        <f>SUM($J$2:$J156)</f>
        <v>9227425</v>
      </c>
      <c r="N156" s="2">
        <f>SUM($D$2:$D156)</f>
        <v>437.09999999999974</v>
      </c>
      <c r="O156" s="2">
        <f t="shared" si="13"/>
        <v>2.604827781015686E-2</v>
      </c>
      <c r="P156" s="2" cm="1">
        <f t="array" ref="P156">SUMPRODUCT((O156&gt;$T$9:$T$14)*(O156&lt;=$U$9:$U$14),$S$9:$S$14)</f>
        <v>1</v>
      </c>
    </row>
    <row r="157" spans="1:16" x14ac:dyDescent="0.25">
      <c r="A157">
        <v>1442</v>
      </c>
      <c r="B157">
        <v>274</v>
      </c>
      <c r="C157">
        <v>1397</v>
      </c>
      <c r="D157">
        <v>9.1199999999999992</v>
      </c>
      <c r="E157">
        <v>46830</v>
      </c>
      <c r="F157">
        <v>0</v>
      </c>
      <c r="G157">
        <v>46830000</v>
      </c>
      <c r="H157">
        <v>400</v>
      </c>
      <c r="I157">
        <v>11600</v>
      </c>
      <c r="J157" s="2">
        <f t="shared" si="12"/>
        <v>105791.99999999999</v>
      </c>
      <c r="K157">
        <v>156</v>
      </c>
      <c r="L157" s="3">
        <f>SUM($I$2:$I157)</f>
        <v>3472500</v>
      </c>
      <c r="M157" s="3">
        <f>SUM($J$2:$J157)</f>
        <v>9333217</v>
      </c>
      <c r="N157" s="2">
        <f>SUM($D$2:$D157)</f>
        <v>446.21999999999974</v>
      </c>
      <c r="O157" s="2">
        <f t="shared" si="13"/>
        <v>2.6591769673869125E-2</v>
      </c>
      <c r="P157" s="2" cm="1">
        <f t="array" ref="P157">SUMPRODUCT((O157&gt;$T$9:$T$14)*(O157&lt;=$U$9:$U$14),$S$9:$S$14)</f>
        <v>1</v>
      </c>
    </row>
    <row r="158" spans="1:16" x14ac:dyDescent="0.25">
      <c r="A158">
        <v>1405</v>
      </c>
      <c r="B158">
        <v>237</v>
      </c>
      <c r="C158">
        <v>1354</v>
      </c>
      <c r="D158">
        <v>8.51</v>
      </c>
      <c r="E158">
        <v>47230</v>
      </c>
      <c r="F158">
        <v>0</v>
      </c>
      <c r="G158">
        <v>47230000</v>
      </c>
      <c r="H158">
        <v>401</v>
      </c>
      <c r="I158">
        <v>11600</v>
      </c>
      <c r="J158" s="2">
        <f t="shared" si="12"/>
        <v>98716</v>
      </c>
      <c r="K158">
        <v>157</v>
      </c>
      <c r="L158" s="3">
        <f>SUM($I$2:$I158)</f>
        <v>3484100</v>
      </c>
      <c r="M158" s="3">
        <f>SUM($J$2:$J158)</f>
        <v>9431933</v>
      </c>
      <c r="N158" s="2">
        <f>SUM($D$2:$D158)</f>
        <v>454.72999999999973</v>
      </c>
      <c r="O158" s="2">
        <f t="shared" si="13"/>
        <v>2.7098909559855021E-2</v>
      </c>
      <c r="P158" s="2" cm="1">
        <f t="array" ref="P158">SUMPRODUCT((O158&gt;$T$9:$T$14)*(O158&lt;=$U$9:$U$14),$S$9:$S$14)</f>
        <v>1</v>
      </c>
    </row>
    <row r="159" spans="1:16" x14ac:dyDescent="0.25">
      <c r="A159">
        <v>123</v>
      </c>
      <c r="B159">
        <v>919</v>
      </c>
      <c r="C159">
        <v>1678</v>
      </c>
      <c r="D159">
        <v>2.12</v>
      </c>
      <c r="E159">
        <v>49500</v>
      </c>
      <c r="F159">
        <v>0</v>
      </c>
      <c r="G159">
        <v>49500000</v>
      </c>
      <c r="H159">
        <v>417</v>
      </c>
      <c r="I159">
        <v>11600</v>
      </c>
      <c r="J159" s="2">
        <f t="shared" si="12"/>
        <v>24592</v>
      </c>
      <c r="K159">
        <v>158</v>
      </c>
      <c r="L159" s="3">
        <f>SUM($I$2:$I159)</f>
        <v>3495700</v>
      </c>
      <c r="M159" s="3">
        <f>SUM($J$2:$J159)</f>
        <v>9456525</v>
      </c>
      <c r="N159" s="2">
        <f>SUM($D$2:$D159)</f>
        <v>456.84999999999974</v>
      </c>
      <c r="O159" s="2">
        <f t="shared" si="13"/>
        <v>2.7225247580805679E-2</v>
      </c>
      <c r="P159" s="2" cm="1">
        <f t="array" ref="P159">SUMPRODUCT((O159&gt;$T$9:$T$14)*(O159&lt;=$U$9:$U$14),$S$9:$S$14)</f>
        <v>1</v>
      </c>
    </row>
    <row r="160" spans="1:16" x14ac:dyDescent="0.25">
      <c r="A160">
        <v>1624</v>
      </c>
      <c r="B160">
        <v>1624</v>
      </c>
      <c r="C160">
        <v>2116</v>
      </c>
      <c r="D160">
        <v>3.79</v>
      </c>
      <c r="E160">
        <v>47410</v>
      </c>
      <c r="F160">
        <v>0</v>
      </c>
      <c r="G160">
        <v>47410000</v>
      </c>
      <c r="H160">
        <v>401</v>
      </c>
      <c r="I160">
        <v>11500</v>
      </c>
      <c r="J160" s="2">
        <f t="shared" si="12"/>
        <v>43585</v>
      </c>
      <c r="K160">
        <v>159</v>
      </c>
      <c r="L160" s="3">
        <f>SUM($I$2:$I160)</f>
        <v>3507200</v>
      </c>
      <c r="M160" s="3">
        <f>SUM($J$2:$J160)</f>
        <v>9500110</v>
      </c>
      <c r="N160" s="2">
        <f>SUM($D$2:$D160)</f>
        <v>460.63999999999976</v>
      </c>
      <c r="O160" s="2">
        <f t="shared" si="13"/>
        <v>2.7451106589958037E-2</v>
      </c>
      <c r="P160" s="2" cm="1">
        <f t="array" ref="P160">SUMPRODUCT((O160&gt;$T$9:$T$14)*(O160&lt;=$U$9:$U$14),$S$9:$S$14)</f>
        <v>1</v>
      </c>
    </row>
    <row r="161" spans="1:16" x14ac:dyDescent="0.25">
      <c r="A161">
        <v>360</v>
      </c>
      <c r="B161">
        <v>1155</v>
      </c>
      <c r="C161">
        <v>2039</v>
      </c>
      <c r="D161">
        <v>2.94</v>
      </c>
      <c r="E161">
        <v>48320</v>
      </c>
      <c r="F161">
        <v>0</v>
      </c>
      <c r="G161">
        <v>48320000</v>
      </c>
      <c r="H161">
        <v>403</v>
      </c>
      <c r="I161">
        <v>11500</v>
      </c>
      <c r="J161" s="2">
        <f t="shared" si="12"/>
        <v>33810</v>
      </c>
      <c r="K161">
        <v>160</v>
      </c>
      <c r="L161" s="3">
        <f>SUM($I$2:$I161)</f>
        <v>3518700</v>
      </c>
      <c r="M161" s="3">
        <f>SUM($J$2:$J161)</f>
        <v>9533920</v>
      </c>
      <c r="N161" s="2">
        <f>SUM($D$2:$D161)</f>
        <v>463.57999999999976</v>
      </c>
      <c r="O161" s="2">
        <f t="shared" si="13"/>
        <v>2.7626311203917911E-2</v>
      </c>
      <c r="P161" s="2" cm="1">
        <f t="array" ref="P161">SUMPRODUCT((O161&gt;$T$9:$T$14)*(O161&lt;=$U$9:$U$14),$S$9:$S$14)</f>
        <v>1</v>
      </c>
    </row>
    <row r="162" spans="1:16" x14ac:dyDescent="0.25">
      <c r="A162">
        <v>1623</v>
      </c>
      <c r="B162">
        <v>1623</v>
      </c>
      <c r="C162">
        <v>2115</v>
      </c>
      <c r="D162">
        <v>2.2999999999999998</v>
      </c>
      <c r="E162">
        <v>47413</v>
      </c>
      <c r="F162">
        <v>0</v>
      </c>
      <c r="G162">
        <v>47413000</v>
      </c>
      <c r="H162">
        <v>401</v>
      </c>
      <c r="I162">
        <v>11500</v>
      </c>
      <c r="J162" s="2">
        <f t="shared" si="12"/>
        <v>26449.999999999996</v>
      </c>
      <c r="K162">
        <v>161</v>
      </c>
      <c r="L162" s="3">
        <f>SUM($I$2:$I162)</f>
        <v>3530200</v>
      </c>
      <c r="M162" s="3">
        <f>SUM($J$2:$J162)</f>
        <v>9560370</v>
      </c>
      <c r="N162" s="2">
        <f>SUM($D$2:$D162)</f>
        <v>465.87999999999977</v>
      </c>
      <c r="O162" s="2">
        <f t="shared" si="13"/>
        <v>2.7763376037968152E-2</v>
      </c>
      <c r="P162" s="2" cm="1">
        <f t="array" ref="P162">SUMPRODUCT((O162&gt;$T$9:$T$14)*(O162&lt;=$U$9:$U$14),$S$9:$S$14)</f>
        <v>1</v>
      </c>
    </row>
    <row r="163" spans="1:16" x14ac:dyDescent="0.25">
      <c r="A163">
        <v>1289</v>
      </c>
      <c r="B163">
        <v>121</v>
      </c>
      <c r="C163">
        <v>1206</v>
      </c>
      <c r="D163">
        <v>0.38</v>
      </c>
      <c r="E163">
        <v>38450</v>
      </c>
      <c r="F163">
        <v>0</v>
      </c>
      <c r="G163">
        <v>38450000</v>
      </c>
      <c r="H163">
        <v>85</v>
      </c>
      <c r="I163">
        <v>11500</v>
      </c>
      <c r="J163" s="2">
        <f t="shared" si="12"/>
        <v>4370</v>
      </c>
      <c r="K163">
        <v>162</v>
      </c>
      <c r="L163" s="3">
        <f>SUM($I$2:$I163)</f>
        <v>3541700</v>
      </c>
      <c r="M163" s="3">
        <f>SUM($J$2:$J163)</f>
        <v>9564740</v>
      </c>
      <c r="N163" s="2">
        <f>SUM($D$2:$D163)</f>
        <v>466.25999999999976</v>
      </c>
      <c r="O163" s="2">
        <f t="shared" si="13"/>
        <v>2.7786021532289498E-2</v>
      </c>
      <c r="P163" s="2" cm="1">
        <f t="array" ref="P163">SUMPRODUCT((O163&gt;$T$9:$T$14)*(O163&lt;=$U$9:$U$14),$S$9:$S$14)</f>
        <v>1</v>
      </c>
    </row>
    <row r="164" spans="1:16" x14ac:dyDescent="0.25">
      <c r="A164">
        <v>791</v>
      </c>
      <c r="B164">
        <v>417</v>
      </c>
      <c r="C164">
        <v>1557</v>
      </c>
      <c r="D164">
        <v>5.19</v>
      </c>
      <c r="E164">
        <v>47555</v>
      </c>
      <c r="F164">
        <v>0</v>
      </c>
      <c r="G164">
        <v>47555000</v>
      </c>
      <c r="H164">
        <v>401</v>
      </c>
      <c r="I164">
        <v>11400</v>
      </c>
      <c r="J164" s="2">
        <f t="shared" si="12"/>
        <v>59166.000000000007</v>
      </c>
      <c r="K164">
        <v>163</v>
      </c>
      <c r="L164" s="3">
        <f>SUM($I$2:$I164)</f>
        <v>3553100</v>
      </c>
      <c r="M164" s="3">
        <f>SUM($J$2:$J164)</f>
        <v>9623906</v>
      </c>
      <c r="N164" s="2">
        <f>SUM($D$2:$D164)</f>
        <v>471.44999999999976</v>
      </c>
      <c r="O164" s="2">
        <f t="shared" si="13"/>
        <v>2.8095311309994174E-2</v>
      </c>
      <c r="P164" s="2" cm="1">
        <f t="array" ref="P164">SUMPRODUCT((O164&gt;$T$9:$T$14)*(O164&lt;=$U$9:$U$14),$S$9:$S$14)</f>
        <v>1</v>
      </c>
    </row>
    <row r="165" spans="1:16" x14ac:dyDescent="0.25">
      <c r="A165">
        <v>1676</v>
      </c>
      <c r="B165">
        <v>1676</v>
      </c>
      <c r="C165">
        <v>2174</v>
      </c>
      <c r="D165">
        <v>4.0199999999999996</v>
      </c>
      <c r="E165">
        <v>49540</v>
      </c>
      <c r="F165">
        <v>0</v>
      </c>
      <c r="G165">
        <v>49540000</v>
      </c>
      <c r="H165">
        <v>417</v>
      </c>
      <c r="I165">
        <v>11400</v>
      </c>
      <c r="J165" s="2">
        <f t="shared" si="12"/>
        <v>45827.999999999993</v>
      </c>
      <c r="K165">
        <v>164</v>
      </c>
      <c r="L165" s="3">
        <f>SUM($I$2:$I165)</f>
        <v>3564500</v>
      </c>
      <c r="M165" s="3">
        <f>SUM($J$2:$J165)</f>
        <v>9669734</v>
      </c>
      <c r="N165" s="2">
        <f>SUM($D$2:$D165)</f>
        <v>475.46999999999974</v>
      </c>
      <c r="O165" s="2">
        <f t="shared" si="13"/>
        <v>2.8334876802551551E-2</v>
      </c>
      <c r="P165" s="2" cm="1">
        <f t="array" ref="P165">SUMPRODUCT((O165&gt;$T$9:$T$14)*(O165&lt;=$U$9:$U$14),$S$9:$S$14)</f>
        <v>1</v>
      </c>
    </row>
    <row r="166" spans="1:16" x14ac:dyDescent="0.25">
      <c r="A166">
        <v>573</v>
      </c>
      <c r="B166">
        <v>1360</v>
      </c>
      <c r="C166">
        <v>783</v>
      </c>
      <c r="D166">
        <v>3.57</v>
      </c>
      <c r="E166">
        <v>10083</v>
      </c>
      <c r="F166">
        <v>0</v>
      </c>
      <c r="G166">
        <v>10083000</v>
      </c>
      <c r="H166" t="s">
        <v>20</v>
      </c>
      <c r="I166">
        <v>11400</v>
      </c>
      <c r="J166" s="2">
        <f t="shared" si="12"/>
        <v>40698</v>
      </c>
      <c r="K166">
        <v>165</v>
      </c>
      <c r="L166" s="3">
        <f>SUM($I$2:$I166)</f>
        <v>3575900</v>
      </c>
      <c r="M166" s="3">
        <f>SUM($J$2:$J166)</f>
        <v>9710432</v>
      </c>
      <c r="N166" s="2">
        <f>SUM($D$2:$D166)</f>
        <v>479.03999999999974</v>
      </c>
      <c r="O166" s="2">
        <f t="shared" si="13"/>
        <v>2.8547625262359971E-2</v>
      </c>
      <c r="P166" s="2" cm="1">
        <f t="array" ref="P166">SUMPRODUCT((O166&gt;$T$9:$T$14)*(O166&lt;=$U$9:$U$14),$S$9:$S$14)</f>
        <v>1</v>
      </c>
    </row>
    <row r="167" spans="1:16" x14ac:dyDescent="0.25">
      <c r="A167">
        <v>406</v>
      </c>
      <c r="B167">
        <v>404</v>
      </c>
      <c r="C167">
        <v>1552</v>
      </c>
      <c r="D167">
        <v>3.33</v>
      </c>
      <c r="E167">
        <v>47558</v>
      </c>
      <c r="F167">
        <v>0</v>
      </c>
      <c r="G167">
        <v>47558000</v>
      </c>
      <c r="H167">
        <v>401</v>
      </c>
      <c r="I167">
        <v>11400</v>
      </c>
      <c r="J167" s="2">
        <f t="shared" si="12"/>
        <v>37962</v>
      </c>
      <c r="K167">
        <v>166</v>
      </c>
      <c r="L167" s="3">
        <f>SUM($I$2:$I167)</f>
        <v>3587300</v>
      </c>
      <c r="M167" s="3">
        <f>SUM($J$2:$J167)</f>
        <v>9748394</v>
      </c>
      <c r="N167" s="2">
        <f>SUM($D$2:$D167)</f>
        <v>482.36999999999972</v>
      </c>
      <c r="O167" s="2">
        <f t="shared" si="13"/>
        <v>2.8746071304702279E-2</v>
      </c>
      <c r="P167" s="2" cm="1">
        <f t="array" ref="P167">SUMPRODUCT((O167&gt;$T$9:$T$14)*(O167&lt;=$U$9:$U$14),$S$9:$S$14)</f>
        <v>1</v>
      </c>
    </row>
    <row r="168" spans="1:16" x14ac:dyDescent="0.25">
      <c r="A168">
        <v>1646</v>
      </c>
      <c r="B168">
        <v>1646</v>
      </c>
      <c r="C168">
        <v>2141</v>
      </c>
      <c r="D168">
        <v>1.59</v>
      </c>
      <c r="E168">
        <v>49450</v>
      </c>
      <c r="F168">
        <v>0</v>
      </c>
      <c r="G168">
        <v>49450000</v>
      </c>
      <c r="H168">
        <v>417</v>
      </c>
      <c r="I168">
        <v>11300</v>
      </c>
      <c r="J168" s="2">
        <f t="shared" si="12"/>
        <v>17967</v>
      </c>
      <c r="K168">
        <v>167</v>
      </c>
      <c r="L168" s="3">
        <f>SUM($I$2:$I168)</f>
        <v>3598600</v>
      </c>
      <c r="M168" s="3">
        <f>SUM($J$2:$J168)</f>
        <v>9766361</v>
      </c>
      <c r="N168" s="2">
        <f>SUM($D$2:$D168)</f>
        <v>483.9599999999997</v>
      </c>
      <c r="O168" s="2">
        <f t="shared" si="13"/>
        <v>2.8840824820415268E-2</v>
      </c>
      <c r="P168" s="2" cm="1">
        <f t="array" ref="P168">SUMPRODUCT((O168&gt;$T$9:$T$14)*(O168&lt;=$U$9:$U$14),$S$9:$S$14)</f>
        <v>1</v>
      </c>
    </row>
    <row r="169" spans="1:16" x14ac:dyDescent="0.25">
      <c r="A169">
        <v>100</v>
      </c>
      <c r="B169">
        <v>896</v>
      </c>
      <c r="C169">
        <v>1654</v>
      </c>
      <c r="D169">
        <v>0.42</v>
      </c>
      <c r="E169">
        <v>49409</v>
      </c>
      <c r="F169">
        <v>0</v>
      </c>
      <c r="G169">
        <v>49409000</v>
      </c>
      <c r="H169">
        <v>417</v>
      </c>
      <c r="I169">
        <v>11300</v>
      </c>
      <c r="J169" s="2">
        <f t="shared" si="12"/>
        <v>4746</v>
      </c>
      <c r="K169">
        <v>168</v>
      </c>
      <c r="L169" s="3">
        <f>SUM($I$2:$I169)</f>
        <v>3609900</v>
      </c>
      <c r="M169" s="3">
        <f>SUM($J$2:$J169)</f>
        <v>9771107</v>
      </c>
      <c r="N169" s="2">
        <f>SUM($D$2:$D169)</f>
        <v>484.37999999999971</v>
      </c>
      <c r="O169" s="2">
        <f t="shared" si="13"/>
        <v>2.8865854050980966E-2</v>
      </c>
      <c r="P169" s="2" cm="1">
        <f t="array" ref="P169">SUMPRODUCT((O169&gt;$T$9:$T$14)*(O169&lt;=$U$9:$U$14),$S$9:$S$14)</f>
        <v>1</v>
      </c>
    </row>
    <row r="170" spans="1:16" x14ac:dyDescent="0.25">
      <c r="A170">
        <v>1602</v>
      </c>
      <c r="B170">
        <v>1602</v>
      </c>
      <c r="C170">
        <v>2091</v>
      </c>
      <c r="D170">
        <v>0.19</v>
      </c>
      <c r="E170">
        <v>49399</v>
      </c>
      <c r="F170">
        <v>0</v>
      </c>
      <c r="G170">
        <v>49399000</v>
      </c>
      <c r="H170">
        <v>417</v>
      </c>
      <c r="I170">
        <v>11300</v>
      </c>
      <c r="J170" s="2">
        <f t="shared" si="12"/>
        <v>2147</v>
      </c>
      <c r="K170">
        <v>169</v>
      </c>
      <c r="L170" s="3">
        <f>SUM($I$2:$I170)</f>
        <v>3621200</v>
      </c>
      <c r="M170" s="3">
        <f>SUM($J$2:$J170)</f>
        <v>9773254</v>
      </c>
      <c r="N170" s="2">
        <f>SUM($D$2:$D170)</f>
        <v>484.56999999999971</v>
      </c>
      <c r="O170" s="2">
        <f t="shared" si="13"/>
        <v>2.8877176798141641E-2</v>
      </c>
      <c r="P170" s="2" cm="1">
        <f t="array" ref="P170">SUMPRODUCT((O170&gt;$T$9:$T$14)*(O170&lt;=$U$9:$U$14),$S$9:$S$14)</f>
        <v>1</v>
      </c>
    </row>
    <row r="171" spans="1:16" x14ac:dyDescent="0.25">
      <c r="A171">
        <v>684</v>
      </c>
      <c r="B171">
        <v>1471</v>
      </c>
      <c r="C171">
        <v>921</v>
      </c>
      <c r="D171">
        <v>6.64</v>
      </c>
      <c r="E171">
        <v>10070</v>
      </c>
      <c r="F171">
        <v>0</v>
      </c>
      <c r="G171">
        <v>10070000</v>
      </c>
      <c r="H171" t="s">
        <v>20</v>
      </c>
      <c r="I171">
        <v>11100</v>
      </c>
      <c r="J171" s="2">
        <f t="shared" si="12"/>
        <v>73704</v>
      </c>
      <c r="K171">
        <v>170</v>
      </c>
      <c r="L171" s="3">
        <f>SUM($I$2:$I171)</f>
        <v>3632300</v>
      </c>
      <c r="M171" s="3">
        <f>SUM($J$2:$J171)</f>
        <v>9846958</v>
      </c>
      <c r="N171" s="2">
        <f>SUM($D$2:$D171)</f>
        <v>491.2099999999997</v>
      </c>
      <c r="O171" s="2">
        <f t="shared" si="13"/>
        <v>2.9272877014704077E-2</v>
      </c>
      <c r="P171" s="2" cm="1">
        <f t="array" ref="P171">SUMPRODUCT((O171&gt;$T$9:$T$14)*(O171&lt;=$U$9:$U$14),$S$9:$S$14)</f>
        <v>1</v>
      </c>
    </row>
    <row r="172" spans="1:16" x14ac:dyDescent="0.25">
      <c r="A172">
        <v>14</v>
      </c>
      <c r="B172">
        <v>810</v>
      </c>
      <c r="C172">
        <v>1561</v>
      </c>
      <c r="D172">
        <v>4.6900000000000004</v>
      </c>
      <c r="E172">
        <v>47550</v>
      </c>
      <c r="F172">
        <v>0</v>
      </c>
      <c r="G172">
        <v>47550000</v>
      </c>
      <c r="H172">
        <v>401</v>
      </c>
      <c r="I172">
        <v>11100</v>
      </c>
      <c r="J172" s="2">
        <f t="shared" si="12"/>
        <v>52059.000000000007</v>
      </c>
      <c r="K172">
        <v>171</v>
      </c>
      <c r="L172" s="3">
        <f>SUM($I$2:$I172)</f>
        <v>3643400</v>
      </c>
      <c r="M172" s="3">
        <f>SUM($J$2:$J172)</f>
        <v>9899017</v>
      </c>
      <c r="N172" s="2">
        <f>SUM($D$2:$D172)</f>
        <v>495.89999999999969</v>
      </c>
      <c r="O172" s="2">
        <f t="shared" si="13"/>
        <v>2.9552370089354352E-2</v>
      </c>
      <c r="P172" s="2" cm="1">
        <f t="array" ref="P172">SUMPRODUCT((O172&gt;$T$9:$T$14)*(O172&lt;=$U$9:$U$14),$S$9:$S$14)</f>
        <v>1</v>
      </c>
    </row>
    <row r="173" spans="1:16" x14ac:dyDescent="0.25">
      <c r="A173">
        <v>1566</v>
      </c>
      <c r="B173">
        <v>398</v>
      </c>
      <c r="C173">
        <v>1546</v>
      </c>
      <c r="D173">
        <v>8.1199999999999992</v>
      </c>
      <c r="E173">
        <v>47560</v>
      </c>
      <c r="F173">
        <v>0</v>
      </c>
      <c r="G173">
        <v>47560000</v>
      </c>
      <c r="H173">
        <v>401</v>
      </c>
      <c r="I173">
        <v>11000</v>
      </c>
      <c r="J173" s="2">
        <f t="shared" si="12"/>
        <v>89319.999999999985</v>
      </c>
      <c r="K173">
        <v>172</v>
      </c>
      <c r="L173" s="3">
        <f>SUM($I$2:$I173)</f>
        <v>3654400</v>
      </c>
      <c r="M173" s="3">
        <f>SUM($J$2:$J173)</f>
        <v>9988337</v>
      </c>
      <c r="N173" s="2">
        <f>SUM($D$2:$D173)</f>
        <v>504.0199999999997</v>
      </c>
      <c r="O173" s="2">
        <f t="shared" si="13"/>
        <v>3.0036268546957817E-2</v>
      </c>
      <c r="P173" s="2" cm="1">
        <f t="array" ref="P173">SUMPRODUCT((O173&gt;$T$9:$T$14)*(O173&lt;=$U$9:$U$14),$S$9:$S$14)</f>
        <v>1</v>
      </c>
    </row>
    <row r="174" spans="1:16" x14ac:dyDescent="0.25">
      <c r="A174">
        <v>1444</v>
      </c>
      <c r="B174">
        <v>276</v>
      </c>
      <c r="C174">
        <v>1399</v>
      </c>
      <c r="D174">
        <v>4.1900000000000004</v>
      </c>
      <c r="E174">
        <v>46824</v>
      </c>
      <c r="F174">
        <v>0</v>
      </c>
      <c r="G174">
        <v>46824000</v>
      </c>
      <c r="H174">
        <v>400</v>
      </c>
      <c r="I174">
        <v>11000</v>
      </c>
      <c r="J174" s="2">
        <f t="shared" si="12"/>
        <v>46090.000000000007</v>
      </c>
      <c r="K174">
        <v>173</v>
      </c>
      <c r="L174" s="3">
        <f>SUM($I$2:$I174)</f>
        <v>3665400</v>
      </c>
      <c r="M174" s="3">
        <f>SUM($J$2:$J174)</f>
        <v>10034427</v>
      </c>
      <c r="N174" s="2">
        <f>SUM($D$2:$D174)</f>
        <v>508.2099999999997</v>
      </c>
      <c r="O174" s="2">
        <f t="shared" si="13"/>
        <v>3.028596491855369E-2</v>
      </c>
      <c r="P174" s="2" cm="1">
        <f t="array" ref="P174">SUMPRODUCT((O174&gt;$T$9:$T$14)*(O174&lt;=$U$9:$U$14),$S$9:$S$14)</f>
        <v>1</v>
      </c>
    </row>
    <row r="175" spans="1:16" x14ac:dyDescent="0.25">
      <c r="A175">
        <v>1055</v>
      </c>
      <c r="B175">
        <v>681</v>
      </c>
      <c r="C175">
        <v>369</v>
      </c>
      <c r="D175">
        <v>1.99</v>
      </c>
      <c r="E175">
        <v>14590</v>
      </c>
      <c r="F175">
        <v>0</v>
      </c>
      <c r="G175">
        <v>14590000</v>
      </c>
      <c r="H175">
        <v>7</v>
      </c>
      <c r="I175">
        <v>11000</v>
      </c>
      <c r="J175" s="2">
        <f t="shared" si="12"/>
        <v>21890</v>
      </c>
      <c r="K175">
        <v>174</v>
      </c>
      <c r="L175" s="3">
        <f>SUM($I$2:$I175)</f>
        <v>3676400</v>
      </c>
      <c r="M175" s="3">
        <f>SUM($J$2:$J175)</f>
        <v>10056317</v>
      </c>
      <c r="N175" s="2">
        <f>SUM($D$2:$D175)</f>
        <v>510.1999999999997</v>
      </c>
      <c r="O175" s="2">
        <f t="shared" si="13"/>
        <v>3.0404555796710205E-2</v>
      </c>
      <c r="P175" s="2" cm="1">
        <f t="array" ref="P175">SUMPRODUCT((O175&gt;$T$9:$T$14)*(O175&lt;=$U$9:$U$14),$S$9:$S$14)</f>
        <v>1</v>
      </c>
    </row>
    <row r="176" spans="1:16" x14ac:dyDescent="0.25">
      <c r="A176">
        <v>1452</v>
      </c>
      <c r="B176">
        <v>284</v>
      </c>
      <c r="C176">
        <v>1407</v>
      </c>
      <c r="D176">
        <v>1.2</v>
      </c>
      <c r="E176">
        <v>46817</v>
      </c>
      <c r="F176">
        <v>0</v>
      </c>
      <c r="G176">
        <v>46817000</v>
      </c>
      <c r="H176">
        <v>400</v>
      </c>
      <c r="I176">
        <v>11000</v>
      </c>
      <c r="J176" s="2">
        <f t="shared" si="12"/>
        <v>13200</v>
      </c>
      <c r="K176">
        <v>175</v>
      </c>
      <c r="L176" s="3">
        <f>SUM($I$2:$I176)</f>
        <v>3687400</v>
      </c>
      <c r="M176" s="3">
        <f>SUM($J$2:$J176)</f>
        <v>10069517</v>
      </c>
      <c r="N176" s="2">
        <f>SUM($D$2:$D176)</f>
        <v>511.39999999999969</v>
      </c>
      <c r="O176" s="2">
        <f t="shared" si="13"/>
        <v>3.0476067884040767E-2</v>
      </c>
      <c r="P176" s="2" cm="1">
        <f t="array" ref="P176">SUMPRODUCT((O176&gt;$T$9:$T$14)*(O176&lt;=$U$9:$U$14),$S$9:$S$14)</f>
        <v>1</v>
      </c>
    </row>
    <row r="177" spans="1:16" x14ac:dyDescent="0.25">
      <c r="A177">
        <v>1649</v>
      </c>
      <c r="B177">
        <v>1649</v>
      </c>
      <c r="C177">
        <v>2144</v>
      </c>
      <c r="D177">
        <v>3.19</v>
      </c>
      <c r="E177">
        <v>48272</v>
      </c>
      <c r="F177">
        <v>0</v>
      </c>
      <c r="G177">
        <v>48272000</v>
      </c>
      <c r="H177">
        <v>403</v>
      </c>
      <c r="I177">
        <v>10900</v>
      </c>
      <c r="J177" s="2">
        <f t="shared" si="12"/>
        <v>34771</v>
      </c>
      <c r="K177">
        <v>176</v>
      </c>
      <c r="L177" s="3">
        <f>SUM($I$2:$I177)</f>
        <v>3698300</v>
      </c>
      <c r="M177" s="3">
        <f>SUM($J$2:$J177)</f>
        <v>10104288</v>
      </c>
      <c r="N177" s="2">
        <f>SUM($D$2:$D177)</f>
        <v>514.58999999999969</v>
      </c>
      <c r="O177" s="2">
        <f t="shared" si="13"/>
        <v>3.066617084952784E-2</v>
      </c>
      <c r="P177" s="2" cm="1">
        <f t="array" ref="P177">SUMPRODUCT((O177&gt;$T$9:$T$14)*(O177&lt;=$U$9:$U$14),$S$9:$S$14)</f>
        <v>1</v>
      </c>
    </row>
    <row r="178" spans="1:16" x14ac:dyDescent="0.25">
      <c r="A178">
        <v>1574</v>
      </c>
      <c r="B178">
        <v>1574</v>
      </c>
      <c r="C178">
        <v>2063</v>
      </c>
      <c r="D178">
        <v>2.63</v>
      </c>
      <c r="E178">
        <v>50320</v>
      </c>
      <c r="F178">
        <v>0</v>
      </c>
      <c r="G178">
        <v>50320000</v>
      </c>
      <c r="H178">
        <v>427</v>
      </c>
      <c r="I178">
        <v>10900</v>
      </c>
      <c r="J178" s="2">
        <f t="shared" si="12"/>
        <v>28667</v>
      </c>
      <c r="K178">
        <v>177</v>
      </c>
      <c r="L178" s="3">
        <f>SUM($I$2:$I178)</f>
        <v>3709200</v>
      </c>
      <c r="M178" s="3">
        <f>SUM($J$2:$J178)</f>
        <v>10132955</v>
      </c>
      <c r="N178" s="2">
        <f>SUM($D$2:$D178)</f>
        <v>517.21999999999969</v>
      </c>
      <c r="O178" s="2">
        <f t="shared" si="13"/>
        <v>3.0822901507593987E-2</v>
      </c>
      <c r="P178" s="2" cm="1">
        <f t="array" ref="P178">SUMPRODUCT((O178&gt;$T$9:$T$14)*(O178&lt;=$U$9:$U$14),$S$9:$S$14)</f>
        <v>1</v>
      </c>
    </row>
    <row r="179" spans="1:16" x14ac:dyDescent="0.25">
      <c r="A179">
        <v>1608</v>
      </c>
      <c r="B179">
        <v>1608</v>
      </c>
      <c r="C179">
        <v>2098</v>
      </c>
      <c r="D179">
        <v>1.5</v>
      </c>
      <c r="E179">
        <v>49490</v>
      </c>
      <c r="F179">
        <v>0</v>
      </c>
      <c r="G179">
        <v>49490000</v>
      </c>
      <c r="H179">
        <v>417</v>
      </c>
      <c r="I179">
        <v>10900</v>
      </c>
      <c r="J179" s="2">
        <f t="shared" si="12"/>
        <v>16350</v>
      </c>
      <c r="K179">
        <v>178</v>
      </c>
      <c r="L179" s="3">
        <f>SUM($I$2:$I179)</f>
        <v>3720100</v>
      </c>
      <c r="M179" s="3">
        <f>SUM($J$2:$J179)</f>
        <v>10149305</v>
      </c>
      <c r="N179" s="2">
        <f>SUM($D$2:$D179)</f>
        <v>518.71999999999969</v>
      </c>
      <c r="O179" s="2">
        <f t="shared" si="13"/>
        <v>3.0912291616757188E-2</v>
      </c>
      <c r="P179" s="2" cm="1">
        <f t="array" ref="P179">SUMPRODUCT((O179&gt;$T$9:$T$14)*(O179&lt;=$U$9:$U$14),$S$9:$S$14)</f>
        <v>1</v>
      </c>
    </row>
    <row r="180" spans="1:16" x14ac:dyDescent="0.25">
      <c r="A180">
        <v>1555</v>
      </c>
      <c r="B180">
        <v>387</v>
      </c>
      <c r="C180">
        <v>1532</v>
      </c>
      <c r="D180">
        <v>3.25</v>
      </c>
      <c r="E180">
        <v>47566</v>
      </c>
      <c r="F180">
        <v>0</v>
      </c>
      <c r="G180">
        <v>47566000</v>
      </c>
      <c r="H180">
        <v>401</v>
      </c>
      <c r="I180">
        <v>10700</v>
      </c>
      <c r="J180" s="2">
        <f t="shared" si="12"/>
        <v>34775</v>
      </c>
      <c r="K180">
        <v>179</v>
      </c>
      <c r="L180" s="3">
        <f>SUM($I$2:$I180)</f>
        <v>3730800</v>
      </c>
      <c r="M180" s="3">
        <f>SUM($J$2:$J180)</f>
        <v>10184080</v>
      </c>
      <c r="N180" s="2">
        <f>SUM($D$2:$D180)</f>
        <v>521.96999999999969</v>
      </c>
      <c r="O180" s="2">
        <f t="shared" si="13"/>
        <v>3.1105970186610793E-2</v>
      </c>
      <c r="P180" s="2" cm="1">
        <f t="array" ref="P180">SUMPRODUCT((O180&gt;$T$9:$T$14)*(O180&lt;=$U$9:$U$14),$S$9:$S$14)</f>
        <v>1</v>
      </c>
    </row>
    <row r="181" spans="1:16" x14ac:dyDescent="0.25">
      <c r="A181">
        <v>89</v>
      </c>
      <c r="B181">
        <v>885</v>
      </c>
      <c r="C181">
        <v>1642</v>
      </c>
      <c r="D181">
        <v>12.4</v>
      </c>
      <c r="E181">
        <v>47500</v>
      </c>
      <c r="F181">
        <v>0</v>
      </c>
      <c r="G181">
        <v>47500000</v>
      </c>
      <c r="H181">
        <v>401</v>
      </c>
      <c r="I181">
        <v>10600</v>
      </c>
      <c r="J181" s="2">
        <f t="shared" si="12"/>
        <v>131440</v>
      </c>
      <c r="K181">
        <v>180</v>
      </c>
      <c r="L181" s="3">
        <f>SUM($I$2:$I181)</f>
        <v>3741400</v>
      </c>
      <c r="M181" s="3">
        <f>SUM($J$2:$J181)</f>
        <v>10315520</v>
      </c>
      <c r="N181" s="2">
        <f>SUM($D$2:$D181)</f>
        <v>534.36999999999966</v>
      </c>
      <c r="O181" s="2">
        <f t="shared" si="13"/>
        <v>3.1844928422359919E-2</v>
      </c>
      <c r="P181" s="2" cm="1">
        <f t="array" ref="P181">SUMPRODUCT((O181&gt;$T$9:$T$14)*(O181&lt;=$U$9:$U$14),$S$9:$S$14)</f>
        <v>1</v>
      </c>
    </row>
    <row r="182" spans="1:16" x14ac:dyDescent="0.25">
      <c r="A182">
        <v>372</v>
      </c>
      <c r="B182">
        <v>1167</v>
      </c>
      <c r="C182">
        <v>2051</v>
      </c>
      <c r="D182">
        <v>4.1900000000000004</v>
      </c>
      <c r="E182">
        <v>47480</v>
      </c>
      <c r="F182">
        <v>0</v>
      </c>
      <c r="G182">
        <v>47480000</v>
      </c>
      <c r="H182">
        <v>401</v>
      </c>
      <c r="I182">
        <v>10600</v>
      </c>
      <c r="J182" s="2">
        <f t="shared" si="12"/>
        <v>44414.000000000007</v>
      </c>
      <c r="K182">
        <v>181</v>
      </c>
      <c r="L182" s="3">
        <f>SUM($I$2:$I182)</f>
        <v>3752000</v>
      </c>
      <c r="M182" s="3">
        <f>SUM($J$2:$J182)</f>
        <v>10359934</v>
      </c>
      <c r="N182" s="2">
        <f>SUM($D$2:$D182)</f>
        <v>538.55999999999972</v>
      </c>
      <c r="O182" s="2">
        <f t="shared" si="13"/>
        <v>3.2094624793955799E-2</v>
      </c>
      <c r="P182" s="2" cm="1">
        <f t="array" ref="P182">SUMPRODUCT((O182&gt;$T$9:$T$14)*(O182&lt;=$U$9:$U$14),$S$9:$S$14)</f>
        <v>1</v>
      </c>
    </row>
    <row r="183" spans="1:16" x14ac:dyDescent="0.25">
      <c r="A183">
        <v>112</v>
      </c>
      <c r="B183">
        <v>908</v>
      </c>
      <c r="C183">
        <v>1666</v>
      </c>
      <c r="D183">
        <v>1.2</v>
      </c>
      <c r="E183">
        <v>49360</v>
      </c>
      <c r="F183">
        <v>0</v>
      </c>
      <c r="G183">
        <v>49360000</v>
      </c>
      <c r="H183">
        <v>417</v>
      </c>
      <c r="I183">
        <v>10600</v>
      </c>
      <c r="J183" s="2">
        <f t="shared" si="12"/>
        <v>12720</v>
      </c>
      <c r="K183">
        <v>182</v>
      </c>
      <c r="L183" s="3">
        <f>SUM($I$2:$I183)</f>
        <v>3762600</v>
      </c>
      <c r="M183" s="3">
        <f>SUM($J$2:$J183)</f>
        <v>10372654</v>
      </c>
      <c r="N183" s="2">
        <f>SUM($D$2:$D183)</f>
        <v>539.75999999999976</v>
      </c>
      <c r="O183" s="2">
        <f t="shared" si="13"/>
        <v>3.2166136881286361E-2</v>
      </c>
      <c r="P183" s="2" cm="1">
        <f t="array" ref="P183">SUMPRODUCT((O183&gt;$T$9:$T$14)*(O183&lt;=$U$9:$U$14),$S$9:$S$14)</f>
        <v>1</v>
      </c>
    </row>
    <row r="184" spans="1:16" x14ac:dyDescent="0.25">
      <c r="A184">
        <v>1450</v>
      </c>
      <c r="B184">
        <v>282</v>
      </c>
      <c r="C184">
        <v>1405</v>
      </c>
      <c r="D184">
        <v>0.89</v>
      </c>
      <c r="E184">
        <v>46818</v>
      </c>
      <c r="F184">
        <v>0</v>
      </c>
      <c r="G184">
        <v>46818000</v>
      </c>
      <c r="H184">
        <v>400</v>
      </c>
      <c r="I184">
        <v>10600</v>
      </c>
      <c r="J184" s="2">
        <f t="shared" si="12"/>
        <v>9434</v>
      </c>
      <c r="K184">
        <v>183</v>
      </c>
      <c r="L184" s="3">
        <f>SUM($I$2:$I184)</f>
        <v>3773200</v>
      </c>
      <c r="M184" s="3">
        <f>SUM($J$2:$J184)</f>
        <v>10382088</v>
      </c>
      <c r="N184" s="2">
        <f>SUM($D$2:$D184)</f>
        <v>540.64999999999975</v>
      </c>
      <c r="O184" s="2">
        <f t="shared" si="13"/>
        <v>3.2219175012723193E-2</v>
      </c>
      <c r="P184" s="2" cm="1">
        <f t="array" ref="P184">SUMPRODUCT((O184&gt;$T$9:$T$14)*(O184&lt;=$U$9:$U$14),$S$9:$S$14)</f>
        <v>1</v>
      </c>
    </row>
    <row r="185" spans="1:16" x14ac:dyDescent="0.25">
      <c r="A185">
        <v>29</v>
      </c>
      <c r="B185">
        <v>825</v>
      </c>
      <c r="C185">
        <v>1579</v>
      </c>
      <c r="D185">
        <v>0.76</v>
      </c>
      <c r="E185">
        <v>49419</v>
      </c>
      <c r="F185">
        <v>0</v>
      </c>
      <c r="G185">
        <v>49419000</v>
      </c>
      <c r="H185">
        <v>417</v>
      </c>
      <c r="I185">
        <v>10600</v>
      </c>
      <c r="J185" s="2">
        <f t="shared" si="12"/>
        <v>8056</v>
      </c>
      <c r="K185">
        <v>184</v>
      </c>
      <c r="L185" s="3">
        <f>SUM($I$2:$I185)</f>
        <v>3783800</v>
      </c>
      <c r="M185" s="3">
        <f>SUM($J$2:$J185)</f>
        <v>10390144</v>
      </c>
      <c r="N185" s="2">
        <f>SUM($D$2:$D185)</f>
        <v>541.40999999999974</v>
      </c>
      <c r="O185" s="2">
        <f t="shared" si="13"/>
        <v>3.2264466001365885E-2</v>
      </c>
      <c r="P185" s="2" cm="1">
        <f t="array" ref="P185">SUMPRODUCT((O185&gt;$T$9:$T$14)*(O185&lt;=$U$9:$U$14),$S$9:$S$14)</f>
        <v>1</v>
      </c>
    </row>
    <row r="186" spans="1:16" x14ac:dyDescent="0.25">
      <c r="A186">
        <v>1550</v>
      </c>
      <c r="B186">
        <v>382</v>
      </c>
      <c r="C186">
        <v>1527</v>
      </c>
      <c r="D186">
        <v>0.57999999999999996</v>
      </c>
      <c r="E186">
        <v>49440</v>
      </c>
      <c r="F186">
        <v>0</v>
      </c>
      <c r="G186">
        <v>49440000</v>
      </c>
      <c r="H186">
        <v>417</v>
      </c>
      <c r="I186">
        <v>10600</v>
      </c>
      <c r="J186" s="2">
        <f t="shared" si="12"/>
        <v>6148</v>
      </c>
      <c r="K186">
        <v>185</v>
      </c>
      <c r="L186" s="3">
        <f>SUM($I$2:$I186)</f>
        <v>3794400</v>
      </c>
      <c r="M186" s="3">
        <f>SUM($J$2:$J186)</f>
        <v>10396292</v>
      </c>
      <c r="N186" s="2">
        <f>SUM($D$2:$D186)</f>
        <v>541.98999999999978</v>
      </c>
      <c r="O186" s="2">
        <f t="shared" si="13"/>
        <v>3.2299030176908994E-2</v>
      </c>
      <c r="P186" s="2" cm="1">
        <f t="array" ref="P186">SUMPRODUCT((O186&gt;$T$9:$T$14)*(O186&lt;=$U$9:$U$14),$S$9:$S$14)</f>
        <v>1</v>
      </c>
    </row>
    <row r="187" spans="1:16" x14ac:dyDescent="0.25">
      <c r="A187">
        <v>1585</v>
      </c>
      <c r="B187">
        <v>1585</v>
      </c>
      <c r="C187">
        <v>2074</v>
      </c>
      <c r="D187">
        <v>10.5</v>
      </c>
      <c r="E187">
        <v>47450</v>
      </c>
      <c r="F187">
        <v>0</v>
      </c>
      <c r="G187">
        <v>47450000</v>
      </c>
      <c r="H187">
        <v>401</v>
      </c>
      <c r="I187">
        <v>10500</v>
      </c>
      <c r="J187" s="2">
        <f t="shared" si="12"/>
        <v>110250</v>
      </c>
      <c r="K187">
        <v>186</v>
      </c>
      <c r="L187" s="3">
        <f>SUM($I$2:$I187)</f>
        <v>3804900</v>
      </c>
      <c r="M187" s="3">
        <f>SUM($J$2:$J187)</f>
        <v>10506542</v>
      </c>
      <c r="N187" s="2">
        <f>SUM($D$2:$D187)</f>
        <v>552.48999999999978</v>
      </c>
      <c r="O187" s="2">
        <f t="shared" si="13"/>
        <v>3.2924760941051401E-2</v>
      </c>
      <c r="P187" s="2" cm="1">
        <f t="array" ref="P187">SUMPRODUCT((O187&gt;$T$9:$T$14)*(O187&lt;=$U$9:$U$14),$S$9:$S$14)</f>
        <v>1</v>
      </c>
    </row>
    <row r="188" spans="1:16" x14ac:dyDescent="0.25">
      <c r="A188">
        <v>1558</v>
      </c>
      <c r="B188">
        <v>390</v>
      </c>
      <c r="C188">
        <v>1537</v>
      </c>
      <c r="D188">
        <v>6.32</v>
      </c>
      <c r="E188">
        <v>47598</v>
      </c>
      <c r="F188">
        <v>0</v>
      </c>
      <c r="G188">
        <v>47598000</v>
      </c>
      <c r="H188">
        <v>401</v>
      </c>
      <c r="I188">
        <v>10500</v>
      </c>
      <c r="J188" s="2">
        <f t="shared" si="12"/>
        <v>66360</v>
      </c>
      <c r="K188">
        <v>187</v>
      </c>
      <c r="L188" s="3">
        <f>SUM($I$2:$I188)</f>
        <v>3815400</v>
      </c>
      <c r="M188" s="3">
        <f>SUM($J$2:$J188)</f>
        <v>10572902</v>
      </c>
      <c r="N188" s="2">
        <f>SUM($D$2:$D188)</f>
        <v>558.80999999999983</v>
      </c>
      <c r="O188" s="2">
        <f t="shared" si="13"/>
        <v>3.3301391267659027E-2</v>
      </c>
      <c r="P188" s="2" cm="1">
        <f t="array" ref="P188">SUMPRODUCT((O188&gt;$T$9:$T$14)*(O188&lt;=$U$9:$U$14),$S$9:$S$14)</f>
        <v>1</v>
      </c>
    </row>
    <row r="189" spans="1:16" x14ac:dyDescent="0.25">
      <c r="A189">
        <v>685</v>
      </c>
      <c r="B189">
        <v>1472</v>
      </c>
      <c r="C189">
        <v>922</v>
      </c>
      <c r="D189">
        <v>3.77</v>
      </c>
      <c r="E189">
        <v>10074</v>
      </c>
      <c r="F189">
        <v>0</v>
      </c>
      <c r="G189">
        <v>10074000</v>
      </c>
      <c r="H189" t="s">
        <v>20</v>
      </c>
      <c r="I189">
        <v>10500</v>
      </c>
      <c r="J189" s="2">
        <f t="shared" si="12"/>
        <v>39585</v>
      </c>
      <c r="K189">
        <v>188</v>
      </c>
      <c r="L189" s="3">
        <f>SUM($I$2:$I189)</f>
        <v>3825900</v>
      </c>
      <c r="M189" s="3">
        <f>SUM($J$2:$J189)</f>
        <v>10612487</v>
      </c>
      <c r="N189" s="2">
        <f>SUM($D$2:$D189)</f>
        <v>562.57999999999981</v>
      </c>
      <c r="O189" s="2">
        <f t="shared" si="13"/>
        <v>3.3526058408689205E-2</v>
      </c>
      <c r="P189" s="2" cm="1">
        <f t="array" ref="P189">SUMPRODUCT((O189&gt;$T$9:$T$14)*(O189&lt;=$U$9:$U$14),$S$9:$S$14)</f>
        <v>1</v>
      </c>
    </row>
    <row r="190" spans="1:16" x14ac:dyDescent="0.25">
      <c r="A190">
        <v>17</v>
      </c>
      <c r="B190">
        <v>813</v>
      </c>
      <c r="C190">
        <v>1564</v>
      </c>
      <c r="D190">
        <v>3.4</v>
      </c>
      <c r="E190">
        <v>47540</v>
      </c>
      <c r="F190">
        <v>0</v>
      </c>
      <c r="G190">
        <v>47540000</v>
      </c>
      <c r="H190">
        <v>401</v>
      </c>
      <c r="I190">
        <v>10500</v>
      </c>
      <c r="J190" s="2">
        <f t="shared" si="12"/>
        <v>35700</v>
      </c>
      <c r="K190">
        <v>189</v>
      </c>
      <c r="L190" s="3">
        <f>SUM($I$2:$I190)</f>
        <v>3836400</v>
      </c>
      <c r="M190" s="3">
        <f>SUM($J$2:$J190)</f>
        <v>10648187</v>
      </c>
      <c r="N190" s="2">
        <f>SUM($D$2:$D190)</f>
        <v>565.97999999999979</v>
      </c>
      <c r="O190" s="2">
        <f t="shared" si="13"/>
        <v>3.3728675989459125E-2</v>
      </c>
      <c r="P190" s="2" cm="1">
        <f t="array" ref="P190">SUMPRODUCT((O190&gt;$T$9:$T$14)*(O190&lt;=$U$9:$U$14),$S$9:$S$14)</f>
        <v>1</v>
      </c>
    </row>
    <row r="191" spans="1:16" x14ac:dyDescent="0.25">
      <c r="A191">
        <v>1578</v>
      </c>
      <c r="B191">
        <v>1578</v>
      </c>
      <c r="C191">
        <v>2067</v>
      </c>
      <c r="D191">
        <v>1</v>
      </c>
      <c r="E191">
        <v>49460</v>
      </c>
      <c r="F191">
        <v>0</v>
      </c>
      <c r="G191">
        <v>49460000</v>
      </c>
      <c r="H191">
        <v>417</v>
      </c>
      <c r="I191">
        <v>10500</v>
      </c>
      <c r="J191" s="2">
        <f t="shared" si="12"/>
        <v>10500</v>
      </c>
      <c r="K191">
        <v>190</v>
      </c>
      <c r="L191" s="3">
        <f>SUM($I$2:$I191)</f>
        <v>3846900</v>
      </c>
      <c r="M191" s="3">
        <f>SUM($J$2:$J191)</f>
        <v>10658687</v>
      </c>
      <c r="N191" s="2">
        <f>SUM($D$2:$D191)</f>
        <v>566.97999999999979</v>
      </c>
      <c r="O191" s="2">
        <f t="shared" si="13"/>
        <v>3.3788269395567928E-2</v>
      </c>
      <c r="P191" s="2" cm="1">
        <f t="array" ref="P191">SUMPRODUCT((O191&gt;$T$9:$T$14)*(O191&lt;=$U$9:$U$14),$S$9:$S$14)</f>
        <v>1</v>
      </c>
    </row>
    <row r="192" spans="1:16" x14ac:dyDescent="0.25">
      <c r="A192">
        <v>1611</v>
      </c>
      <c r="B192">
        <v>1611</v>
      </c>
      <c r="C192">
        <v>2101</v>
      </c>
      <c r="D192">
        <v>0.61</v>
      </c>
      <c r="E192">
        <v>49069</v>
      </c>
      <c r="F192">
        <v>0</v>
      </c>
      <c r="G192">
        <v>49069000</v>
      </c>
      <c r="H192">
        <v>410</v>
      </c>
      <c r="I192">
        <v>10500</v>
      </c>
      <c r="J192" s="2">
        <f t="shared" si="12"/>
        <v>6405</v>
      </c>
      <c r="K192">
        <v>191</v>
      </c>
      <c r="L192" s="3">
        <f>SUM($I$2:$I192)</f>
        <v>3857400</v>
      </c>
      <c r="M192" s="3">
        <f>SUM($J$2:$J192)</f>
        <v>10665092</v>
      </c>
      <c r="N192" s="2">
        <f>SUM($D$2:$D192)</f>
        <v>567.5899999999998</v>
      </c>
      <c r="O192" s="2">
        <f t="shared" si="13"/>
        <v>3.3824621373294297E-2</v>
      </c>
      <c r="P192" s="2" cm="1">
        <f t="array" ref="P192">SUMPRODUCT((O192&gt;$T$9:$T$14)*(O192&lt;=$U$9:$U$14),$S$9:$S$14)</f>
        <v>1</v>
      </c>
    </row>
    <row r="193" spans="1:16" x14ac:dyDescent="0.25">
      <c r="A193">
        <v>1441</v>
      </c>
      <c r="B193">
        <v>273</v>
      </c>
      <c r="C193">
        <v>1396</v>
      </c>
      <c r="D193">
        <v>3.18</v>
      </c>
      <c r="E193">
        <v>46836</v>
      </c>
      <c r="F193">
        <v>0</v>
      </c>
      <c r="G193">
        <v>46836000</v>
      </c>
      <c r="H193">
        <v>400</v>
      </c>
      <c r="I193">
        <v>10400</v>
      </c>
      <c r="J193" s="2">
        <f t="shared" si="12"/>
        <v>33072</v>
      </c>
      <c r="K193">
        <v>192</v>
      </c>
      <c r="L193" s="3">
        <f>SUM($I$2:$I193)</f>
        <v>3867800</v>
      </c>
      <c r="M193" s="3">
        <f>SUM($J$2:$J193)</f>
        <v>10698164</v>
      </c>
      <c r="N193" s="2">
        <f>SUM($D$2:$D193)</f>
        <v>570.76999999999975</v>
      </c>
      <c r="O193" s="2">
        <f t="shared" si="13"/>
        <v>3.4014128404720283E-2</v>
      </c>
      <c r="P193" s="2" cm="1">
        <f t="array" ref="P193">SUMPRODUCT((O193&gt;$T$9:$T$14)*(O193&lt;=$U$9:$U$14),$S$9:$S$14)</f>
        <v>1</v>
      </c>
    </row>
    <row r="194" spans="1:16" x14ac:dyDescent="0.25">
      <c r="A194">
        <v>1601</v>
      </c>
      <c r="B194">
        <v>1601</v>
      </c>
      <c r="C194">
        <v>2090</v>
      </c>
      <c r="D194">
        <v>1.53</v>
      </c>
      <c r="E194">
        <v>49357</v>
      </c>
      <c r="F194">
        <v>0</v>
      </c>
      <c r="G194">
        <v>49357000</v>
      </c>
      <c r="H194">
        <v>417</v>
      </c>
      <c r="I194">
        <v>10400</v>
      </c>
      <c r="J194" s="2">
        <f t="shared" ref="J194:J257" si="14">I194*D194</f>
        <v>15912</v>
      </c>
      <c r="K194">
        <v>193</v>
      </c>
      <c r="L194" s="3">
        <f>SUM($I$2:$I194)</f>
        <v>3878200</v>
      </c>
      <c r="M194" s="3">
        <f>SUM($J$2:$J194)</f>
        <v>10714076</v>
      </c>
      <c r="N194" s="2">
        <f>SUM($D$2:$D194)</f>
        <v>572.29999999999973</v>
      </c>
      <c r="O194" s="2">
        <f t="shared" ref="O194:O257" si="15">N194/$T$4</f>
        <v>3.4105306316066744E-2</v>
      </c>
      <c r="P194" s="2" cm="1">
        <f t="array" ref="P194">SUMPRODUCT((O194&gt;$T$9:$T$14)*(O194&lt;=$U$9:$U$14),$S$9:$S$14)</f>
        <v>1</v>
      </c>
    </row>
    <row r="195" spans="1:16" x14ac:dyDescent="0.25">
      <c r="A195">
        <v>79</v>
      </c>
      <c r="B195">
        <v>875</v>
      </c>
      <c r="C195">
        <v>1631</v>
      </c>
      <c r="D195">
        <v>0.82</v>
      </c>
      <c r="E195">
        <v>49470</v>
      </c>
      <c r="F195">
        <v>0</v>
      </c>
      <c r="G195">
        <v>49470000</v>
      </c>
      <c r="H195">
        <v>417</v>
      </c>
      <c r="I195">
        <v>10400</v>
      </c>
      <c r="J195" s="2">
        <f t="shared" si="14"/>
        <v>8528</v>
      </c>
      <c r="K195">
        <v>194</v>
      </c>
      <c r="L195" s="3">
        <f>SUM($I$2:$I195)</f>
        <v>3888600</v>
      </c>
      <c r="M195" s="3">
        <f>SUM($J$2:$J195)</f>
        <v>10722604</v>
      </c>
      <c r="N195" s="2">
        <f>SUM($D$2:$D195)</f>
        <v>573.11999999999978</v>
      </c>
      <c r="O195" s="2">
        <f t="shared" si="15"/>
        <v>3.4154172909075964E-2</v>
      </c>
      <c r="P195" s="2" cm="1">
        <f t="array" ref="P195">SUMPRODUCT((O195&gt;$T$9:$T$14)*(O195&lt;=$U$9:$U$14),$S$9:$S$14)</f>
        <v>1</v>
      </c>
    </row>
    <row r="196" spans="1:16" x14ac:dyDescent="0.25">
      <c r="A196">
        <v>44</v>
      </c>
      <c r="B196">
        <v>840</v>
      </c>
      <c r="C196">
        <v>1594</v>
      </c>
      <c r="D196">
        <v>0.61</v>
      </c>
      <c r="E196">
        <v>48990</v>
      </c>
      <c r="F196">
        <v>0</v>
      </c>
      <c r="G196">
        <v>48990000</v>
      </c>
      <c r="H196">
        <v>409</v>
      </c>
      <c r="I196">
        <v>10400</v>
      </c>
      <c r="J196" s="2">
        <f t="shared" si="14"/>
        <v>6344</v>
      </c>
      <c r="K196">
        <v>195</v>
      </c>
      <c r="L196" s="3">
        <f>SUM($I$2:$I196)</f>
        <v>3899000</v>
      </c>
      <c r="M196" s="3">
        <f>SUM($J$2:$J196)</f>
        <v>10728948</v>
      </c>
      <c r="N196" s="2">
        <f>SUM($D$2:$D196)</f>
        <v>573.72999999999979</v>
      </c>
      <c r="O196" s="2">
        <f t="shared" si="15"/>
        <v>3.4190524886802333E-2</v>
      </c>
      <c r="P196" s="2" cm="1">
        <f t="array" ref="P196">SUMPRODUCT((O196&gt;$T$9:$T$14)*(O196&lt;=$U$9:$U$14),$S$9:$S$14)</f>
        <v>1</v>
      </c>
    </row>
    <row r="197" spans="1:16" x14ac:dyDescent="0.25">
      <c r="A197">
        <v>371</v>
      </c>
      <c r="B197">
        <v>1166</v>
      </c>
      <c r="C197">
        <v>2050</v>
      </c>
      <c r="D197">
        <v>12.19</v>
      </c>
      <c r="E197">
        <v>47484</v>
      </c>
      <c r="F197">
        <v>0</v>
      </c>
      <c r="G197">
        <v>47484000</v>
      </c>
      <c r="H197">
        <v>401</v>
      </c>
      <c r="I197">
        <v>10300</v>
      </c>
      <c r="J197" s="2">
        <f t="shared" si="14"/>
        <v>125557</v>
      </c>
      <c r="K197">
        <v>196</v>
      </c>
      <c r="L197" s="3">
        <f>SUM($I$2:$I197)</f>
        <v>3909300</v>
      </c>
      <c r="M197" s="3">
        <f>SUM($J$2:$J197)</f>
        <v>10854505</v>
      </c>
      <c r="N197" s="2">
        <f>SUM($D$2:$D197)</f>
        <v>585.91999999999985</v>
      </c>
      <c r="O197" s="2">
        <f t="shared" si="15"/>
        <v>3.4916968507268623E-2</v>
      </c>
      <c r="P197" s="2" cm="1">
        <f t="array" ref="P197">SUMPRODUCT((O197&gt;$T$9:$T$14)*(O197&lt;=$U$9:$U$14),$S$9:$S$14)</f>
        <v>1</v>
      </c>
    </row>
    <row r="198" spans="1:16" x14ac:dyDescent="0.25">
      <c r="A198">
        <v>1581</v>
      </c>
      <c r="B198">
        <v>1581</v>
      </c>
      <c r="C198">
        <v>2070</v>
      </c>
      <c r="D198">
        <v>6.51</v>
      </c>
      <c r="E198">
        <v>47826</v>
      </c>
      <c r="F198">
        <v>0</v>
      </c>
      <c r="G198">
        <v>47826000</v>
      </c>
      <c r="H198">
        <v>401</v>
      </c>
      <c r="I198">
        <v>10300</v>
      </c>
      <c r="J198" s="2">
        <f t="shared" si="14"/>
        <v>67053</v>
      </c>
      <c r="K198">
        <v>197</v>
      </c>
      <c r="L198" s="3">
        <f>SUM($I$2:$I198)</f>
        <v>3919600</v>
      </c>
      <c r="M198" s="3">
        <f>SUM($J$2:$J198)</f>
        <v>10921558</v>
      </c>
      <c r="N198" s="2">
        <f>SUM($D$2:$D198)</f>
        <v>592.42999999999984</v>
      </c>
      <c r="O198" s="2">
        <f t="shared" si="15"/>
        <v>3.5304921581036909E-2</v>
      </c>
      <c r="P198" s="2" cm="1">
        <f t="array" ref="P198">SUMPRODUCT((O198&gt;$T$9:$T$14)*(O198&lt;=$U$9:$U$14),$S$9:$S$14)</f>
        <v>1</v>
      </c>
    </row>
    <row r="199" spans="1:16" x14ac:dyDescent="0.25">
      <c r="A199">
        <v>560</v>
      </c>
      <c r="B199">
        <v>1347</v>
      </c>
      <c r="C199">
        <v>766</v>
      </c>
      <c r="D199">
        <v>2.4700000000000002</v>
      </c>
      <c r="E199">
        <v>10080</v>
      </c>
      <c r="F199">
        <v>0</v>
      </c>
      <c r="G199">
        <v>10080000</v>
      </c>
      <c r="H199" t="s">
        <v>20</v>
      </c>
      <c r="I199">
        <v>10300</v>
      </c>
      <c r="J199" s="2">
        <f t="shared" si="14"/>
        <v>25441.000000000004</v>
      </c>
      <c r="K199">
        <v>198</v>
      </c>
      <c r="L199" s="3">
        <f>SUM($I$2:$I199)</f>
        <v>3929900</v>
      </c>
      <c r="M199" s="3">
        <f>SUM($J$2:$J199)</f>
        <v>10946999</v>
      </c>
      <c r="N199" s="2">
        <f>SUM($D$2:$D199)</f>
        <v>594.89999999999986</v>
      </c>
      <c r="O199" s="2">
        <f t="shared" si="15"/>
        <v>3.5452117294125653E-2</v>
      </c>
      <c r="P199" s="2" cm="1">
        <f t="array" ref="P199">SUMPRODUCT((O199&gt;$T$9:$T$14)*(O199&lt;=$U$9:$U$14),$S$9:$S$14)</f>
        <v>1</v>
      </c>
    </row>
    <row r="200" spans="1:16" x14ac:dyDescent="0.25">
      <c r="A200">
        <v>1621</v>
      </c>
      <c r="B200">
        <v>1621</v>
      </c>
      <c r="C200">
        <v>2113</v>
      </c>
      <c r="D200">
        <v>2.2000000000000002</v>
      </c>
      <c r="E200">
        <v>47416</v>
      </c>
      <c r="F200">
        <v>0</v>
      </c>
      <c r="G200">
        <v>47416000</v>
      </c>
      <c r="H200">
        <v>401</v>
      </c>
      <c r="I200">
        <v>10300</v>
      </c>
      <c r="J200" s="2">
        <f t="shared" si="14"/>
        <v>22660.000000000004</v>
      </c>
      <c r="K200">
        <v>199</v>
      </c>
      <c r="L200" s="3">
        <f>SUM($I$2:$I200)</f>
        <v>3940200</v>
      </c>
      <c r="M200" s="3">
        <f>SUM($J$2:$J200)</f>
        <v>10969659</v>
      </c>
      <c r="N200" s="2">
        <f>SUM($D$2:$D200)</f>
        <v>597.09999999999991</v>
      </c>
      <c r="O200" s="2">
        <f t="shared" si="15"/>
        <v>3.5583222787565018E-2</v>
      </c>
      <c r="P200" s="2" cm="1">
        <f t="array" ref="P200">SUMPRODUCT((O200&gt;$T$9:$T$14)*(O200&lt;=$U$9:$U$14),$S$9:$S$14)</f>
        <v>1</v>
      </c>
    </row>
    <row r="201" spans="1:16" x14ac:dyDescent="0.25">
      <c r="A201">
        <v>1560</v>
      </c>
      <c r="B201">
        <v>392</v>
      </c>
      <c r="C201">
        <v>1540</v>
      </c>
      <c r="D201">
        <v>1.42</v>
      </c>
      <c r="E201">
        <v>49379</v>
      </c>
      <c r="F201">
        <v>0</v>
      </c>
      <c r="G201">
        <v>49379000</v>
      </c>
      <c r="H201">
        <v>417</v>
      </c>
      <c r="I201">
        <v>10300</v>
      </c>
      <c r="J201" s="2">
        <f t="shared" si="14"/>
        <v>14626</v>
      </c>
      <c r="K201">
        <v>200</v>
      </c>
      <c r="L201" s="3">
        <f>SUM($I$2:$I201)</f>
        <v>3950500</v>
      </c>
      <c r="M201" s="3">
        <f>SUM($J$2:$J201)</f>
        <v>10984285</v>
      </c>
      <c r="N201" s="2">
        <f>SUM($D$2:$D201)</f>
        <v>598.51999999999987</v>
      </c>
      <c r="O201" s="2">
        <f t="shared" si="15"/>
        <v>3.5667845424239515E-2</v>
      </c>
      <c r="P201" s="2" cm="1">
        <f t="array" ref="P201">SUMPRODUCT((O201&gt;$T$9:$T$14)*(O201&lt;=$U$9:$U$14),$S$9:$S$14)</f>
        <v>1</v>
      </c>
    </row>
    <row r="202" spans="1:16" x14ac:dyDescent="0.25">
      <c r="A202">
        <v>1634</v>
      </c>
      <c r="B202">
        <v>1634</v>
      </c>
      <c r="C202">
        <v>2129</v>
      </c>
      <c r="D202">
        <v>2.63</v>
      </c>
      <c r="E202">
        <v>48345</v>
      </c>
      <c r="F202">
        <v>0</v>
      </c>
      <c r="G202">
        <v>48345000</v>
      </c>
      <c r="H202">
        <v>403</v>
      </c>
      <c r="I202">
        <v>10200</v>
      </c>
      <c r="J202" s="2">
        <f t="shared" si="14"/>
        <v>26826</v>
      </c>
      <c r="K202">
        <v>201</v>
      </c>
      <c r="L202" s="3">
        <f>SUM($I$2:$I202)</f>
        <v>3960700</v>
      </c>
      <c r="M202" s="3">
        <f>SUM($J$2:$J202)</f>
        <v>11011111</v>
      </c>
      <c r="N202" s="2">
        <f>SUM($D$2:$D202)</f>
        <v>601.14999999999986</v>
      </c>
      <c r="O202" s="2">
        <f t="shared" si="15"/>
        <v>3.5824576082305659E-2</v>
      </c>
      <c r="P202" s="2" cm="1">
        <f t="array" ref="P202">SUMPRODUCT((O202&gt;$T$9:$T$14)*(O202&lt;=$U$9:$U$14),$S$9:$S$14)</f>
        <v>1</v>
      </c>
    </row>
    <row r="203" spans="1:16" x14ac:dyDescent="0.25">
      <c r="A203">
        <v>636</v>
      </c>
      <c r="B203">
        <v>1423</v>
      </c>
      <c r="C203">
        <v>863</v>
      </c>
      <c r="D203">
        <v>1.67</v>
      </c>
      <c r="E203">
        <v>10055</v>
      </c>
      <c r="F203">
        <v>0</v>
      </c>
      <c r="G203">
        <v>10055000</v>
      </c>
      <c r="H203" t="s">
        <v>20</v>
      </c>
      <c r="I203">
        <v>10200</v>
      </c>
      <c r="J203" s="2">
        <f t="shared" si="14"/>
        <v>17034</v>
      </c>
      <c r="K203">
        <v>202</v>
      </c>
      <c r="L203" s="3">
        <f>SUM($I$2:$I203)</f>
        <v>3970900</v>
      </c>
      <c r="M203" s="3">
        <f>SUM($J$2:$J203)</f>
        <v>11028145</v>
      </c>
      <c r="N203" s="2">
        <f>SUM($D$2:$D203)</f>
        <v>602.81999999999982</v>
      </c>
      <c r="O203" s="2">
        <f t="shared" si="15"/>
        <v>3.5924097070507352E-2</v>
      </c>
      <c r="P203" s="2" cm="1">
        <f t="array" ref="P203">SUMPRODUCT((O203&gt;$T$9:$T$14)*(O203&lt;=$U$9:$U$14),$S$9:$S$14)</f>
        <v>1</v>
      </c>
    </row>
    <row r="204" spans="1:16" x14ac:dyDescent="0.25">
      <c r="A204">
        <v>1575</v>
      </c>
      <c r="B204">
        <v>1575</v>
      </c>
      <c r="C204">
        <v>2064</v>
      </c>
      <c r="D204">
        <v>0.81</v>
      </c>
      <c r="E204">
        <v>47627</v>
      </c>
      <c r="F204">
        <v>0</v>
      </c>
      <c r="G204">
        <v>47627000</v>
      </c>
      <c r="H204">
        <v>401</v>
      </c>
      <c r="I204">
        <v>10100</v>
      </c>
      <c r="J204" s="2">
        <f t="shared" si="14"/>
        <v>8181.0000000000009</v>
      </c>
      <c r="K204">
        <v>203</v>
      </c>
      <c r="L204" s="3">
        <f>SUM($I$2:$I204)</f>
        <v>3981000</v>
      </c>
      <c r="M204" s="3">
        <f>SUM($J$2:$J204)</f>
        <v>11036326</v>
      </c>
      <c r="N204" s="2">
        <f>SUM($D$2:$D204)</f>
        <v>603.62999999999977</v>
      </c>
      <c r="O204" s="2">
        <f t="shared" si="15"/>
        <v>3.597236772945548E-2</v>
      </c>
      <c r="P204" s="2" cm="1">
        <f t="array" ref="P204">SUMPRODUCT((O204&gt;$T$9:$T$14)*(O204&lt;=$U$9:$U$14),$S$9:$S$14)</f>
        <v>1</v>
      </c>
    </row>
    <row r="205" spans="1:16" x14ac:dyDescent="0.25">
      <c r="A205">
        <v>77</v>
      </c>
      <c r="B205">
        <v>873</v>
      </c>
      <c r="C205">
        <v>1629</v>
      </c>
      <c r="D205">
        <v>11.68</v>
      </c>
      <c r="E205">
        <v>47900</v>
      </c>
      <c r="F205">
        <v>0</v>
      </c>
      <c r="G205">
        <v>47900000</v>
      </c>
      <c r="H205">
        <v>401</v>
      </c>
      <c r="I205">
        <v>10000</v>
      </c>
      <c r="J205" s="2">
        <f t="shared" si="14"/>
        <v>116800</v>
      </c>
      <c r="K205">
        <v>204</v>
      </c>
      <c r="L205" s="3">
        <f>SUM($I$2:$I205)</f>
        <v>3991000</v>
      </c>
      <c r="M205" s="3">
        <f>SUM($J$2:$J205)</f>
        <v>11153126</v>
      </c>
      <c r="N205" s="2">
        <f>SUM($D$2:$D205)</f>
        <v>615.30999999999972</v>
      </c>
      <c r="O205" s="2">
        <f t="shared" si="15"/>
        <v>3.6668418712806274E-2</v>
      </c>
      <c r="P205" s="2" cm="1">
        <f t="array" ref="P205">SUMPRODUCT((O205&gt;$T$9:$T$14)*(O205&lt;=$U$9:$U$14),$S$9:$S$14)</f>
        <v>1</v>
      </c>
    </row>
    <row r="206" spans="1:16" x14ac:dyDescent="0.25">
      <c r="A206">
        <v>1443</v>
      </c>
      <c r="B206">
        <v>275</v>
      </c>
      <c r="C206">
        <v>1398</v>
      </c>
      <c r="D206">
        <v>6.2</v>
      </c>
      <c r="E206">
        <v>46828</v>
      </c>
      <c r="F206">
        <v>0</v>
      </c>
      <c r="G206">
        <v>46828000</v>
      </c>
      <c r="H206">
        <v>400</v>
      </c>
      <c r="I206">
        <v>10000</v>
      </c>
      <c r="J206" s="2">
        <f t="shared" si="14"/>
        <v>62000</v>
      </c>
      <c r="K206">
        <v>205</v>
      </c>
      <c r="L206" s="3">
        <f>SUM($I$2:$I206)</f>
        <v>4001000</v>
      </c>
      <c r="M206" s="3">
        <f>SUM($J$2:$J206)</f>
        <v>11215126</v>
      </c>
      <c r="N206" s="2">
        <f>SUM($D$2:$D206)</f>
        <v>621.50999999999976</v>
      </c>
      <c r="O206" s="2">
        <f t="shared" si="15"/>
        <v>3.7037897830680837E-2</v>
      </c>
      <c r="P206" s="2" cm="1">
        <f t="array" ref="P206">SUMPRODUCT((O206&gt;$T$9:$T$14)*(O206&lt;=$U$9:$U$14),$S$9:$S$14)</f>
        <v>1</v>
      </c>
    </row>
    <row r="207" spans="1:16" x14ac:dyDescent="0.25">
      <c r="A207">
        <v>1432</v>
      </c>
      <c r="B207">
        <v>264</v>
      </c>
      <c r="C207">
        <v>1387</v>
      </c>
      <c r="D207">
        <v>2.69</v>
      </c>
      <c r="E207">
        <v>46900</v>
      </c>
      <c r="F207">
        <v>0</v>
      </c>
      <c r="G207">
        <v>46900000</v>
      </c>
      <c r="H207">
        <v>400</v>
      </c>
      <c r="I207">
        <v>10000</v>
      </c>
      <c r="J207" s="2">
        <f t="shared" si="14"/>
        <v>26900</v>
      </c>
      <c r="K207">
        <v>206</v>
      </c>
      <c r="L207" s="3">
        <f>SUM($I$2:$I207)</f>
        <v>4011000</v>
      </c>
      <c r="M207" s="3">
        <f>SUM($J$2:$J207)</f>
        <v>11242026</v>
      </c>
      <c r="N207" s="2">
        <f>SUM($D$2:$D207)</f>
        <v>624.19999999999982</v>
      </c>
      <c r="O207" s="2">
        <f t="shared" si="15"/>
        <v>3.7198204093113516E-2</v>
      </c>
      <c r="P207" s="2" cm="1">
        <f t="array" ref="P207">SUMPRODUCT((O207&gt;$T$9:$T$14)*(O207&lt;=$U$9:$U$14),$S$9:$S$14)</f>
        <v>1</v>
      </c>
    </row>
    <row r="208" spans="1:16" x14ac:dyDescent="0.25">
      <c r="A208">
        <v>1622</v>
      </c>
      <c r="B208">
        <v>1622</v>
      </c>
      <c r="C208">
        <v>2114</v>
      </c>
      <c r="D208">
        <v>1.6</v>
      </c>
      <c r="E208">
        <v>47415</v>
      </c>
      <c r="F208">
        <v>0</v>
      </c>
      <c r="G208">
        <v>47415000</v>
      </c>
      <c r="H208">
        <v>401</v>
      </c>
      <c r="I208">
        <v>10000</v>
      </c>
      <c r="J208" s="2">
        <f t="shared" si="14"/>
        <v>16000</v>
      </c>
      <c r="K208">
        <v>207</v>
      </c>
      <c r="L208" s="3">
        <f>SUM($I$2:$I208)</f>
        <v>4021000</v>
      </c>
      <c r="M208" s="3">
        <f>SUM($J$2:$J208)</f>
        <v>11258026</v>
      </c>
      <c r="N208" s="2">
        <f>SUM($D$2:$D208)</f>
        <v>625.79999999999984</v>
      </c>
      <c r="O208" s="2">
        <f t="shared" si="15"/>
        <v>3.7293553542887596E-2</v>
      </c>
      <c r="P208" s="2" cm="1">
        <f t="array" ref="P208">SUMPRODUCT((O208&gt;$T$9:$T$14)*(O208&lt;=$U$9:$U$14),$S$9:$S$14)</f>
        <v>1</v>
      </c>
    </row>
    <row r="209" spans="1:16" x14ac:dyDescent="0.25">
      <c r="A209">
        <v>1625</v>
      </c>
      <c r="B209">
        <v>1625</v>
      </c>
      <c r="C209">
        <v>2117</v>
      </c>
      <c r="D209">
        <v>9.1</v>
      </c>
      <c r="E209">
        <v>47400</v>
      </c>
      <c r="F209">
        <v>0</v>
      </c>
      <c r="G209">
        <v>47400000</v>
      </c>
      <c r="H209">
        <v>401</v>
      </c>
      <c r="I209">
        <v>9950</v>
      </c>
      <c r="J209" s="2">
        <f t="shared" si="14"/>
        <v>90545</v>
      </c>
      <c r="K209">
        <v>208</v>
      </c>
      <c r="L209" s="3">
        <f>SUM($I$2:$I209)</f>
        <v>4030950</v>
      </c>
      <c r="M209" s="3">
        <f>SUM($J$2:$J209)</f>
        <v>11348571</v>
      </c>
      <c r="N209" s="2">
        <f>SUM($D$2:$D209)</f>
        <v>634.89999999999986</v>
      </c>
      <c r="O209" s="2">
        <f t="shared" si="15"/>
        <v>3.7835853538477689E-2</v>
      </c>
      <c r="P209" s="2" cm="1">
        <f t="array" ref="P209">SUMPRODUCT((O209&gt;$T$9:$T$14)*(O209&lt;=$U$9:$U$14),$S$9:$S$14)</f>
        <v>1</v>
      </c>
    </row>
    <row r="210" spans="1:16" x14ac:dyDescent="0.25">
      <c r="A210">
        <v>72</v>
      </c>
      <c r="B210">
        <v>868</v>
      </c>
      <c r="C210">
        <v>1624</v>
      </c>
      <c r="D210">
        <v>7.58</v>
      </c>
      <c r="E210">
        <v>48335</v>
      </c>
      <c r="F210">
        <v>0</v>
      </c>
      <c r="G210">
        <v>48335000</v>
      </c>
      <c r="H210">
        <v>403</v>
      </c>
      <c r="I210">
        <v>9950</v>
      </c>
      <c r="J210" s="2">
        <f t="shared" si="14"/>
        <v>75421</v>
      </c>
      <c r="K210">
        <v>209</v>
      </c>
      <c r="L210" s="3">
        <f>SUM($I$2:$I210)</f>
        <v>4040900</v>
      </c>
      <c r="M210" s="3">
        <f>SUM($J$2:$J210)</f>
        <v>11423992</v>
      </c>
      <c r="N210" s="2">
        <f>SUM($D$2:$D210)</f>
        <v>642.4799999999999</v>
      </c>
      <c r="O210" s="2">
        <f t="shared" si="15"/>
        <v>3.8287571556782404E-2</v>
      </c>
      <c r="P210" s="2" cm="1">
        <f t="array" ref="P210">SUMPRODUCT((O210&gt;$T$9:$T$14)*(O210&lt;=$U$9:$U$14),$S$9:$S$14)</f>
        <v>1</v>
      </c>
    </row>
    <row r="211" spans="1:16" x14ac:dyDescent="0.25">
      <c r="A211">
        <v>1639</v>
      </c>
      <c r="B211">
        <v>1639</v>
      </c>
      <c r="C211">
        <v>2134</v>
      </c>
      <c r="D211">
        <v>4.8499999999999996</v>
      </c>
      <c r="E211">
        <v>48315</v>
      </c>
      <c r="F211">
        <v>0</v>
      </c>
      <c r="G211">
        <v>48315000</v>
      </c>
      <c r="H211">
        <v>403</v>
      </c>
      <c r="I211">
        <v>9950</v>
      </c>
      <c r="J211" s="2">
        <f t="shared" si="14"/>
        <v>48257.5</v>
      </c>
      <c r="K211">
        <v>210</v>
      </c>
      <c r="L211" s="3">
        <f>SUM($I$2:$I211)</f>
        <v>4050850</v>
      </c>
      <c r="M211" s="3">
        <f>SUM($J$2:$J211)</f>
        <v>11472249.5</v>
      </c>
      <c r="N211" s="2">
        <f>SUM($D$2:$D211)</f>
        <v>647.32999999999993</v>
      </c>
      <c r="O211" s="2">
        <f t="shared" si="15"/>
        <v>3.8576599576410089E-2</v>
      </c>
      <c r="P211" s="2" cm="1">
        <f t="array" ref="P211">SUMPRODUCT((O211&gt;$T$9:$T$14)*(O211&lt;=$U$9:$U$14),$S$9:$S$14)</f>
        <v>1</v>
      </c>
    </row>
    <row r="212" spans="1:16" x14ac:dyDescent="0.25">
      <c r="A212">
        <v>594</v>
      </c>
      <c r="B212">
        <v>1381</v>
      </c>
      <c r="C212">
        <v>814</v>
      </c>
      <c r="D212">
        <v>1.2</v>
      </c>
      <c r="E212">
        <v>10053</v>
      </c>
      <c r="F212">
        <v>0</v>
      </c>
      <c r="G212">
        <v>10053000</v>
      </c>
      <c r="H212" t="s">
        <v>20</v>
      </c>
      <c r="I212">
        <v>9950</v>
      </c>
      <c r="J212" s="2">
        <f t="shared" si="14"/>
        <v>11940</v>
      </c>
      <c r="K212">
        <v>211</v>
      </c>
      <c r="L212" s="3">
        <f>SUM($I$2:$I212)</f>
        <v>4060800</v>
      </c>
      <c r="M212" s="3">
        <f>SUM($J$2:$J212)</f>
        <v>11484189.5</v>
      </c>
      <c r="N212" s="2">
        <f>SUM($D$2:$D212)</f>
        <v>648.53</v>
      </c>
      <c r="O212" s="2">
        <f t="shared" si="15"/>
        <v>3.8648111663740652E-2</v>
      </c>
      <c r="P212" s="2" cm="1">
        <f t="array" ref="P212">SUMPRODUCT((O212&gt;$T$9:$T$14)*(O212&lt;=$U$9:$U$14),$S$9:$S$14)</f>
        <v>1</v>
      </c>
    </row>
    <row r="213" spans="1:16" x14ac:dyDescent="0.25">
      <c r="A213">
        <v>1645</v>
      </c>
      <c r="B213">
        <v>1645</v>
      </c>
      <c r="C213">
        <v>2140</v>
      </c>
      <c r="D213">
        <v>1.81</v>
      </c>
      <c r="E213">
        <v>47335</v>
      </c>
      <c r="F213">
        <v>0</v>
      </c>
      <c r="G213">
        <v>47335000</v>
      </c>
      <c r="H213">
        <v>401</v>
      </c>
      <c r="I213">
        <v>9900</v>
      </c>
      <c r="J213" s="2">
        <f t="shared" si="14"/>
        <v>17919</v>
      </c>
      <c r="K213">
        <v>212</v>
      </c>
      <c r="L213" s="3">
        <f>SUM($I$2:$I213)</f>
        <v>4070700</v>
      </c>
      <c r="M213" s="3">
        <f>SUM($J$2:$J213)</f>
        <v>11502108.5</v>
      </c>
      <c r="N213" s="2">
        <f>SUM($D$2:$D213)</f>
        <v>650.33999999999992</v>
      </c>
      <c r="O213" s="2">
        <f t="shared" si="15"/>
        <v>3.8755975728797576E-2</v>
      </c>
      <c r="P213" s="2" cm="1">
        <f t="array" ref="P213">SUMPRODUCT((O213&gt;$T$9:$T$14)*(O213&lt;=$U$9:$U$14),$S$9:$S$14)</f>
        <v>1</v>
      </c>
    </row>
    <row r="214" spans="1:16" x14ac:dyDescent="0.25">
      <c r="A214">
        <v>1553</v>
      </c>
      <c r="B214">
        <v>385</v>
      </c>
      <c r="C214">
        <v>1530</v>
      </c>
      <c r="D214">
        <v>1.77</v>
      </c>
      <c r="E214">
        <v>50365</v>
      </c>
      <c r="F214">
        <v>0</v>
      </c>
      <c r="G214">
        <v>50365000</v>
      </c>
      <c r="H214">
        <v>427</v>
      </c>
      <c r="I214">
        <v>9900</v>
      </c>
      <c r="J214" s="2">
        <f t="shared" si="14"/>
        <v>17523</v>
      </c>
      <c r="K214">
        <v>213</v>
      </c>
      <c r="L214" s="3">
        <f>SUM($I$2:$I214)</f>
        <v>4080600</v>
      </c>
      <c r="M214" s="3">
        <f>SUM($J$2:$J214)</f>
        <v>11519631.5</v>
      </c>
      <c r="N214" s="2">
        <f>SUM($D$2:$D214)</f>
        <v>652.1099999999999</v>
      </c>
      <c r="O214" s="2">
        <f t="shared" si="15"/>
        <v>3.8861456057610155E-2</v>
      </c>
      <c r="P214" s="2" cm="1">
        <f t="array" ref="P214">SUMPRODUCT((O214&gt;$T$9:$T$14)*(O214&lt;=$U$9:$U$14),$S$9:$S$14)</f>
        <v>1</v>
      </c>
    </row>
    <row r="215" spans="1:16" x14ac:dyDescent="0.25">
      <c r="A215">
        <v>23</v>
      </c>
      <c r="B215">
        <v>819</v>
      </c>
      <c r="C215">
        <v>1572</v>
      </c>
      <c r="D215">
        <v>7.78</v>
      </c>
      <c r="E215">
        <v>47534</v>
      </c>
      <c r="F215">
        <v>0</v>
      </c>
      <c r="G215">
        <v>47534000</v>
      </c>
      <c r="H215">
        <v>401</v>
      </c>
      <c r="I215">
        <v>9800</v>
      </c>
      <c r="J215" s="2">
        <f t="shared" si="14"/>
        <v>76244</v>
      </c>
      <c r="K215">
        <v>214</v>
      </c>
      <c r="L215" s="3">
        <f>SUM($I$2:$I215)</f>
        <v>4090400</v>
      </c>
      <c r="M215" s="3">
        <f>SUM($J$2:$J215)</f>
        <v>11595875.5</v>
      </c>
      <c r="N215" s="2">
        <f>SUM($D$2:$D215)</f>
        <v>659.88999999999987</v>
      </c>
      <c r="O215" s="2">
        <f t="shared" si="15"/>
        <v>3.9325092757136623E-2</v>
      </c>
      <c r="P215" s="2" cm="1">
        <f t="array" ref="P215">SUMPRODUCT((O215&gt;$T$9:$T$14)*(O215&lt;=$U$9:$U$14),$S$9:$S$14)</f>
        <v>1</v>
      </c>
    </row>
    <row r="216" spans="1:16" x14ac:dyDescent="0.25">
      <c r="A216">
        <v>1677</v>
      </c>
      <c r="B216">
        <v>1677</v>
      </c>
      <c r="C216">
        <v>2175</v>
      </c>
      <c r="D216">
        <v>0.4</v>
      </c>
      <c r="E216">
        <v>48980</v>
      </c>
      <c r="F216">
        <v>0</v>
      </c>
      <c r="G216">
        <v>48980000</v>
      </c>
      <c r="H216">
        <v>409</v>
      </c>
      <c r="I216">
        <v>9800</v>
      </c>
      <c r="J216" s="2">
        <f t="shared" si="14"/>
        <v>3920</v>
      </c>
      <c r="K216">
        <v>215</v>
      </c>
      <c r="L216" s="3">
        <f>SUM($I$2:$I216)</f>
        <v>4100200</v>
      </c>
      <c r="M216" s="3">
        <f>SUM($J$2:$J216)</f>
        <v>11599795.5</v>
      </c>
      <c r="N216" s="2">
        <f>SUM($D$2:$D216)</f>
        <v>660.28999999999985</v>
      </c>
      <c r="O216" s="2">
        <f t="shared" si="15"/>
        <v>3.9348930119580142E-2</v>
      </c>
      <c r="P216" s="2" cm="1">
        <f t="array" ref="P216">SUMPRODUCT((O216&gt;$T$9:$T$14)*(O216&lt;=$U$9:$U$14),$S$9:$S$14)</f>
        <v>1</v>
      </c>
    </row>
    <row r="217" spans="1:16" x14ac:dyDescent="0.25">
      <c r="A217">
        <v>1440</v>
      </c>
      <c r="B217">
        <v>272</v>
      </c>
      <c r="C217">
        <v>1395</v>
      </c>
      <c r="D217">
        <v>2.86</v>
      </c>
      <c r="E217">
        <v>46840</v>
      </c>
      <c r="F217">
        <v>0</v>
      </c>
      <c r="G217">
        <v>46840000</v>
      </c>
      <c r="H217">
        <v>400</v>
      </c>
      <c r="I217">
        <v>9750</v>
      </c>
      <c r="J217" s="2">
        <f t="shared" si="14"/>
        <v>27885</v>
      </c>
      <c r="K217">
        <v>216</v>
      </c>
      <c r="L217" s="3">
        <f>SUM($I$2:$I217)</f>
        <v>4109950</v>
      </c>
      <c r="M217" s="3">
        <f>SUM($J$2:$J217)</f>
        <v>11627680.5</v>
      </c>
      <c r="N217" s="2">
        <f>SUM($D$2:$D217)</f>
        <v>663.14999999999986</v>
      </c>
      <c r="O217" s="2">
        <f t="shared" si="15"/>
        <v>3.9519367261051312E-2</v>
      </c>
      <c r="P217" s="2" cm="1">
        <f t="array" ref="P217">SUMPRODUCT((O217&gt;$T$9:$T$14)*(O217&lt;=$U$9:$U$14),$S$9:$S$14)</f>
        <v>1</v>
      </c>
    </row>
    <row r="218" spans="1:16" x14ac:dyDescent="0.25">
      <c r="A218">
        <v>113</v>
      </c>
      <c r="B218">
        <v>909</v>
      </c>
      <c r="C218">
        <v>1667</v>
      </c>
      <c r="D218">
        <v>18.079999999999998</v>
      </c>
      <c r="E218">
        <v>47920</v>
      </c>
      <c r="F218">
        <v>0</v>
      </c>
      <c r="G218">
        <v>47920000</v>
      </c>
      <c r="H218">
        <v>401</v>
      </c>
      <c r="I218">
        <v>9650</v>
      </c>
      <c r="J218" s="2">
        <f t="shared" si="14"/>
        <v>174471.99999999997</v>
      </c>
      <c r="K218">
        <v>217</v>
      </c>
      <c r="L218" s="3">
        <f>SUM($I$2:$I218)</f>
        <v>4119600</v>
      </c>
      <c r="M218" s="3">
        <f>SUM($J$2:$J218)</f>
        <v>11802152.5</v>
      </c>
      <c r="N218" s="2">
        <f>SUM($D$2:$D218)</f>
        <v>681.2299999999999</v>
      </c>
      <c r="O218" s="2">
        <f t="shared" si="15"/>
        <v>4.0596816043498435E-2</v>
      </c>
      <c r="P218" s="2" cm="1">
        <f t="array" ref="P218">SUMPRODUCT((O218&gt;$T$9:$T$14)*(O218&lt;=$U$9:$U$14),$S$9:$S$14)</f>
        <v>1</v>
      </c>
    </row>
    <row r="219" spans="1:16" x14ac:dyDescent="0.25">
      <c r="A219">
        <v>87</v>
      </c>
      <c r="B219">
        <v>883</v>
      </c>
      <c r="C219">
        <v>1640</v>
      </c>
      <c r="D219">
        <v>12.49</v>
      </c>
      <c r="E219">
        <v>47520</v>
      </c>
      <c r="F219">
        <v>0</v>
      </c>
      <c r="G219">
        <v>47520000</v>
      </c>
      <c r="H219">
        <v>401</v>
      </c>
      <c r="I219">
        <v>9650</v>
      </c>
      <c r="J219" s="2">
        <f t="shared" si="14"/>
        <v>120528.5</v>
      </c>
      <c r="K219">
        <v>218</v>
      </c>
      <c r="L219" s="3">
        <f>SUM($I$2:$I219)</f>
        <v>4129250</v>
      </c>
      <c r="M219" s="3">
        <f>SUM($J$2:$J219)</f>
        <v>11922681</v>
      </c>
      <c r="N219" s="2">
        <f>SUM($D$2:$D219)</f>
        <v>693.71999999999991</v>
      </c>
      <c r="O219" s="2">
        <f t="shared" si="15"/>
        <v>4.1341137685797363E-2</v>
      </c>
      <c r="P219" s="2" cm="1">
        <f t="array" ref="P219">SUMPRODUCT((O219&gt;$T$9:$T$14)*(O219&lt;=$U$9:$U$14),$S$9:$S$14)</f>
        <v>1</v>
      </c>
    </row>
    <row r="220" spans="1:16" x14ac:dyDescent="0.25">
      <c r="A220">
        <v>1681</v>
      </c>
      <c r="B220">
        <v>1681</v>
      </c>
      <c r="C220">
        <v>2180</v>
      </c>
      <c r="D220">
        <v>8.3800000000000008</v>
      </c>
      <c r="E220">
        <v>47950</v>
      </c>
      <c r="F220">
        <v>0</v>
      </c>
      <c r="G220">
        <v>47950000</v>
      </c>
      <c r="H220">
        <v>401</v>
      </c>
      <c r="I220">
        <v>9600</v>
      </c>
      <c r="J220" s="2">
        <f t="shared" si="14"/>
        <v>80448.000000000015</v>
      </c>
      <c r="K220">
        <v>219</v>
      </c>
      <c r="L220" s="3">
        <f>SUM($I$2:$I220)</f>
        <v>4138850</v>
      </c>
      <c r="M220" s="3">
        <f>SUM($J$2:$J220)</f>
        <v>12003129</v>
      </c>
      <c r="N220" s="2">
        <f>SUM($D$2:$D220)</f>
        <v>702.09999999999991</v>
      </c>
      <c r="O220" s="2">
        <f t="shared" si="15"/>
        <v>4.1840530428989116E-2</v>
      </c>
      <c r="P220" s="2" cm="1">
        <f t="array" ref="P220">SUMPRODUCT((O220&gt;$T$9:$T$14)*(O220&lt;=$U$9:$U$14),$S$9:$S$14)</f>
        <v>1</v>
      </c>
    </row>
    <row r="221" spans="1:16" x14ac:dyDescent="0.25">
      <c r="A221">
        <v>99</v>
      </c>
      <c r="B221">
        <v>895</v>
      </c>
      <c r="C221">
        <v>1653</v>
      </c>
      <c r="D221">
        <v>8.08</v>
      </c>
      <c r="E221">
        <v>47860</v>
      </c>
      <c r="F221">
        <v>0</v>
      </c>
      <c r="G221">
        <v>47860000</v>
      </c>
      <c r="H221">
        <v>401</v>
      </c>
      <c r="I221">
        <v>9600</v>
      </c>
      <c r="J221" s="2">
        <f t="shared" si="14"/>
        <v>77568</v>
      </c>
      <c r="K221">
        <v>220</v>
      </c>
      <c r="L221" s="3">
        <f>SUM($I$2:$I221)</f>
        <v>4148450</v>
      </c>
      <c r="M221" s="3">
        <f>SUM($J$2:$J221)</f>
        <v>12080697</v>
      </c>
      <c r="N221" s="2">
        <f>SUM($D$2:$D221)</f>
        <v>710.18</v>
      </c>
      <c r="O221" s="2">
        <f t="shared" si="15"/>
        <v>4.232204515034823E-2</v>
      </c>
      <c r="P221" s="2" cm="1">
        <f t="array" ref="P221">SUMPRODUCT((O221&gt;$T$9:$T$14)*(O221&lt;=$U$9:$U$14),$S$9:$S$14)</f>
        <v>1</v>
      </c>
    </row>
    <row r="222" spans="1:16" x14ac:dyDescent="0.25">
      <c r="A222">
        <v>93</v>
      </c>
      <c r="B222">
        <v>889</v>
      </c>
      <c r="C222">
        <v>1646</v>
      </c>
      <c r="D222">
        <v>7.09</v>
      </c>
      <c r="E222">
        <v>47990</v>
      </c>
      <c r="F222">
        <v>0</v>
      </c>
      <c r="G222">
        <v>47990000</v>
      </c>
      <c r="H222">
        <v>401</v>
      </c>
      <c r="I222">
        <v>9600</v>
      </c>
      <c r="J222" s="2">
        <f t="shared" si="14"/>
        <v>68064</v>
      </c>
      <c r="K222">
        <v>221</v>
      </c>
      <c r="L222" s="3">
        <f>SUM($I$2:$I222)</f>
        <v>4158050</v>
      </c>
      <c r="M222" s="3">
        <f>SUM($J$2:$J222)</f>
        <v>12148761</v>
      </c>
      <c r="N222" s="2">
        <f>SUM($D$2:$D222)</f>
        <v>717.27</v>
      </c>
      <c r="O222" s="2">
        <f t="shared" si="15"/>
        <v>4.2744562399659625E-2</v>
      </c>
      <c r="P222" s="2" cm="1">
        <f t="array" ref="P222">SUMPRODUCT((O222&gt;$T$9:$T$14)*(O222&lt;=$U$9:$U$14),$S$9:$S$14)</f>
        <v>1</v>
      </c>
    </row>
    <row r="223" spans="1:16" x14ac:dyDescent="0.25">
      <c r="A223">
        <v>1570</v>
      </c>
      <c r="B223">
        <v>1570</v>
      </c>
      <c r="C223">
        <v>2058</v>
      </c>
      <c r="D223">
        <v>2.13</v>
      </c>
      <c r="E223">
        <v>48459</v>
      </c>
      <c r="F223">
        <v>0</v>
      </c>
      <c r="G223">
        <v>48459000</v>
      </c>
      <c r="H223">
        <v>404</v>
      </c>
      <c r="I223">
        <v>9600</v>
      </c>
      <c r="J223" s="2">
        <f t="shared" si="14"/>
        <v>20448</v>
      </c>
      <c r="K223">
        <v>222</v>
      </c>
      <c r="L223" s="3">
        <f>SUM($I$2:$I223)</f>
        <v>4167650</v>
      </c>
      <c r="M223" s="3">
        <f>SUM($J$2:$J223)</f>
        <v>12169209</v>
      </c>
      <c r="N223" s="2">
        <f>SUM($D$2:$D223)</f>
        <v>719.4</v>
      </c>
      <c r="O223" s="2">
        <f t="shared" si="15"/>
        <v>4.2871496354671371E-2</v>
      </c>
      <c r="P223" s="2" cm="1">
        <f t="array" ref="P223">SUMPRODUCT((O223&gt;$T$9:$T$14)*(O223&lt;=$U$9:$U$14),$S$9:$S$14)</f>
        <v>1</v>
      </c>
    </row>
    <row r="224" spans="1:16" x14ac:dyDescent="0.25">
      <c r="A224">
        <v>1674</v>
      </c>
      <c r="B224">
        <v>1674</v>
      </c>
      <c r="C224">
        <v>2172</v>
      </c>
      <c r="D224">
        <v>1.21</v>
      </c>
      <c r="E224">
        <v>49389</v>
      </c>
      <c r="F224">
        <v>0</v>
      </c>
      <c r="G224">
        <v>49389000</v>
      </c>
      <c r="H224">
        <v>417</v>
      </c>
      <c r="I224">
        <v>9600</v>
      </c>
      <c r="J224" s="2">
        <f t="shared" si="14"/>
        <v>11616</v>
      </c>
      <c r="K224">
        <v>223</v>
      </c>
      <c r="L224" s="3">
        <f>SUM($I$2:$I224)</f>
        <v>4177250</v>
      </c>
      <c r="M224" s="3">
        <f>SUM($J$2:$J224)</f>
        <v>12180825</v>
      </c>
      <c r="N224" s="2">
        <f>SUM($D$2:$D224)</f>
        <v>720.61</v>
      </c>
      <c r="O224" s="2">
        <f t="shared" si="15"/>
        <v>4.2943604376063024E-2</v>
      </c>
      <c r="P224" s="2" cm="1">
        <f t="array" ref="P224">SUMPRODUCT((O224&gt;$T$9:$T$14)*(O224&lt;=$U$9:$U$14),$S$9:$S$14)</f>
        <v>1</v>
      </c>
    </row>
    <row r="225" spans="1:16" x14ac:dyDescent="0.25">
      <c r="A225">
        <v>1670</v>
      </c>
      <c r="B225">
        <v>1670</v>
      </c>
      <c r="C225">
        <v>2168</v>
      </c>
      <c r="D225">
        <v>14.3</v>
      </c>
      <c r="E225">
        <v>47360</v>
      </c>
      <c r="F225">
        <v>0</v>
      </c>
      <c r="G225">
        <v>47360000</v>
      </c>
      <c r="H225">
        <v>401</v>
      </c>
      <c r="I225">
        <v>9550</v>
      </c>
      <c r="J225" s="2">
        <f t="shared" si="14"/>
        <v>136565</v>
      </c>
      <c r="K225">
        <v>224</v>
      </c>
      <c r="L225" s="3">
        <f>SUM($I$2:$I225)</f>
        <v>4186800</v>
      </c>
      <c r="M225" s="3">
        <f>SUM($J$2:$J225)</f>
        <v>12317390</v>
      </c>
      <c r="N225" s="2">
        <f>SUM($D$2:$D225)</f>
        <v>734.91</v>
      </c>
      <c r="O225" s="2">
        <f t="shared" si="15"/>
        <v>4.3795790083418877E-2</v>
      </c>
      <c r="P225" s="2" cm="1">
        <f t="array" ref="P225">SUMPRODUCT((O225&gt;$T$9:$T$14)*(O225&lt;=$U$9:$U$14),$S$9:$S$14)</f>
        <v>1</v>
      </c>
    </row>
    <row r="226" spans="1:16" x14ac:dyDescent="0.25">
      <c r="A226">
        <v>1637</v>
      </c>
      <c r="B226">
        <v>1637</v>
      </c>
      <c r="C226">
        <v>2132</v>
      </c>
      <c r="D226">
        <v>3.33</v>
      </c>
      <c r="E226">
        <v>48330</v>
      </c>
      <c r="F226">
        <v>0</v>
      </c>
      <c r="G226">
        <v>48330000</v>
      </c>
      <c r="H226">
        <v>403</v>
      </c>
      <c r="I226">
        <v>9550</v>
      </c>
      <c r="J226" s="2">
        <f t="shared" si="14"/>
        <v>31801.5</v>
      </c>
      <c r="K226">
        <v>225</v>
      </c>
      <c r="L226" s="3">
        <f>SUM($I$2:$I226)</f>
        <v>4196350</v>
      </c>
      <c r="M226" s="3">
        <f>SUM($J$2:$J226)</f>
        <v>12349191.5</v>
      </c>
      <c r="N226" s="2">
        <f>SUM($D$2:$D226)</f>
        <v>738.24</v>
      </c>
      <c r="O226" s="2">
        <f t="shared" si="15"/>
        <v>4.3994236125761185E-2</v>
      </c>
      <c r="P226" s="2" cm="1">
        <f t="array" ref="P226">SUMPRODUCT((O226&gt;$T$9:$T$14)*(O226&lt;=$U$9:$U$14),$S$9:$S$14)</f>
        <v>1</v>
      </c>
    </row>
    <row r="227" spans="1:16" x14ac:dyDescent="0.25">
      <c r="A227">
        <v>104</v>
      </c>
      <c r="B227">
        <v>900</v>
      </c>
      <c r="C227">
        <v>1658</v>
      </c>
      <c r="D227">
        <v>12.38</v>
      </c>
      <c r="E227">
        <v>47494</v>
      </c>
      <c r="F227">
        <v>0</v>
      </c>
      <c r="G227">
        <v>47494000</v>
      </c>
      <c r="H227">
        <v>401</v>
      </c>
      <c r="I227">
        <v>9500</v>
      </c>
      <c r="J227" s="2">
        <f t="shared" si="14"/>
        <v>117610.00000000001</v>
      </c>
      <c r="K227">
        <v>226</v>
      </c>
      <c r="L227" s="3">
        <f>SUM($I$2:$I227)</f>
        <v>4205850</v>
      </c>
      <c r="M227" s="3">
        <f>SUM($J$2:$J227)</f>
        <v>12466801.5</v>
      </c>
      <c r="N227" s="2">
        <f>SUM($D$2:$D227)</f>
        <v>750.62</v>
      </c>
      <c r="O227" s="2">
        <f t="shared" si="15"/>
        <v>4.4732002493388136E-2</v>
      </c>
      <c r="P227" s="2" cm="1">
        <f t="array" ref="P227">SUMPRODUCT((O227&gt;$T$9:$T$14)*(O227&lt;=$U$9:$U$14),$S$9:$S$14)</f>
        <v>1</v>
      </c>
    </row>
    <row r="228" spans="1:16" x14ac:dyDescent="0.25">
      <c r="A228">
        <v>70</v>
      </c>
      <c r="B228">
        <v>866</v>
      </c>
      <c r="C228">
        <v>1622</v>
      </c>
      <c r="D228">
        <v>3.16</v>
      </c>
      <c r="E228">
        <v>48360</v>
      </c>
      <c r="F228">
        <v>0</v>
      </c>
      <c r="G228">
        <v>48360000</v>
      </c>
      <c r="H228">
        <v>403</v>
      </c>
      <c r="I228">
        <v>9500</v>
      </c>
      <c r="J228" s="2">
        <f t="shared" si="14"/>
        <v>30020</v>
      </c>
      <c r="K228">
        <v>227</v>
      </c>
      <c r="L228" s="3">
        <f>SUM($I$2:$I228)</f>
        <v>4215350</v>
      </c>
      <c r="M228" s="3">
        <f>SUM($J$2:$J228)</f>
        <v>12496821.5</v>
      </c>
      <c r="N228" s="2">
        <f>SUM($D$2:$D228)</f>
        <v>753.78</v>
      </c>
      <c r="O228" s="2">
        <f t="shared" si="15"/>
        <v>4.4920317656691945E-2</v>
      </c>
      <c r="P228" s="2" cm="1">
        <f t="array" ref="P228">SUMPRODUCT((O228&gt;$T$9:$T$14)*(O228&lt;=$U$9:$U$14),$S$9:$S$14)</f>
        <v>1</v>
      </c>
    </row>
    <row r="229" spans="1:16" x14ac:dyDescent="0.25">
      <c r="A229">
        <v>773</v>
      </c>
      <c r="B229">
        <v>1560</v>
      </c>
      <c r="C229">
        <v>1036</v>
      </c>
      <c r="D229">
        <v>0.77</v>
      </c>
      <c r="E229">
        <v>38460</v>
      </c>
      <c r="F229">
        <v>0</v>
      </c>
      <c r="G229">
        <v>38460000</v>
      </c>
      <c r="H229">
        <v>85</v>
      </c>
      <c r="I229">
        <v>9500</v>
      </c>
      <c r="J229" s="2">
        <f t="shared" si="14"/>
        <v>7315</v>
      </c>
      <c r="K229">
        <v>228</v>
      </c>
      <c r="L229" s="3">
        <f>SUM($I$2:$I229)</f>
        <v>4224850</v>
      </c>
      <c r="M229" s="3">
        <f>SUM($J$2:$J229)</f>
        <v>12504136.5</v>
      </c>
      <c r="N229" s="2">
        <f>SUM($D$2:$D229)</f>
        <v>754.55</v>
      </c>
      <c r="O229" s="2">
        <f t="shared" si="15"/>
        <v>4.4966204579395722E-2</v>
      </c>
      <c r="P229" s="2" cm="1">
        <f t="array" ref="P229">SUMPRODUCT((O229&gt;$T$9:$T$14)*(O229&lt;=$U$9:$U$14),$S$9:$S$14)</f>
        <v>1</v>
      </c>
    </row>
    <row r="230" spans="1:16" x14ac:dyDescent="0.25">
      <c r="A230">
        <v>1392</v>
      </c>
      <c r="B230">
        <v>224</v>
      </c>
      <c r="C230">
        <v>1340</v>
      </c>
      <c r="D230">
        <v>11.41</v>
      </c>
      <c r="E230">
        <v>47325</v>
      </c>
      <c r="F230">
        <v>0</v>
      </c>
      <c r="G230">
        <v>47325000</v>
      </c>
      <c r="H230">
        <v>401</v>
      </c>
      <c r="I230">
        <v>9450</v>
      </c>
      <c r="J230" s="2">
        <f t="shared" si="14"/>
        <v>107824.5</v>
      </c>
      <c r="K230">
        <v>229</v>
      </c>
      <c r="L230" s="3">
        <f>SUM($I$2:$I230)</f>
        <v>4234300</v>
      </c>
      <c r="M230" s="3">
        <f>SUM($J$2:$J230)</f>
        <v>12611961</v>
      </c>
      <c r="N230" s="2">
        <f>SUM($D$2:$D230)</f>
        <v>765.95999999999992</v>
      </c>
      <c r="O230" s="2">
        <f t="shared" si="15"/>
        <v>4.5646165343097136E-2</v>
      </c>
      <c r="P230" s="2" cm="1">
        <f t="array" ref="P230">SUMPRODUCT((O230&gt;$T$9:$T$14)*(O230&lt;=$U$9:$U$14),$S$9:$S$14)</f>
        <v>1</v>
      </c>
    </row>
    <row r="231" spans="1:16" x14ac:dyDescent="0.25">
      <c r="A231">
        <v>1683</v>
      </c>
      <c r="B231">
        <v>1683</v>
      </c>
      <c r="C231">
        <v>2182</v>
      </c>
      <c r="D231">
        <v>6.59</v>
      </c>
      <c r="E231">
        <v>47330</v>
      </c>
      <c r="F231">
        <v>0</v>
      </c>
      <c r="G231">
        <v>47330000</v>
      </c>
      <c r="H231">
        <v>401</v>
      </c>
      <c r="I231">
        <v>9450</v>
      </c>
      <c r="J231" s="2">
        <f t="shared" si="14"/>
        <v>62275.5</v>
      </c>
      <c r="K231">
        <v>230</v>
      </c>
      <c r="L231" s="3">
        <f>SUM($I$2:$I231)</f>
        <v>4243750</v>
      </c>
      <c r="M231" s="3">
        <f>SUM($J$2:$J231)</f>
        <v>12674236.5</v>
      </c>
      <c r="N231" s="2">
        <f>SUM($D$2:$D231)</f>
        <v>772.55</v>
      </c>
      <c r="O231" s="2">
        <f t="shared" si="15"/>
        <v>4.6038885889354141E-2</v>
      </c>
      <c r="P231" s="2" cm="1">
        <f t="array" ref="P231">SUMPRODUCT((O231&gt;$T$9:$T$14)*(O231&lt;=$U$9:$U$14),$S$9:$S$14)</f>
        <v>1</v>
      </c>
    </row>
    <row r="232" spans="1:16" x14ac:dyDescent="0.25">
      <c r="A232">
        <v>57</v>
      </c>
      <c r="B232">
        <v>853</v>
      </c>
      <c r="C232">
        <v>1609</v>
      </c>
      <c r="D232">
        <v>2.0499999999999998</v>
      </c>
      <c r="E232">
        <v>48500</v>
      </c>
      <c r="F232">
        <v>0</v>
      </c>
      <c r="G232">
        <v>48500000</v>
      </c>
      <c r="H232">
        <v>404</v>
      </c>
      <c r="I232">
        <v>9450</v>
      </c>
      <c r="J232" s="2">
        <f t="shared" si="14"/>
        <v>19372.5</v>
      </c>
      <c r="K232">
        <v>231</v>
      </c>
      <c r="L232" s="3">
        <f>SUM($I$2:$I232)</f>
        <v>4253200</v>
      </c>
      <c r="M232" s="3">
        <f>SUM($J$2:$J232)</f>
        <v>12693609</v>
      </c>
      <c r="N232" s="2">
        <f>SUM($D$2:$D232)</f>
        <v>774.59999999999991</v>
      </c>
      <c r="O232" s="2">
        <f t="shared" si="15"/>
        <v>4.6161052371877176E-2</v>
      </c>
      <c r="P232" s="2" cm="1">
        <f t="array" ref="P232">SUMPRODUCT((O232&gt;$T$9:$T$14)*(O232&lt;=$U$9:$U$14),$S$9:$S$14)</f>
        <v>1</v>
      </c>
    </row>
    <row r="233" spans="1:16" x14ac:dyDescent="0.25">
      <c r="A233">
        <v>1671</v>
      </c>
      <c r="B233">
        <v>1671</v>
      </c>
      <c r="C233">
        <v>2169</v>
      </c>
      <c r="D233">
        <v>9.2100000000000009</v>
      </c>
      <c r="E233">
        <v>47354</v>
      </c>
      <c r="F233">
        <v>0</v>
      </c>
      <c r="G233">
        <v>47354000</v>
      </c>
      <c r="H233">
        <v>401</v>
      </c>
      <c r="I233">
        <v>9400</v>
      </c>
      <c r="J233" s="2">
        <f t="shared" si="14"/>
        <v>86574.000000000015</v>
      </c>
      <c r="K233">
        <v>232</v>
      </c>
      <c r="L233" s="3">
        <f>SUM($I$2:$I233)</f>
        <v>4262600</v>
      </c>
      <c r="M233" s="3">
        <f>SUM($J$2:$J233)</f>
        <v>12780183</v>
      </c>
      <c r="N233" s="2">
        <f>SUM($D$2:$D233)</f>
        <v>783.81</v>
      </c>
      <c r="O233" s="2">
        <f t="shared" si="15"/>
        <v>4.670990764213924E-2</v>
      </c>
      <c r="P233" s="2" cm="1">
        <f t="array" ref="P233">SUMPRODUCT((O233&gt;$T$9:$T$14)*(O233&lt;=$U$9:$U$14),$S$9:$S$14)</f>
        <v>1</v>
      </c>
    </row>
    <row r="234" spans="1:16" x14ac:dyDescent="0.25">
      <c r="A234">
        <v>51</v>
      </c>
      <c r="B234">
        <v>847</v>
      </c>
      <c r="C234">
        <v>1602</v>
      </c>
      <c r="D234">
        <v>1.48</v>
      </c>
      <c r="E234">
        <v>49072</v>
      </c>
      <c r="F234">
        <v>0</v>
      </c>
      <c r="G234">
        <v>49072000</v>
      </c>
      <c r="H234">
        <v>410</v>
      </c>
      <c r="I234">
        <v>9300</v>
      </c>
      <c r="J234" s="2">
        <f t="shared" si="14"/>
        <v>13764</v>
      </c>
      <c r="K234">
        <v>233</v>
      </c>
      <c r="L234" s="3">
        <f>SUM($I$2:$I234)</f>
        <v>4271900</v>
      </c>
      <c r="M234" s="3">
        <f>SUM($J$2:$J234)</f>
        <v>12793947</v>
      </c>
      <c r="N234" s="2">
        <f>SUM($D$2:$D234)</f>
        <v>785.29</v>
      </c>
      <c r="O234" s="2">
        <f t="shared" si="15"/>
        <v>4.6798105883180265E-2</v>
      </c>
      <c r="P234" s="2" cm="1">
        <f t="array" ref="P234">SUMPRODUCT((O234&gt;$T$9:$T$14)*(O234&lt;=$U$9:$U$14),$S$9:$S$14)</f>
        <v>1</v>
      </c>
    </row>
    <row r="235" spans="1:16" x14ac:dyDescent="0.25">
      <c r="A235">
        <v>1584</v>
      </c>
      <c r="B235">
        <v>1584</v>
      </c>
      <c r="C235">
        <v>2073</v>
      </c>
      <c r="D235">
        <v>12.48</v>
      </c>
      <c r="E235">
        <v>47460</v>
      </c>
      <c r="F235">
        <v>0</v>
      </c>
      <c r="G235">
        <v>47460000</v>
      </c>
      <c r="H235">
        <v>401</v>
      </c>
      <c r="I235">
        <v>9200</v>
      </c>
      <c r="J235" s="2">
        <f t="shared" si="14"/>
        <v>114816</v>
      </c>
      <c r="K235">
        <v>234</v>
      </c>
      <c r="L235" s="3">
        <f>SUM($I$2:$I235)</f>
        <v>4281100</v>
      </c>
      <c r="M235" s="3">
        <f>SUM($J$2:$J235)</f>
        <v>12908763</v>
      </c>
      <c r="N235" s="2">
        <f>SUM($D$2:$D235)</f>
        <v>797.77</v>
      </c>
      <c r="O235" s="2">
        <f t="shared" si="15"/>
        <v>4.7541831591418102E-2</v>
      </c>
      <c r="P235" s="2" cm="1">
        <f t="array" ref="P235">SUMPRODUCT((O235&gt;$T$9:$T$14)*(O235&lt;=$U$9:$U$14),$S$9:$S$14)</f>
        <v>1</v>
      </c>
    </row>
    <row r="236" spans="1:16" x14ac:dyDescent="0.25">
      <c r="A236">
        <v>18</v>
      </c>
      <c r="B236">
        <v>814</v>
      </c>
      <c r="C236">
        <v>1565</v>
      </c>
      <c r="D236">
        <v>2.0299999999999998</v>
      </c>
      <c r="E236">
        <v>48503</v>
      </c>
      <c r="F236">
        <v>0</v>
      </c>
      <c r="G236">
        <v>48503000</v>
      </c>
      <c r="H236">
        <v>404</v>
      </c>
      <c r="I236">
        <v>9200</v>
      </c>
      <c r="J236" s="2">
        <f t="shared" si="14"/>
        <v>18676</v>
      </c>
      <c r="K236">
        <v>235</v>
      </c>
      <c r="L236" s="3">
        <f>SUM($I$2:$I236)</f>
        <v>4290300</v>
      </c>
      <c r="M236" s="3">
        <f>SUM($J$2:$J236)</f>
        <v>12927439</v>
      </c>
      <c r="N236" s="2">
        <f>SUM($D$2:$D236)</f>
        <v>799.8</v>
      </c>
      <c r="O236" s="2">
        <f t="shared" si="15"/>
        <v>4.7662806205818961E-2</v>
      </c>
      <c r="P236" s="2" cm="1">
        <f t="array" ref="P236">SUMPRODUCT((O236&gt;$T$9:$T$14)*(O236&lt;=$U$9:$U$14),$S$9:$S$14)</f>
        <v>1</v>
      </c>
    </row>
    <row r="237" spans="1:16" x14ac:dyDescent="0.25">
      <c r="A237">
        <v>634</v>
      </c>
      <c r="B237">
        <v>1421</v>
      </c>
      <c r="C237">
        <v>861</v>
      </c>
      <c r="D237">
        <v>1.38</v>
      </c>
      <c r="E237">
        <v>14600</v>
      </c>
      <c r="F237">
        <v>0</v>
      </c>
      <c r="G237">
        <v>14600000</v>
      </c>
      <c r="H237">
        <v>7</v>
      </c>
      <c r="I237">
        <v>9150</v>
      </c>
      <c r="J237" s="2">
        <f t="shared" si="14"/>
        <v>12626.999999999998</v>
      </c>
      <c r="K237">
        <v>236</v>
      </c>
      <c r="L237" s="3">
        <f>SUM($I$2:$I237)</f>
        <v>4299450</v>
      </c>
      <c r="M237" s="3">
        <f>SUM($J$2:$J237)</f>
        <v>12940066</v>
      </c>
      <c r="N237" s="2">
        <f>SUM($D$2:$D237)</f>
        <v>801.18</v>
      </c>
      <c r="O237" s="2">
        <f t="shared" si="15"/>
        <v>4.7745045106249107E-2</v>
      </c>
      <c r="P237" s="2" cm="1">
        <f t="array" ref="P237">SUMPRODUCT((O237&gt;$T$9:$T$14)*(O237&lt;=$U$9:$U$14),$S$9:$S$14)</f>
        <v>1</v>
      </c>
    </row>
    <row r="238" spans="1:16" x14ac:dyDescent="0.25">
      <c r="A238">
        <v>3</v>
      </c>
      <c r="B238">
        <v>401</v>
      </c>
      <c r="C238">
        <v>1549</v>
      </c>
      <c r="D238">
        <v>11.19</v>
      </c>
      <c r="E238">
        <v>47850</v>
      </c>
      <c r="F238">
        <v>0</v>
      </c>
      <c r="G238">
        <v>47850000</v>
      </c>
      <c r="H238">
        <v>401</v>
      </c>
      <c r="I238">
        <v>9100</v>
      </c>
      <c r="J238" s="2">
        <f t="shared" si="14"/>
        <v>101829</v>
      </c>
      <c r="K238">
        <v>237</v>
      </c>
      <c r="L238" s="3">
        <f>SUM($I$2:$I238)</f>
        <v>4308550</v>
      </c>
      <c r="M238" s="3">
        <f>SUM($J$2:$J238)</f>
        <v>13041895</v>
      </c>
      <c r="N238" s="2">
        <f>SUM($D$2:$D238)</f>
        <v>812.37</v>
      </c>
      <c r="O238" s="2">
        <f t="shared" si="15"/>
        <v>4.8411895320606593E-2</v>
      </c>
      <c r="P238" s="2" cm="1">
        <f t="array" ref="P238">SUMPRODUCT((O238&gt;$T$9:$T$14)*(O238&lt;=$U$9:$U$14),$S$9:$S$14)</f>
        <v>1</v>
      </c>
    </row>
    <row r="239" spans="1:16" x14ac:dyDescent="0.25">
      <c r="A239">
        <v>61</v>
      </c>
      <c r="B239">
        <v>857</v>
      </c>
      <c r="C239">
        <v>1613</v>
      </c>
      <c r="D239">
        <v>2.23</v>
      </c>
      <c r="E239">
        <v>48469</v>
      </c>
      <c r="F239">
        <v>0</v>
      </c>
      <c r="G239">
        <v>48469000</v>
      </c>
      <c r="H239">
        <v>404</v>
      </c>
      <c r="I239">
        <v>9100</v>
      </c>
      <c r="J239" s="2">
        <f t="shared" si="14"/>
        <v>20293</v>
      </c>
      <c r="K239">
        <v>238</v>
      </c>
      <c r="L239" s="3">
        <f>SUM($I$2:$I239)</f>
        <v>4317650</v>
      </c>
      <c r="M239" s="3">
        <f>SUM($J$2:$J239)</f>
        <v>13062188</v>
      </c>
      <c r="N239" s="2">
        <f>SUM($D$2:$D239)</f>
        <v>814.6</v>
      </c>
      <c r="O239" s="2">
        <f t="shared" si="15"/>
        <v>4.8544788616229219E-2</v>
      </c>
      <c r="P239" s="2" cm="1">
        <f t="array" ref="P239">SUMPRODUCT((O239&gt;$T$9:$T$14)*(O239&lt;=$U$9:$U$14),$S$9:$S$14)</f>
        <v>1</v>
      </c>
    </row>
    <row r="240" spans="1:16" x14ac:dyDescent="0.25">
      <c r="A240">
        <v>28</v>
      </c>
      <c r="B240">
        <v>824</v>
      </c>
      <c r="C240">
        <v>1578</v>
      </c>
      <c r="D240">
        <v>12.98</v>
      </c>
      <c r="E240">
        <v>47870</v>
      </c>
      <c r="F240">
        <v>0</v>
      </c>
      <c r="G240">
        <v>47870000</v>
      </c>
      <c r="H240">
        <v>401</v>
      </c>
      <c r="I240">
        <v>9050</v>
      </c>
      <c r="J240" s="2">
        <f t="shared" si="14"/>
        <v>117469</v>
      </c>
      <c r="K240">
        <v>239</v>
      </c>
      <c r="L240" s="3">
        <f>SUM($I$2:$I240)</f>
        <v>4326700</v>
      </c>
      <c r="M240" s="3">
        <f>SUM($J$2:$J240)</f>
        <v>13179657</v>
      </c>
      <c r="N240" s="2">
        <f>SUM($D$2:$D240)</f>
        <v>827.58</v>
      </c>
      <c r="O240" s="2">
        <f t="shared" si="15"/>
        <v>4.9318311027521461E-2</v>
      </c>
      <c r="P240" s="2" cm="1">
        <f t="array" ref="P240">SUMPRODUCT((O240&gt;$T$9:$T$14)*(O240&lt;=$U$9:$U$14),$S$9:$S$14)</f>
        <v>1</v>
      </c>
    </row>
    <row r="241" spans="1:16" x14ac:dyDescent="0.25">
      <c r="A241">
        <v>1434</v>
      </c>
      <c r="B241">
        <v>266</v>
      </c>
      <c r="C241">
        <v>1389</v>
      </c>
      <c r="D241">
        <v>2.39</v>
      </c>
      <c r="E241">
        <v>46880</v>
      </c>
      <c r="F241">
        <v>0</v>
      </c>
      <c r="G241">
        <v>46880000</v>
      </c>
      <c r="H241">
        <v>400</v>
      </c>
      <c r="I241">
        <v>9050</v>
      </c>
      <c r="J241" s="2">
        <f t="shared" si="14"/>
        <v>21629.5</v>
      </c>
      <c r="K241">
        <v>240</v>
      </c>
      <c r="L241" s="3">
        <f>SUM($I$2:$I241)</f>
        <v>4335750</v>
      </c>
      <c r="M241" s="3">
        <f>SUM($J$2:$J241)</f>
        <v>13201286.5</v>
      </c>
      <c r="N241" s="2">
        <f>SUM($D$2:$D241)</f>
        <v>829.97</v>
      </c>
      <c r="O241" s="2">
        <f t="shared" si="15"/>
        <v>4.9460739268121494E-2</v>
      </c>
      <c r="P241" s="2" cm="1">
        <f t="array" ref="P241">SUMPRODUCT((O241&gt;$T$9:$T$14)*(O241&lt;=$U$9:$U$14),$S$9:$S$14)</f>
        <v>1</v>
      </c>
    </row>
    <row r="242" spans="1:16" x14ac:dyDescent="0.25">
      <c r="A242">
        <v>71</v>
      </c>
      <c r="B242">
        <v>867</v>
      </c>
      <c r="C242">
        <v>1623</v>
      </c>
      <c r="D242">
        <v>8.8800000000000008</v>
      </c>
      <c r="E242">
        <v>47845</v>
      </c>
      <c r="F242">
        <v>0</v>
      </c>
      <c r="G242">
        <v>47845000</v>
      </c>
      <c r="H242">
        <v>401</v>
      </c>
      <c r="I242">
        <v>9000</v>
      </c>
      <c r="J242" s="2">
        <f t="shared" si="14"/>
        <v>79920</v>
      </c>
      <c r="K242">
        <v>241</v>
      </c>
      <c r="L242" s="3">
        <f>SUM($I$2:$I242)</f>
        <v>4344750</v>
      </c>
      <c r="M242" s="3">
        <f>SUM($J$2:$J242)</f>
        <v>13281206.5</v>
      </c>
      <c r="N242" s="2">
        <f>SUM($D$2:$D242)</f>
        <v>838.85</v>
      </c>
      <c r="O242" s="2">
        <f t="shared" si="15"/>
        <v>4.9989928714367644E-2</v>
      </c>
      <c r="P242" s="2" cm="1">
        <f t="array" ref="P242">SUMPRODUCT((O242&gt;$T$9:$T$14)*(O242&lt;=$U$9:$U$14),$S$9:$S$14)</f>
        <v>1</v>
      </c>
    </row>
    <row r="243" spans="1:16" x14ac:dyDescent="0.25">
      <c r="A243">
        <v>364</v>
      </c>
      <c r="B243">
        <v>1159</v>
      </c>
      <c r="C243">
        <v>2043</v>
      </c>
      <c r="D243">
        <v>7.28</v>
      </c>
      <c r="E243">
        <v>47890</v>
      </c>
      <c r="F243">
        <v>0</v>
      </c>
      <c r="G243">
        <v>47890000</v>
      </c>
      <c r="H243">
        <v>401</v>
      </c>
      <c r="I243">
        <v>9000</v>
      </c>
      <c r="J243" s="2">
        <f t="shared" si="14"/>
        <v>65520</v>
      </c>
      <c r="K243">
        <v>242</v>
      </c>
      <c r="L243" s="3">
        <f>SUM($I$2:$I243)</f>
        <v>4353750</v>
      </c>
      <c r="M243" s="3">
        <f>SUM($J$2:$J243)</f>
        <v>13346726.5</v>
      </c>
      <c r="N243" s="2">
        <f>SUM($D$2:$D243)</f>
        <v>846.13</v>
      </c>
      <c r="O243" s="2">
        <f t="shared" si="15"/>
        <v>5.0423768710839714E-2</v>
      </c>
      <c r="P243" s="2" cm="1">
        <f t="array" ref="P243">SUMPRODUCT((O243&gt;$T$9:$T$14)*(O243&lt;=$U$9:$U$14),$S$9:$S$14)</f>
        <v>2</v>
      </c>
    </row>
    <row r="244" spans="1:16" x14ac:dyDescent="0.25">
      <c r="A244">
        <v>359</v>
      </c>
      <c r="B244">
        <v>1154</v>
      </c>
      <c r="C244">
        <v>2038</v>
      </c>
      <c r="D244">
        <v>6.85</v>
      </c>
      <c r="E244">
        <v>48332</v>
      </c>
      <c r="F244">
        <v>0</v>
      </c>
      <c r="G244">
        <v>48332000</v>
      </c>
      <c r="H244">
        <v>403</v>
      </c>
      <c r="I244">
        <v>9000</v>
      </c>
      <c r="J244" s="2">
        <f t="shared" si="14"/>
        <v>61650</v>
      </c>
      <c r="K244">
        <v>243</v>
      </c>
      <c r="L244" s="3">
        <f>SUM($I$2:$I244)</f>
        <v>4362750</v>
      </c>
      <c r="M244" s="3">
        <f>SUM($J$2:$J244)</f>
        <v>13408376.5</v>
      </c>
      <c r="N244" s="2">
        <f>SUM($D$2:$D244)</f>
        <v>852.98</v>
      </c>
      <c r="O244" s="2">
        <f t="shared" si="15"/>
        <v>5.0831983542684998E-2</v>
      </c>
      <c r="P244" s="2" cm="1">
        <f t="array" ref="P244">SUMPRODUCT((O244&gt;$T$9:$T$14)*(O244&lt;=$U$9:$U$14),$S$9:$S$14)</f>
        <v>2</v>
      </c>
    </row>
    <row r="245" spans="1:16" x14ac:dyDescent="0.25">
      <c r="A245">
        <v>1612</v>
      </c>
      <c r="B245">
        <v>1612</v>
      </c>
      <c r="C245">
        <v>2102</v>
      </c>
      <c r="D245">
        <v>11.18</v>
      </c>
      <c r="E245">
        <v>47430</v>
      </c>
      <c r="F245">
        <v>0</v>
      </c>
      <c r="G245">
        <v>47430000</v>
      </c>
      <c r="H245">
        <v>401</v>
      </c>
      <c r="I245">
        <v>8950</v>
      </c>
      <c r="J245" s="2">
        <f t="shared" si="14"/>
        <v>100061</v>
      </c>
      <c r="K245">
        <v>244</v>
      </c>
      <c r="L245" s="3">
        <f>SUM($I$2:$I245)</f>
        <v>4371700</v>
      </c>
      <c r="M245" s="3">
        <f>SUM($J$2:$J245)</f>
        <v>13508437.5</v>
      </c>
      <c r="N245" s="2">
        <f>SUM($D$2:$D245)</f>
        <v>864.16</v>
      </c>
      <c r="O245" s="2">
        <f t="shared" si="15"/>
        <v>5.1498237822981394E-2</v>
      </c>
      <c r="P245" s="2" cm="1">
        <f t="array" ref="P245">SUMPRODUCT((O245&gt;$T$9:$T$14)*(O245&lt;=$U$9:$U$14),$S$9:$S$14)</f>
        <v>2</v>
      </c>
    </row>
    <row r="246" spans="1:16" x14ac:dyDescent="0.25">
      <c r="A246">
        <v>88</v>
      </c>
      <c r="B246">
        <v>884</v>
      </c>
      <c r="C246">
        <v>1641</v>
      </c>
      <c r="D246">
        <v>10.19</v>
      </c>
      <c r="E246">
        <v>47510</v>
      </c>
      <c r="F246">
        <v>0</v>
      </c>
      <c r="G246">
        <v>47510000</v>
      </c>
      <c r="H246">
        <v>401</v>
      </c>
      <c r="I246">
        <v>8950</v>
      </c>
      <c r="J246" s="2">
        <f t="shared" si="14"/>
        <v>91200.5</v>
      </c>
      <c r="K246">
        <v>245</v>
      </c>
      <c r="L246" s="3">
        <f>SUM($I$2:$I246)</f>
        <v>4380650</v>
      </c>
      <c r="M246" s="3">
        <f>SUM($J$2:$J246)</f>
        <v>13599638</v>
      </c>
      <c r="N246" s="2">
        <f>SUM($D$2:$D246)</f>
        <v>874.35</v>
      </c>
      <c r="O246" s="2">
        <f t="shared" si="15"/>
        <v>5.2105494631230077E-2</v>
      </c>
      <c r="P246" s="2" cm="1">
        <f t="array" ref="P246">SUMPRODUCT((O246&gt;$T$9:$T$14)*(O246&lt;=$U$9:$U$14),$S$9:$S$14)</f>
        <v>2</v>
      </c>
    </row>
    <row r="247" spans="1:16" x14ac:dyDescent="0.25">
      <c r="A247">
        <v>81</v>
      </c>
      <c r="B247">
        <v>877</v>
      </c>
      <c r="C247">
        <v>1634</v>
      </c>
      <c r="D247">
        <v>12.55</v>
      </c>
      <c r="E247">
        <v>47830</v>
      </c>
      <c r="F247">
        <v>0</v>
      </c>
      <c r="G247">
        <v>47830000</v>
      </c>
      <c r="H247">
        <v>401</v>
      </c>
      <c r="I247">
        <v>8900</v>
      </c>
      <c r="J247" s="2">
        <f t="shared" si="14"/>
        <v>111695</v>
      </c>
      <c r="K247">
        <v>246</v>
      </c>
      <c r="L247" s="3">
        <f>SUM($I$2:$I247)</f>
        <v>4389550</v>
      </c>
      <c r="M247" s="3">
        <f>SUM($J$2:$J247)</f>
        <v>13711333</v>
      </c>
      <c r="N247" s="2">
        <f>SUM($D$2:$D247)</f>
        <v>886.9</v>
      </c>
      <c r="O247" s="2">
        <f t="shared" si="15"/>
        <v>5.2853391877895527E-2</v>
      </c>
      <c r="P247" s="2" cm="1">
        <f t="array" ref="P247">SUMPRODUCT((O247&gt;$T$9:$T$14)*(O247&lt;=$U$9:$U$14),$S$9:$S$14)</f>
        <v>2</v>
      </c>
    </row>
    <row r="248" spans="1:16" x14ac:dyDescent="0.25">
      <c r="A248">
        <v>357</v>
      </c>
      <c r="B248">
        <v>1152</v>
      </c>
      <c r="C248">
        <v>2036</v>
      </c>
      <c r="D248">
        <v>6.7</v>
      </c>
      <c r="E248">
        <v>47840</v>
      </c>
      <c r="F248">
        <v>0</v>
      </c>
      <c r="G248">
        <v>47840000</v>
      </c>
      <c r="H248">
        <v>401</v>
      </c>
      <c r="I248">
        <v>8900</v>
      </c>
      <c r="J248" s="2">
        <f t="shared" si="14"/>
        <v>59630</v>
      </c>
      <c r="K248">
        <v>247</v>
      </c>
      <c r="L248" s="3">
        <f>SUM($I$2:$I248)</f>
        <v>4398450</v>
      </c>
      <c r="M248" s="3">
        <f>SUM($J$2:$J248)</f>
        <v>13770963</v>
      </c>
      <c r="N248" s="2">
        <f>SUM($D$2:$D248)</f>
        <v>893.6</v>
      </c>
      <c r="O248" s="2">
        <f t="shared" si="15"/>
        <v>5.3252667698824495E-2</v>
      </c>
      <c r="P248" s="2" cm="1">
        <f t="array" ref="P248">SUMPRODUCT((O248&gt;$T$9:$T$14)*(O248&lt;=$U$9:$U$14),$S$9:$S$14)</f>
        <v>2</v>
      </c>
    </row>
    <row r="249" spans="1:16" x14ac:dyDescent="0.25">
      <c r="A249">
        <v>1603</v>
      </c>
      <c r="B249">
        <v>1603</v>
      </c>
      <c r="C249">
        <v>2092</v>
      </c>
      <c r="D249">
        <v>8.3699999999999992</v>
      </c>
      <c r="E249">
        <v>47910</v>
      </c>
      <c r="F249">
        <v>0</v>
      </c>
      <c r="G249">
        <v>47910000</v>
      </c>
      <c r="H249">
        <v>401</v>
      </c>
      <c r="I249">
        <v>8850</v>
      </c>
      <c r="J249" s="2">
        <f t="shared" si="14"/>
        <v>74074.5</v>
      </c>
      <c r="K249">
        <v>248</v>
      </c>
      <c r="L249" s="3">
        <f>SUM($I$2:$I249)</f>
        <v>4407300</v>
      </c>
      <c r="M249" s="3">
        <f>SUM($J$2:$J249)</f>
        <v>13845037.5</v>
      </c>
      <c r="N249" s="2">
        <f>SUM($D$2:$D249)</f>
        <v>901.97</v>
      </c>
      <c r="O249" s="2">
        <f t="shared" si="15"/>
        <v>5.3751464507955156E-2</v>
      </c>
      <c r="P249" s="2" cm="1">
        <f t="array" ref="P249">SUMPRODUCT((O249&gt;$T$9:$T$14)*(O249&lt;=$U$9:$U$14),$S$9:$S$14)</f>
        <v>2</v>
      </c>
    </row>
    <row r="250" spans="1:16" x14ac:dyDescent="0.25">
      <c r="A250">
        <v>1826</v>
      </c>
      <c r="B250">
        <v>1826</v>
      </c>
      <c r="C250">
        <v>0</v>
      </c>
      <c r="D250">
        <v>0.54</v>
      </c>
      <c r="E250">
        <v>12265</v>
      </c>
      <c r="F250">
        <v>0</v>
      </c>
      <c r="G250">
        <v>12265000</v>
      </c>
      <c r="H250">
        <v>3</v>
      </c>
      <c r="I250">
        <v>8850</v>
      </c>
      <c r="J250" s="2">
        <f t="shared" si="14"/>
        <v>4779</v>
      </c>
      <c r="K250">
        <v>249</v>
      </c>
      <c r="L250" s="3">
        <f>SUM($I$2:$I250)</f>
        <v>4416150</v>
      </c>
      <c r="M250" s="3">
        <f>SUM($J$2:$J250)</f>
        <v>13849816.5</v>
      </c>
      <c r="N250" s="2">
        <f>SUM($D$2:$D250)</f>
        <v>902.51</v>
      </c>
      <c r="O250" s="2">
        <f t="shared" si="15"/>
        <v>5.3783644947253906E-2</v>
      </c>
      <c r="P250" s="2" cm="1">
        <f t="array" ref="P250">SUMPRODUCT((O250&gt;$T$9:$T$14)*(O250&lt;=$U$9:$U$14),$S$9:$S$14)</f>
        <v>2</v>
      </c>
    </row>
    <row r="251" spans="1:16" x14ac:dyDescent="0.25">
      <c r="A251">
        <v>1616</v>
      </c>
      <c r="B251">
        <v>1616</v>
      </c>
      <c r="C251">
        <v>2108</v>
      </c>
      <c r="D251">
        <v>11.89</v>
      </c>
      <c r="E251">
        <v>47420</v>
      </c>
      <c r="F251">
        <v>0</v>
      </c>
      <c r="G251">
        <v>47420000</v>
      </c>
      <c r="H251">
        <v>401</v>
      </c>
      <c r="I251">
        <v>8800</v>
      </c>
      <c r="J251" s="2">
        <f t="shared" si="14"/>
        <v>104632</v>
      </c>
      <c r="K251">
        <v>250</v>
      </c>
      <c r="L251" s="3">
        <f>SUM($I$2:$I251)</f>
        <v>4424950</v>
      </c>
      <c r="M251" s="3">
        <f>SUM($J$2:$J251)</f>
        <v>13954448.5</v>
      </c>
      <c r="N251" s="2">
        <f>SUM($D$2:$D251)</f>
        <v>914.4</v>
      </c>
      <c r="O251" s="2">
        <f t="shared" si="15"/>
        <v>5.449221054588755E-2</v>
      </c>
      <c r="P251" s="2" cm="1">
        <f t="array" ref="P251">SUMPRODUCT((O251&gt;$T$9:$T$14)*(O251&lt;=$U$9:$U$14),$S$9:$S$14)</f>
        <v>2</v>
      </c>
    </row>
    <row r="252" spans="1:16" x14ac:dyDescent="0.25">
      <c r="A252">
        <v>1643</v>
      </c>
      <c r="B252">
        <v>1643</v>
      </c>
      <c r="C252">
        <v>2138</v>
      </c>
      <c r="D252">
        <v>7.89</v>
      </c>
      <c r="E252">
        <v>47880</v>
      </c>
      <c r="F252">
        <v>0</v>
      </c>
      <c r="G252">
        <v>47880000</v>
      </c>
      <c r="H252">
        <v>401</v>
      </c>
      <c r="I252">
        <v>8800</v>
      </c>
      <c r="J252" s="2">
        <f t="shared" si="14"/>
        <v>69432</v>
      </c>
      <c r="K252">
        <v>251</v>
      </c>
      <c r="L252" s="3">
        <f>SUM($I$2:$I252)</f>
        <v>4433750</v>
      </c>
      <c r="M252" s="3">
        <f>SUM($J$2:$J252)</f>
        <v>14023880.5</v>
      </c>
      <c r="N252" s="2">
        <f>SUM($D$2:$D252)</f>
        <v>922.29</v>
      </c>
      <c r="O252" s="2">
        <f t="shared" si="15"/>
        <v>5.4962402520085989E-2</v>
      </c>
      <c r="P252" s="2" cm="1">
        <f t="array" ref="P252">SUMPRODUCT((O252&gt;$T$9:$T$14)*(O252&lt;=$U$9:$U$14),$S$9:$S$14)</f>
        <v>2</v>
      </c>
    </row>
    <row r="253" spans="1:16" x14ac:dyDescent="0.25">
      <c r="A253">
        <v>1600</v>
      </c>
      <c r="B253">
        <v>1600</v>
      </c>
      <c r="C253">
        <v>2089</v>
      </c>
      <c r="D253">
        <v>3.4</v>
      </c>
      <c r="E253">
        <v>47435</v>
      </c>
      <c r="F253">
        <v>0</v>
      </c>
      <c r="G253">
        <v>47435000</v>
      </c>
      <c r="H253">
        <v>401</v>
      </c>
      <c r="I253">
        <v>8800</v>
      </c>
      <c r="J253" s="2">
        <f t="shared" si="14"/>
        <v>29920</v>
      </c>
      <c r="K253">
        <v>252</v>
      </c>
      <c r="L253" s="3">
        <f>SUM($I$2:$I253)</f>
        <v>4442550</v>
      </c>
      <c r="M253" s="3">
        <f>SUM($J$2:$J253)</f>
        <v>14053800.5</v>
      </c>
      <c r="N253" s="2">
        <f>SUM($D$2:$D253)</f>
        <v>925.68999999999994</v>
      </c>
      <c r="O253" s="2">
        <f t="shared" si="15"/>
        <v>5.5165020100855909E-2</v>
      </c>
      <c r="P253" s="2" cm="1">
        <f t="array" ref="P253">SUMPRODUCT((O253&gt;$T$9:$T$14)*(O253&lt;=$U$9:$U$14),$S$9:$S$14)</f>
        <v>2</v>
      </c>
    </row>
    <row r="254" spans="1:16" x14ac:dyDescent="0.25">
      <c r="A254">
        <v>30</v>
      </c>
      <c r="B254">
        <v>826</v>
      </c>
      <c r="C254">
        <v>1580</v>
      </c>
      <c r="D254">
        <v>1.93</v>
      </c>
      <c r="E254">
        <v>49480</v>
      </c>
      <c r="F254">
        <v>0</v>
      </c>
      <c r="G254">
        <v>49480000</v>
      </c>
      <c r="H254">
        <v>417</v>
      </c>
      <c r="I254">
        <v>8800</v>
      </c>
      <c r="J254" s="2">
        <f t="shared" si="14"/>
        <v>16984</v>
      </c>
      <c r="K254">
        <v>253</v>
      </c>
      <c r="L254" s="3">
        <f>SUM($I$2:$I254)</f>
        <v>4451350</v>
      </c>
      <c r="M254" s="3">
        <f>SUM($J$2:$J254)</f>
        <v>14070784.5</v>
      </c>
      <c r="N254" s="2">
        <f>SUM($D$2:$D254)</f>
        <v>927.61999999999989</v>
      </c>
      <c r="O254" s="2">
        <f t="shared" si="15"/>
        <v>5.5280035374645889E-2</v>
      </c>
      <c r="P254" s="2" cm="1">
        <f t="array" ref="P254">SUMPRODUCT((O254&gt;$T$9:$T$14)*(O254&lt;=$U$9:$U$14),$S$9:$S$14)</f>
        <v>2</v>
      </c>
    </row>
    <row r="255" spans="1:16" x14ac:dyDescent="0.25">
      <c r="A255">
        <v>1636</v>
      </c>
      <c r="B255">
        <v>1636</v>
      </c>
      <c r="C255">
        <v>2131</v>
      </c>
      <c r="D255">
        <v>13.08</v>
      </c>
      <c r="E255">
        <v>47390</v>
      </c>
      <c r="F255">
        <v>0</v>
      </c>
      <c r="G255">
        <v>47390000</v>
      </c>
      <c r="H255">
        <v>401</v>
      </c>
      <c r="I255">
        <v>8750</v>
      </c>
      <c r="J255" s="2">
        <f t="shared" si="14"/>
        <v>114450</v>
      </c>
      <c r="K255">
        <v>254</v>
      </c>
      <c r="L255" s="3">
        <f>SUM($I$2:$I255)</f>
        <v>4460100</v>
      </c>
      <c r="M255" s="3">
        <f>SUM($J$2:$J255)</f>
        <v>14185234.5</v>
      </c>
      <c r="N255" s="2">
        <f>SUM($D$2:$D255)</f>
        <v>940.69999999999993</v>
      </c>
      <c r="O255" s="2">
        <f t="shared" si="15"/>
        <v>5.6059517126549011E-2</v>
      </c>
      <c r="P255" s="2" cm="1">
        <f t="array" ref="P255">SUMPRODUCT((O255&gt;$T$9:$T$14)*(O255&lt;=$U$9:$U$14),$S$9:$S$14)</f>
        <v>2</v>
      </c>
    </row>
    <row r="256" spans="1:16" x14ac:dyDescent="0.25">
      <c r="A256">
        <v>1599</v>
      </c>
      <c r="B256">
        <v>1599</v>
      </c>
      <c r="C256">
        <v>2088</v>
      </c>
      <c r="D256">
        <v>8.3000000000000007</v>
      </c>
      <c r="E256">
        <v>47440</v>
      </c>
      <c r="F256">
        <v>0</v>
      </c>
      <c r="G256">
        <v>47440000</v>
      </c>
      <c r="H256">
        <v>401</v>
      </c>
      <c r="I256">
        <v>8750</v>
      </c>
      <c r="J256" s="2">
        <f t="shared" si="14"/>
        <v>72625</v>
      </c>
      <c r="K256">
        <v>255</v>
      </c>
      <c r="L256" s="3">
        <f>SUM($I$2:$I256)</f>
        <v>4468850</v>
      </c>
      <c r="M256" s="3">
        <f>SUM($J$2:$J256)</f>
        <v>14257859.5</v>
      </c>
      <c r="N256" s="2">
        <f>SUM($D$2:$D256)</f>
        <v>948.99999999999989</v>
      </c>
      <c r="O256" s="2">
        <f t="shared" si="15"/>
        <v>5.6554142397252052E-2</v>
      </c>
      <c r="P256" s="2" cm="1">
        <f t="array" ref="P256">SUMPRODUCT((O256&gt;$T$9:$T$14)*(O256&lt;=$U$9:$U$14),$S$9:$S$14)</f>
        <v>2</v>
      </c>
    </row>
    <row r="257" spans="1:16" x14ac:dyDescent="0.25">
      <c r="A257">
        <v>1400</v>
      </c>
      <c r="B257">
        <v>232</v>
      </c>
      <c r="C257">
        <v>1349</v>
      </c>
      <c r="D257">
        <v>8.2100000000000009</v>
      </c>
      <c r="E257">
        <v>47270</v>
      </c>
      <c r="F257">
        <v>0</v>
      </c>
      <c r="G257">
        <v>47270000</v>
      </c>
      <c r="H257">
        <v>401</v>
      </c>
      <c r="I257">
        <v>8700</v>
      </c>
      <c r="J257" s="2">
        <f t="shared" si="14"/>
        <v>71427.000000000015</v>
      </c>
      <c r="K257">
        <v>256</v>
      </c>
      <c r="L257" s="3">
        <f>SUM($I$2:$I257)</f>
        <v>4477550</v>
      </c>
      <c r="M257" s="3">
        <f>SUM($J$2:$J257)</f>
        <v>14329286.5</v>
      </c>
      <c r="N257" s="2">
        <f>SUM($D$2:$D257)</f>
        <v>957.20999999999992</v>
      </c>
      <c r="O257" s="2">
        <f t="shared" si="15"/>
        <v>5.7043404261405313E-2</v>
      </c>
      <c r="P257" s="2" cm="1">
        <f t="array" ref="P257">SUMPRODUCT((O257&gt;$T$9:$T$14)*(O257&lt;=$U$9:$U$14),$S$9:$S$14)</f>
        <v>2</v>
      </c>
    </row>
    <row r="258" spans="1:16" x14ac:dyDescent="0.25">
      <c r="A258">
        <v>46</v>
      </c>
      <c r="B258">
        <v>842</v>
      </c>
      <c r="C258">
        <v>1597</v>
      </c>
      <c r="D258">
        <v>1.7</v>
      </c>
      <c r="E258">
        <v>49369</v>
      </c>
      <c r="F258">
        <v>0</v>
      </c>
      <c r="G258">
        <v>49369000</v>
      </c>
      <c r="H258">
        <v>417</v>
      </c>
      <c r="I258">
        <v>8700</v>
      </c>
      <c r="J258" s="2">
        <f t="shared" ref="J258:J321" si="16">I258*D258</f>
        <v>14790</v>
      </c>
      <c r="K258">
        <v>257</v>
      </c>
      <c r="L258" s="3">
        <f>SUM($I$2:$I258)</f>
        <v>4486250</v>
      </c>
      <c r="M258" s="3">
        <f>SUM($J$2:$J258)</f>
        <v>14344076.5</v>
      </c>
      <c r="N258" s="2">
        <f>SUM($D$2:$D258)</f>
        <v>958.91</v>
      </c>
      <c r="O258" s="2">
        <f t="shared" ref="O258:O321" si="17">N258/$T$4</f>
        <v>5.714471305179028E-2</v>
      </c>
      <c r="P258" s="2" cm="1">
        <f t="array" ref="P258">SUMPRODUCT((O258&gt;$T$9:$T$14)*(O258&lt;=$U$9:$U$14),$S$9:$S$14)</f>
        <v>2</v>
      </c>
    </row>
    <row r="259" spans="1:16" x14ac:dyDescent="0.25">
      <c r="A259">
        <v>1641</v>
      </c>
      <c r="B259">
        <v>1641</v>
      </c>
      <c r="C259">
        <v>2136</v>
      </c>
      <c r="D259">
        <v>1.52</v>
      </c>
      <c r="E259">
        <v>47384</v>
      </c>
      <c r="F259">
        <v>0</v>
      </c>
      <c r="G259">
        <v>47384000</v>
      </c>
      <c r="H259">
        <v>401</v>
      </c>
      <c r="I259">
        <v>8700</v>
      </c>
      <c r="J259" s="2">
        <f t="shared" si="16"/>
        <v>13224</v>
      </c>
      <c r="K259">
        <v>258</v>
      </c>
      <c r="L259" s="3">
        <f>SUM($I$2:$I259)</f>
        <v>4494950</v>
      </c>
      <c r="M259" s="3">
        <f>SUM($J$2:$J259)</f>
        <v>14357300.5</v>
      </c>
      <c r="N259" s="2">
        <f>SUM($D$2:$D259)</f>
        <v>960.43</v>
      </c>
      <c r="O259" s="2">
        <f t="shared" si="17"/>
        <v>5.723529502907565E-2</v>
      </c>
      <c r="P259" s="2" cm="1">
        <f t="array" ref="P259">SUMPRODUCT((O259&gt;$T$9:$T$14)*(O259&lt;=$U$9:$U$14),$S$9:$S$14)</f>
        <v>2</v>
      </c>
    </row>
    <row r="260" spans="1:16" x14ac:dyDescent="0.25">
      <c r="A260">
        <v>1433</v>
      </c>
      <c r="B260">
        <v>265</v>
      </c>
      <c r="C260">
        <v>1388</v>
      </c>
      <c r="D260">
        <v>2.3199999999999998</v>
      </c>
      <c r="E260">
        <v>46890</v>
      </c>
      <c r="F260">
        <v>0</v>
      </c>
      <c r="G260">
        <v>46890000</v>
      </c>
      <c r="H260">
        <v>400</v>
      </c>
      <c r="I260">
        <v>8650</v>
      </c>
      <c r="J260" s="2">
        <f t="shared" si="16"/>
        <v>20068</v>
      </c>
      <c r="K260">
        <v>259</v>
      </c>
      <c r="L260" s="3">
        <f>SUM($I$2:$I260)</f>
        <v>4503600</v>
      </c>
      <c r="M260" s="3">
        <f>SUM($J$2:$J260)</f>
        <v>14377368.5</v>
      </c>
      <c r="N260" s="2">
        <f>SUM($D$2:$D260)</f>
        <v>962.75</v>
      </c>
      <c r="O260" s="2">
        <f t="shared" si="17"/>
        <v>5.7373551731248078E-2</v>
      </c>
      <c r="P260" s="2" cm="1">
        <f t="array" ref="P260">SUMPRODUCT((O260&gt;$T$9:$T$14)*(O260&lt;=$U$9:$U$14),$S$9:$S$14)</f>
        <v>2</v>
      </c>
    </row>
    <row r="261" spans="1:16" x14ac:dyDescent="0.25">
      <c r="A261">
        <v>47</v>
      </c>
      <c r="B261">
        <v>843</v>
      </c>
      <c r="C261">
        <v>1598</v>
      </c>
      <c r="D261">
        <v>7.09</v>
      </c>
      <c r="E261">
        <v>47940</v>
      </c>
      <c r="F261">
        <v>0</v>
      </c>
      <c r="G261">
        <v>47940000</v>
      </c>
      <c r="H261">
        <v>401</v>
      </c>
      <c r="I261">
        <v>8600</v>
      </c>
      <c r="J261" s="2">
        <f t="shared" si="16"/>
        <v>60974</v>
      </c>
      <c r="K261">
        <v>260</v>
      </c>
      <c r="L261" s="3">
        <f>SUM($I$2:$I261)</f>
        <v>4512200</v>
      </c>
      <c r="M261" s="3">
        <f>SUM($J$2:$J261)</f>
        <v>14438342.5</v>
      </c>
      <c r="N261" s="2">
        <f>SUM($D$2:$D261)</f>
        <v>969.84</v>
      </c>
      <c r="O261" s="2">
        <f t="shared" si="17"/>
        <v>5.7796068980559473E-2</v>
      </c>
      <c r="P261" s="2" cm="1">
        <f t="array" ref="P261">SUMPRODUCT((O261&gt;$T$9:$T$14)*(O261&lt;=$U$9:$U$14),$S$9:$S$14)</f>
        <v>2</v>
      </c>
    </row>
    <row r="262" spans="1:16" x14ac:dyDescent="0.25">
      <c r="A262">
        <v>1673</v>
      </c>
      <c r="B262">
        <v>1673</v>
      </c>
      <c r="C262">
        <v>2171</v>
      </c>
      <c r="D262">
        <v>9.8000000000000007</v>
      </c>
      <c r="E262">
        <v>47340</v>
      </c>
      <c r="F262">
        <v>0</v>
      </c>
      <c r="G262">
        <v>47340000</v>
      </c>
      <c r="H262">
        <v>401</v>
      </c>
      <c r="I262">
        <v>8500</v>
      </c>
      <c r="J262" s="2">
        <f t="shared" si="16"/>
        <v>83300</v>
      </c>
      <c r="K262">
        <v>261</v>
      </c>
      <c r="L262" s="3">
        <f>SUM($I$2:$I262)</f>
        <v>4520700</v>
      </c>
      <c r="M262" s="3">
        <f>SUM($J$2:$J262)</f>
        <v>14521642.5</v>
      </c>
      <c r="N262" s="2">
        <f>SUM($D$2:$D262)</f>
        <v>979.64</v>
      </c>
      <c r="O262" s="2">
        <f t="shared" si="17"/>
        <v>5.8380084360425723E-2</v>
      </c>
      <c r="P262" s="2" cm="1">
        <f t="array" ref="P262">SUMPRODUCT((O262&gt;$T$9:$T$14)*(O262&lt;=$U$9:$U$14),$S$9:$S$14)</f>
        <v>2</v>
      </c>
    </row>
    <row r="263" spans="1:16" x14ac:dyDescent="0.25">
      <c r="A263">
        <v>1613</v>
      </c>
      <c r="B263">
        <v>1613</v>
      </c>
      <c r="C263">
        <v>2103</v>
      </c>
      <c r="D263">
        <v>5.6</v>
      </c>
      <c r="E263">
        <v>47425</v>
      </c>
      <c r="F263">
        <v>0</v>
      </c>
      <c r="G263">
        <v>47425000</v>
      </c>
      <c r="H263">
        <v>401</v>
      </c>
      <c r="I263">
        <v>8500</v>
      </c>
      <c r="J263" s="2">
        <f t="shared" si="16"/>
        <v>47600</v>
      </c>
      <c r="K263">
        <v>262</v>
      </c>
      <c r="L263" s="3">
        <f>SUM($I$2:$I263)</f>
        <v>4529200</v>
      </c>
      <c r="M263" s="3">
        <f>SUM($J$2:$J263)</f>
        <v>14569242.5</v>
      </c>
      <c r="N263" s="2">
        <f>SUM($D$2:$D263)</f>
        <v>985.24</v>
      </c>
      <c r="O263" s="2">
        <f t="shared" si="17"/>
        <v>5.8713807434635008E-2</v>
      </c>
      <c r="P263" s="2" cm="1">
        <f t="array" ref="P263">SUMPRODUCT((O263&gt;$T$9:$T$14)*(O263&lt;=$U$9:$U$14),$S$9:$S$14)</f>
        <v>2</v>
      </c>
    </row>
    <row r="264" spans="1:16" x14ac:dyDescent="0.25">
      <c r="A264">
        <v>1402</v>
      </c>
      <c r="B264">
        <v>234</v>
      </c>
      <c r="C264">
        <v>1351</v>
      </c>
      <c r="D264">
        <v>3.02</v>
      </c>
      <c r="E264">
        <v>47250</v>
      </c>
      <c r="F264">
        <v>0</v>
      </c>
      <c r="G264">
        <v>47250000</v>
      </c>
      <c r="H264">
        <v>401</v>
      </c>
      <c r="I264">
        <v>8500</v>
      </c>
      <c r="J264" s="2">
        <f t="shared" si="16"/>
        <v>25670</v>
      </c>
      <c r="K264">
        <v>263</v>
      </c>
      <c r="L264" s="3">
        <f>SUM($I$2:$I264)</f>
        <v>4537700</v>
      </c>
      <c r="M264" s="3">
        <f>SUM($J$2:$J264)</f>
        <v>14594912.5</v>
      </c>
      <c r="N264" s="2">
        <f>SUM($D$2:$D264)</f>
        <v>988.26</v>
      </c>
      <c r="O264" s="2">
        <f t="shared" si="17"/>
        <v>5.8893779521083586E-2</v>
      </c>
      <c r="P264" s="2" cm="1">
        <f t="array" ref="P264">SUMPRODUCT((O264&gt;$T$9:$T$14)*(O264&lt;=$U$9:$U$14),$S$9:$S$14)</f>
        <v>2</v>
      </c>
    </row>
    <row r="265" spans="1:16" x14ac:dyDescent="0.25">
      <c r="A265">
        <v>76</v>
      </c>
      <c r="B265">
        <v>872</v>
      </c>
      <c r="C265">
        <v>1628</v>
      </c>
      <c r="D265">
        <v>2.33</v>
      </c>
      <c r="E265">
        <v>48307</v>
      </c>
      <c r="F265">
        <v>0</v>
      </c>
      <c r="G265">
        <v>48307000</v>
      </c>
      <c r="H265">
        <v>403</v>
      </c>
      <c r="I265">
        <v>8500</v>
      </c>
      <c r="J265" s="2">
        <f t="shared" si="16"/>
        <v>19805</v>
      </c>
      <c r="K265">
        <v>264</v>
      </c>
      <c r="L265" s="3">
        <f>SUM($I$2:$I265)</f>
        <v>4546200</v>
      </c>
      <c r="M265" s="3">
        <f>SUM($J$2:$J265)</f>
        <v>14614717.5</v>
      </c>
      <c r="N265" s="2">
        <f>SUM($D$2:$D265)</f>
        <v>990.59</v>
      </c>
      <c r="O265" s="2">
        <f t="shared" si="17"/>
        <v>5.9032632157317091E-2</v>
      </c>
      <c r="P265" s="2" cm="1">
        <f t="array" ref="P265">SUMPRODUCT((O265&gt;$T$9:$T$14)*(O265&lt;=$U$9:$U$14),$S$9:$S$14)</f>
        <v>2</v>
      </c>
    </row>
    <row r="266" spans="1:16" x14ac:dyDescent="0.25">
      <c r="A266">
        <v>558</v>
      </c>
      <c r="B266">
        <v>1345</v>
      </c>
      <c r="C266">
        <v>764</v>
      </c>
      <c r="D266">
        <v>4.5999999999999996</v>
      </c>
      <c r="E266">
        <v>10052</v>
      </c>
      <c r="F266">
        <v>0</v>
      </c>
      <c r="G266">
        <v>10052000</v>
      </c>
      <c r="H266" t="s">
        <v>20</v>
      </c>
      <c r="I266">
        <v>8450</v>
      </c>
      <c r="J266" s="2">
        <f t="shared" si="16"/>
        <v>38870</v>
      </c>
      <c r="K266">
        <v>265</v>
      </c>
      <c r="L266" s="3">
        <f>SUM($I$2:$I266)</f>
        <v>4554650</v>
      </c>
      <c r="M266" s="3">
        <f>SUM($J$2:$J266)</f>
        <v>14653587.5</v>
      </c>
      <c r="N266" s="2">
        <f>SUM($D$2:$D266)</f>
        <v>995.19</v>
      </c>
      <c r="O266" s="2">
        <f t="shared" si="17"/>
        <v>5.9306761825417581E-2</v>
      </c>
      <c r="P266" s="2" cm="1">
        <f t="array" ref="P266">SUMPRODUCT((O266&gt;$T$9:$T$14)*(O266&lt;=$U$9:$U$14),$S$9:$S$14)</f>
        <v>2</v>
      </c>
    </row>
    <row r="267" spans="1:16" x14ac:dyDescent="0.25">
      <c r="A267">
        <v>1598</v>
      </c>
      <c r="B267">
        <v>1598</v>
      </c>
      <c r="C267">
        <v>2087</v>
      </c>
      <c r="D267">
        <v>4.0999999999999996</v>
      </c>
      <c r="E267">
        <v>47445</v>
      </c>
      <c r="F267">
        <v>0</v>
      </c>
      <c r="G267">
        <v>47445000</v>
      </c>
      <c r="H267">
        <v>401</v>
      </c>
      <c r="I267">
        <v>8450</v>
      </c>
      <c r="J267" s="2">
        <f t="shared" si="16"/>
        <v>34645</v>
      </c>
      <c r="K267">
        <v>266</v>
      </c>
      <c r="L267" s="3">
        <f>SUM($I$2:$I267)</f>
        <v>4563100</v>
      </c>
      <c r="M267" s="3">
        <f>SUM($J$2:$J267)</f>
        <v>14688232.5</v>
      </c>
      <c r="N267" s="2">
        <f>SUM($D$2:$D267)</f>
        <v>999.29000000000008</v>
      </c>
      <c r="O267" s="2">
        <f t="shared" si="17"/>
        <v>5.9551094790463666E-2</v>
      </c>
      <c r="P267" s="2" cm="1">
        <f t="array" ref="P267">SUMPRODUCT((O267&gt;$T$9:$T$14)*(O267&lt;=$U$9:$U$14),$S$9:$S$14)</f>
        <v>2</v>
      </c>
    </row>
    <row r="268" spans="1:16" x14ac:dyDescent="0.25">
      <c r="A268">
        <v>596</v>
      </c>
      <c r="B268">
        <v>1383</v>
      </c>
      <c r="C268">
        <v>816</v>
      </c>
      <c r="D268">
        <v>0.7</v>
      </c>
      <c r="E268">
        <v>10062</v>
      </c>
      <c r="F268">
        <v>0</v>
      </c>
      <c r="G268">
        <v>10062000</v>
      </c>
      <c r="H268" t="s">
        <v>20</v>
      </c>
      <c r="I268">
        <v>8450</v>
      </c>
      <c r="J268" s="2">
        <f t="shared" si="16"/>
        <v>5915</v>
      </c>
      <c r="K268">
        <v>267</v>
      </c>
      <c r="L268" s="3">
        <f>SUM($I$2:$I268)</f>
        <v>4571550</v>
      </c>
      <c r="M268" s="3">
        <f>SUM($J$2:$J268)</f>
        <v>14694147.5</v>
      </c>
      <c r="N268" s="2">
        <f>SUM($D$2:$D268)</f>
        <v>999.99000000000012</v>
      </c>
      <c r="O268" s="2">
        <f t="shared" si="17"/>
        <v>5.959281017473983E-2</v>
      </c>
      <c r="P268" s="2" cm="1">
        <f t="array" ref="P268">SUMPRODUCT((O268&gt;$T$9:$T$14)*(O268&lt;=$U$9:$U$14),$S$9:$S$14)</f>
        <v>2</v>
      </c>
    </row>
    <row r="269" spans="1:16" x14ac:dyDescent="0.25">
      <c r="A269">
        <v>7</v>
      </c>
      <c r="B269">
        <v>403</v>
      </c>
      <c r="C269">
        <v>1551</v>
      </c>
      <c r="D269">
        <v>2.4900000000000002</v>
      </c>
      <c r="E269">
        <v>48342</v>
      </c>
      <c r="F269">
        <v>0</v>
      </c>
      <c r="G269">
        <v>48342000</v>
      </c>
      <c r="H269">
        <v>403</v>
      </c>
      <c r="I269">
        <v>8400</v>
      </c>
      <c r="J269" s="2">
        <f t="shared" si="16"/>
        <v>20916</v>
      </c>
      <c r="K269">
        <v>268</v>
      </c>
      <c r="L269" s="3">
        <f>SUM($I$2:$I269)</f>
        <v>4579950</v>
      </c>
      <c r="M269" s="3">
        <f>SUM($J$2:$J269)</f>
        <v>14715063.5</v>
      </c>
      <c r="N269" s="2">
        <f>SUM($D$2:$D269)</f>
        <v>1002.4800000000001</v>
      </c>
      <c r="O269" s="2">
        <f t="shared" si="17"/>
        <v>5.9741197755950742E-2</v>
      </c>
      <c r="P269" s="2" cm="1">
        <f t="array" ref="P269">SUMPRODUCT((O269&gt;$T$9:$T$14)*(O269&lt;=$U$9:$U$14),$S$9:$S$14)</f>
        <v>2</v>
      </c>
    </row>
    <row r="270" spans="1:16" x14ac:dyDescent="0.25">
      <c r="A270">
        <v>1618</v>
      </c>
      <c r="B270">
        <v>1618</v>
      </c>
      <c r="C270">
        <v>2110</v>
      </c>
      <c r="D270">
        <v>3.24</v>
      </c>
      <c r="E270">
        <v>48490</v>
      </c>
      <c r="F270">
        <v>0</v>
      </c>
      <c r="G270">
        <v>48490000</v>
      </c>
      <c r="H270">
        <v>404</v>
      </c>
      <c r="I270">
        <v>8250</v>
      </c>
      <c r="J270" s="2">
        <f t="shared" si="16"/>
        <v>26730</v>
      </c>
      <c r="K270">
        <v>269</v>
      </c>
      <c r="L270" s="3">
        <f>SUM($I$2:$I270)</f>
        <v>4588200</v>
      </c>
      <c r="M270" s="3">
        <f>SUM($J$2:$J270)</f>
        <v>14741793.5</v>
      </c>
      <c r="N270" s="2">
        <f>SUM($D$2:$D270)</f>
        <v>1005.7200000000001</v>
      </c>
      <c r="O270" s="2">
        <f t="shared" si="17"/>
        <v>5.9934280391743255E-2</v>
      </c>
      <c r="P270" s="2" cm="1">
        <f t="array" ref="P270">SUMPRODUCT((O270&gt;$T$9:$T$14)*(O270&lt;=$U$9:$U$14),$S$9:$S$14)</f>
        <v>2</v>
      </c>
    </row>
    <row r="271" spans="1:16" x14ac:dyDescent="0.25">
      <c r="A271">
        <v>1431</v>
      </c>
      <c r="B271">
        <v>263</v>
      </c>
      <c r="C271">
        <v>1386</v>
      </c>
      <c r="D271">
        <v>2.71</v>
      </c>
      <c r="E271">
        <v>46904</v>
      </c>
      <c r="F271">
        <v>0</v>
      </c>
      <c r="G271">
        <v>46904000</v>
      </c>
      <c r="H271">
        <v>400</v>
      </c>
      <c r="I271">
        <v>8250</v>
      </c>
      <c r="J271" s="2">
        <f t="shared" si="16"/>
        <v>22357.5</v>
      </c>
      <c r="K271">
        <v>270</v>
      </c>
      <c r="L271" s="3">
        <f>SUM($I$2:$I271)</f>
        <v>4596450</v>
      </c>
      <c r="M271" s="3">
        <f>SUM($J$2:$J271)</f>
        <v>14764151</v>
      </c>
      <c r="N271" s="2">
        <f>SUM($D$2:$D271)</f>
        <v>1008.4300000000002</v>
      </c>
      <c r="O271" s="2">
        <f t="shared" si="17"/>
        <v>6.009577852229811E-2</v>
      </c>
      <c r="P271" s="2" cm="1">
        <f t="array" ref="P271">SUMPRODUCT((O271&gt;$T$9:$T$14)*(O271&lt;=$U$9:$U$14),$S$9:$S$14)</f>
        <v>2</v>
      </c>
    </row>
    <row r="272" spans="1:16" x14ac:dyDescent="0.25">
      <c r="A272">
        <v>1403</v>
      </c>
      <c r="B272">
        <v>235</v>
      </c>
      <c r="C272">
        <v>1352</v>
      </c>
      <c r="D272">
        <v>2.71</v>
      </c>
      <c r="E272">
        <v>47245</v>
      </c>
      <c r="F272">
        <v>0</v>
      </c>
      <c r="G272">
        <v>47245000</v>
      </c>
      <c r="H272">
        <v>401</v>
      </c>
      <c r="I272">
        <v>8250</v>
      </c>
      <c r="J272" s="2">
        <f t="shared" si="16"/>
        <v>22357.5</v>
      </c>
      <c r="K272">
        <v>271</v>
      </c>
      <c r="L272" s="3">
        <f>SUM($I$2:$I272)</f>
        <v>4604700</v>
      </c>
      <c r="M272" s="3">
        <f>SUM($J$2:$J272)</f>
        <v>14786508.5</v>
      </c>
      <c r="N272" s="2">
        <f>SUM($D$2:$D272)</f>
        <v>1011.1400000000002</v>
      </c>
      <c r="O272" s="2">
        <f t="shared" si="17"/>
        <v>6.0257276652852965E-2</v>
      </c>
      <c r="P272" s="2" cm="1">
        <f t="array" ref="P272">SUMPRODUCT((O272&gt;$T$9:$T$14)*(O272&lt;=$U$9:$U$14),$S$9:$S$14)</f>
        <v>2</v>
      </c>
    </row>
    <row r="273" spans="1:16" x14ac:dyDescent="0.25">
      <c r="A273">
        <v>1609</v>
      </c>
      <c r="B273">
        <v>1609</v>
      </c>
      <c r="C273">
        <v>2099</v>
      </c>
      <c r="D273">
        <v>2.68</v>
      </c>
      <c r="E273">
        <v>49550</v>
      </c>
      <c r="F273">
        <v>0</v>
      </c>
      <c r="G273">
        <v>49550000</v>
      </c>
      <c r="H273">
        <v>417</v>
      </c>
      <c r="I273">
        <v>8250</v>
      </c>
      <c r="J273" s="2">
        <f t="shared" si="16"/>
        <v>22110</v>
      </c>
      <c r="K273">
        <v>272</v>
      </c>
      <c r="L273" s="3">
        <f>SUM($I$2:$I273)</f>
        <v>4612950</v>
      </c>
      <c r="M273" s="3">
        <f>SUM($J$2:$J273)</f>
        <v>14808618.5</v>
      </c>
      <c r="N273" s="2">
        <f>SUM($D$2:$D273)</f>
        <v>1013.8200000000002</v>
      </c>
      <c r="O273" s="2">
        <f t="shared" si="17"/>
        <v>6.0416986981224545E-2</v>
      </c>
      <c r="P273" s="2" cm="1">
        <f t="array" ref="P273">SUMPRODUCT((O273&gt;$T$9:$T$14)*(O273&lt;=$U$9:$U$14),$S$9:$S$14)</f>
        <v>2</v>
      </c>
    </row>
    <row r="274" spans="1:16" x14ac:dyDescent="0.25">
      <c r="A274">
        <v>1127</v>
      </c>
      <c r="B274">
        <v>753</v>
      </c>
      <c r="C274">
        <v>467</v>
      </c>
      <c r="D274">
        <v>2.63</v>
      </c>
      <c r="E274">
        <v>15871</v>
      </c>
      <c r="F274">
        <v>0</v>
      </c>
      <c r="G274">
        <v>15871000</v>
      </c>
      <c r="H274">
        <v>8</v>
      </c>
      <c r="I274">
        <v>8250</v>
      </c>
      <c r="J274" s="2">
        <f t="shared" si="16"/>
        <v>21697.5</v>
      </c>
      <c r="K274">
        <v>273</v>
      </c>
      <c r="L274" s="3">
        <f>SUM($I$2:$I274)</f>
        <v>4621200</v>
      </c>
      <c r="M274" s="3">
        <f>SUM($J$2:$J274)</f>
        <v>14830316</v>
      </c>
      <c r="N274" s="2">
        <f>SUM($D$2:$D274)</f>
        <v>1016.4500000000002</v>
      </c>
      <c r="O274" s="2">
        <f t="shared" si="17"/>
        <v>6.0573717639290696E-2</v>
      </c>
      <c r="P274" s="2" cm="1">
        <f t="array" ref="P274">SUMPRODUCT((O274&gt;$T$9:$T$14)*(O274&lt;=$U$9:$U$14),$S$9:$S$14)</f>
        <v>2</v>
      </c>
    </row>
    <row r="275" spans="1:16" x14ac:dyDescent="0.25">
      <c r="A275">
        <v>1393</v>
      </c>
      <c r="B275">
        <v>225</v>
      </c>
      <c r="C275">
        <v>1341</v>
      </c>
      <c r="D275">
        <v>4.05</v>
      </c>
      <c r="E275">
        <v>47322</v>
      </c>
      <c r="F275">
        <v>0</v>
      </c>
      <c r="G275">
        <v>47322000</v>
      </c>
      <c r="H275">
        <v>401</v>
      </c>
      <c r="I275">
        <v>8200</v>
      </c>
      <c r="J275" s="2">
        <f t="shared" si="16"/>
        <v>33210</v>
      </c>
      <c r="K275">
        <v>274</v>
      </c>
      <c r="L275" s="3">
        <f>SUM($I$2:$I275)</f>
        <v>4629400</v>
      </c>
      <c r="M275" s="3">
        <f>SUM($J$2:$J275)</f>
        <v>14863526</v>
      </c>
      <c r="N275" s="2">
        <f>SUM($D$2:$D275)</f>
        <v>1020.5000000000001</v>
      </c>
      <c r="O275" s="2">
        <f t="shared" si="17"/>
        <v>6.0815070934031337E-2</v>
      </c>
      <c r="P275" s="2" cm="1">
        <f t="array" ref="P275">SUMPRODUCT((O275&gt;$T$9:$T$14)*(O275&lt;=$U$9:$U$14),$S$9:$S$14)</f>
        <v>2</v>
      </c>
    </row>
    <row r="276" spans="1:16" x14ac:dyDescent="0.25">
      <c r="A276">
        <v>1654</v>
      </c>
      <c r="B276">
        <v>1654</v>
      </c>
      <c r="C276">
        <v>2150</v>
      </c>
      <c r="D276">
        <v>2</v>
      </c>
      <c r="E276">
        <v>47370</v>
      </c>
      <c r="F276">
        <v>0</v>
      </c>
      <c r="G276">
        <v>47370000</v>
      </c>
      <c r="H276">
        <v>401</v>
      </c>
      <c r="I276">
        <v>8200</v>
      </c>
      <c r="J276" s="2">
        <f t="shared" si="16"/>
        <v>16400</v>
      </c>
      <c r="K276">
        <v>275</v>
      </c>
      <c r="L276" s="3">
        <f>SUM($I$2:$I276)</f>
        <v>4637600</v>
      </c>
      <c r="M276" s="3">
        <f>SUM($J$2:$J276)</f>
        <v>14879926</v>
      </c>
      <c r="N276" s="2">
        <f>SUM($D$2:$D276)</f>
        <v>1022.5000000000001</v>
      </c>
      <c r="O276" s="2">
        <f t="shared" si="17"/>
        <v>6.0934257746248936E-2</v>
      </c>
      <c r="P276" s="2" cm="1">
        <f t="array" ref="P276">SUMPRODUCT((O276&gt;$T$9:$T$14)*(O276&lt;=$U$9:$U$14),$S$9:$S$14)</f>
        <v>2</v>
      </c>
    </row>
    <row r="277" spans="1:16" x14ac:dyDescent="0.25">
      <c r="A277">
        <v>1595</v>
      </c>
      <c r="B277">
        <v>1595</v>
      </c>
      <c r="C277">
        <v>2084</v>
      </c>
      <c r="D277">
        <v>1.1100000000000001</v>
      </c>
      <c r="E277">
        <v>48983</v>
      </c>
      <c r="F277">
        <v>0</v>
      </c>
      <c r="G277">
        <v>48983000</v>
      </c>
      <c r="H277">
        <v>409</v>
      </c>
      <c r="I277">
        <v>8200</v>
      </c>
      <c r="J277" s="2">
        <f t="shared" si="16"/>
        <v>9102</v>
      </c>
      <c r="K277">
        <v>276</v>
      </c>
      <c r="L277" s="3">
        <f>SUM($I$2:$I277)</f>
        <v>4645800</v>
      </c>
      <c r="M277" s="3">
        <f>SUM($J$2:$J277)</f>
        <v>14889028</v>
      </c>
      <c r="N277" s="2">
        <f>SUM($D$2:$D277)</f>
        <v>1023.6100000000001</v>
      </c>
      <c r="O277" s="2">
        <f t="shared" si="17"/>
        <v>6.1000406427029703E-2</v>
      </c>
      <c r="P277" s="2" cm="1">
        <f t="array" ref="P277">SUMPRODUCT((O277&gt;$T$9:$T$14)*(O277&lt;=$U$9:$U$14),$S$9:$S$14)</f>
        <v>2</v>
      </c>
    </row>
    <row r="278" spans="1:16" x14ac:dyDescent="0.25">
      <c r="A278">
        <v>1653</v>
      </c>
      <c r="B278">
        <v>1653</v>
      </c>
      <c r="C278">
        <v>2149</v>
      </c>
      <c r="D278">
        <v>11.07</v>
      </c>
      <c r="E278">
        <v>47374</v>
      </c>
      <c r="F278">
        <v>0</v>
      </c>
      <c r="G278">
        <v>47374000</v>
      </c>
      <c r="H278">
        <v>401</v>
      </c>
      <c r="I278">
        <v>7950</v>
      </c>
      <c r="J278" s="2">
        <f t="shared" si="16"/>
        <v>88006.5</v>
      </c>
      <c r="K278">
        <v>277</v>
      </c>
      <c r="L278" s="3">
        <f>SUM($I$2:$I278)</f>
        <v>4653750</v>
      </c>
      <c r="M278" s="3">
        <f>SUM($J$2:$J278)</f>
        <v>14977034.5</v>
      </c>
      <c r="N278" s="2">
        <f>SUM($D$2:$D278)</f>
        <v>1034.68</v>
      </c>
      <c r="O278" s="2">
        <f t="shared" si="17"/>
        <v>6.1660105432654128E-2</v>
      </c>
      <c r="P278" s="2" cm="1">
        <f t="array" ref="P278">SUMPRODUCT((O278&gt;$T$9:$T$14)*(O278&lt;=$U$9:$U$14),$S$9:$S$14)</f>
        <v>2</v>
      </c>
    </row>
    <row r="279" spans="1:16" x14ac:dyDescent="0.25">
      <c r="A279">
        <v>1568</v>
      </c>
      <c r="B279">
        <v>400</v>
      </c>
      <c r="C279">
        <v>1548</v>
      </c>
      <c r="D279">
        <v>3.22</v>
      </c>
      <c r="E279">
        <v>48365</v>
      </c>
      <c r="F279">
        <v>0</v>
      </c>
      <c r="G279">
        <v>48365000</v>
      </c>
      <c r="H279">
        <v>403</v>
      </c>
      <c r="I279">
        <v>7900</v>
      </c>
      <c r="J279" s="2">
        <f t="shared" si="16"/>
        <v>25438</v>
      </c>
      <c r="K279">
        <v>278</v>
      </c>
      <c r="L279" s="3">
        <f>SUM($I$2:$I279)</f>
        <v>4661650</v>
      </c>
      <c r="M279" s="3">
        <f>SUM($J$2:$J279)</f>
        <v>15002472.5</v>
      </c>
      <c r="N279" s="2">
        <f>SUM($D$2:$D279)</f>
        <v>1037.9000000000001</v>
      </c>
      <c r="O279" s="2">
        <f t="shared" si="17"/>
        <v>6.1851996200324472E-2</v>
      </c>
      <c r="P279" s="2" cm="1">
        <f t="array" ref="P279">SUMPRODUCT((O279&gt;$T$9:$T$14)*(O279&lt;=$U$9:$U$14),$S$9:$S$14)</f>
        <v>2</v>
      </c>
    </row>
    <row r="280" spans="1:16" x14ac:dyDescent="0.25">
      <c r="A280">
        <v>59</v>
      </c>
      <c r="B280">
        <v>855</v>
      </c>
      <c r="C280">
        <v>1611</v>
      </c>
      <c r="D280">
        <v>3.19</v>
      </c>
      <c r="E280">
        <v>47612</v>
      </c>
      <c r="F280">
        <v>0</v>
      </c>
      <c r="G280">
        <v>47612000</v>
      </c>
      <c r="H280">
        <v>401</v>
      </c>
      <c r="I280">
        <v>7800</v>
      </c>
      <c r="J280" s="2">
        <f t="shared" si="16"/>
        <v>24882</v>
      </c>
      <c r="K280">
        <v>279</v>
      </c>
      <c r="L280" s="3">
        <f>SUM($I$2:$I280)</f>
        <v>4669450</v>
      </c>
      <c r="M280" s="3">
        <f>SUM($J$2:$J280)</f>
        <v>15027354.5</v>
      </c>
      <c r="N280" s="2">
        <f>SUM($D$2:$D280)</f>
        <v>1041.0900000000001</v>
      </c>
      <c r="O280" s="2">
        <f t="shared" si="17"/>
        <v>6.2042099165811548E-2</v>
      </c>
      <c r="P280" s="2" cm="1">
        <f t="array" ref="P280">SUMPRODUCT((O280&gt;$T$9:$T$14)*(O280&lt;=$U$9:$U$14),$S$9:$S$14)</f>
        <v>2</v>
      </c>
    </row>
    <row r="281" spans="1:16" x14ac:dyDescent="0.25">
      <c r="A281">
        <v>510</v>
      </c>
      <c r="B281">
        <v>1297</v>
      </c>
      <c r="C281">
        <v>707</v>
      </c>
      <c r="D281">
        <v>2.4900000000000002</v>
      </c>
      <c r="E281">
        <v>10043</v>
      </c>
      <c r="F281">
        <v>0</v>
      </c>
      <c r="G281">
        <v>10043000</v>
      </c>
      <c r="H281" t="s">
        <v>20</v>
      </c>
      <c r="I281">
        <v>7800</v>
      </c>
      <c r="J281" s="2">
        <f t="shared" si="16"/>
        <v>19422</v>
      </c>
      <c r="K281">
        <v>280</v>
      </c>
      <c r="L281" s="3">
        <f>SUM($I$2:$I281)</f>
        <v>4677250</v>
      </c>
      <c r="M281" s="3">
        <f>SUM($J$2:$J281)</f>
        <v>15046776.5</v>
      </c>
      <c r="N281" s="2">
        <f>SUM($D$2:$D281)</f>
        <v>1043.5800000000002</v>
      </c>
      <c r="O281" s="2">
        <f t="shared" si="17"/>
        <v>6.2190486747022461E-2</v>
      </c>
      <c r="P281" s="2" cm="1">
        <f t="array" ref="P281">SUMPRODUCT((O281&gt;$T$9:$T$14)*(O281&lt;=$U$9:$U$14),$S$9:$S$14)</f>
        <v>2</v>
      </c>
    </row>
    <row r="282" spans="1:16" x14ac:dyDescent="0.25">
      <c r="A282">
        <v>50</v>
      </c>
      <c r="B282">
        <v>846</v>
      </c>
      <c r="C282">
        <v>1601</v>
      </c>
      <c r="D282">
        <v>1.33</v>
      </c>
      <c r="E282">
        <v>49510</v>
      </c>
      <c r="F282">
        <v>0</v>
      </c>
      <c r="G282">
        <v>49510000</v>
      </c>
      <c r="H282">
        <v>417</v>
      </c>
      <c r="I282">
        <v>7800</v>
      </c>
      <c r="J282" s="2">
        <f t="shared" si="16"/>
        <v>10374</v>
      </c>
      <c r="K282">
        <v>281</v>
      </c>
      <c r="L282" s="3">
        <f>SUM($I$2:$I282)</f>
        <v>4685050</v>
      </c>
      <c r="M282" s="3">
        <f>SUM($J$2:$J282)</f>
        <v>15057150.5</v>
      </c>
      <c r="N282" s="2">
        <f>SUM($D$2:$D282)</f>
        <v>1044.9100000000001</v>
      </c>
      <c r="O282" s="2">
        <f t="shared" si="17"/>
        <v>6.2269745977147163E-2</v>
      </c>
      <c r="P282" s="2" cm="1">
        <f t="array" ref="P282">SUMPRODUCT((O282&gt;$T$9:$T$14)*(O282&lt;=$U$9:$U$14),$S$9:$S$14)</f>
        <v>2</v>
      </c>
    </row>
    <row r="283" spans="1:16" x14ac:dyDescent="0.25">
      <c r="A283">
        <v>1824</v>
      </c>
      <c r="B283">
        <v>1824</v>
      </c>
      <c r="C283">
        <v>0</v>
      </c>
      <c r="D283">
        <v>0.77</v>
      </c>
      <c r="E283">
        <v>12260</v>
      </c>
      <c r="F283">
        <v>1.9</v>
      </c>
      <c r="G283">
        <v>12260019</v>
      </c>
      <c r="H283">
        <v>3</v>
      </c>
      <c r="I283">
        <v>7700</v>
      </c>
      <c r="J283" s="2">
        <f t="shared" si="16"/>
        <v>5929</v>
      </c>
      <c r="K283">
        <v>282</v>
      </c>
      <c r="L283" s="3">
        <f>SUM($I$2:$I283)</f>
        <v>4692750</v>
      </c>
      <c r="M283" s="3">
        <f>SUM($J$2:$J283)</f>
        <v>15063079.5</v>
      </c>
      <c r="N283" s="2">
        <f>SUM($D$2:$D283)</f>
        <v>1045.68</v>
      </c>
      <c r="O283" s="2">
        <f t="shared" si="17"/>
        <v>6.231563289985094E-2</v>
      </c>
      <c r="P283" s="2" cm="1">
        <f t="array" ref="P283">SUMPRODUCT((O283&gt;$T$9:$T$14)*(O283&lt;=$U$9:$U$14),$S$9:$S$14)</f>
        <v>2</v>
      </c>
    </row>
    <row r="284" spans="1:16" x14ac:dyDescent="0.25">
      <c r="A284">
        <v>1407</v>
      </c>
      <c r="B284">
        <v>239</v>
      </c>
      <c r="C284">
        <v>1356</v>
      </c>
      <c r="D284">
        <v>11.23</v>
      </c>
      <c r="E284">
        <v>47210</v>
      </c>
      <c r="F284">
        <v>0</v>
      </c>
      <c r="G284">
        <v>47210000</v>
      </c>
      <c r="H284">
        <v>401</v>
      </c>
      <c r="I284">
        <v>7650</v>
      </c>
      <c r="J284" s="2">
        <f t="shared" si="16"/>
        <v>85909.5</v>
      </c>
      <c r="K284">
        <v>283</v>
      </c>
      <c r="L284" s="3">
        <f>SUM($I$2:$I284)</f>
        <v>4700400</v>
      </c>
      <c r="M284" s="3">
        <f>SUM($J$2:$J284)</f>
        <v>15148989</v>
      </c>
      <c r="N284" s="2">
        <f>SUM($D$2:$D284)</f>
        <v>1056.9100000000001</v>
      </c>
      <c r="O284" s="2">
        <f t="shared" si="17"/>
        <v>6.2984866850452778E-2</v>
      </c>
      <c r="P284" s="2" cm="1">
        <f t="array" ref="P284">SUMPRODUCT((O284&gt;$T$9:$T$14)*(O284&lt;=$U$9:$U$14),$S$9:$S$14)</f>
        <v>2</v>
      </c>
    </row>
    <row r="285" spans="1:16" x14ac:dyDescent="0.25">
      <c r="A285">
        <v>1404</v>
      </c>
      <c r="B285">
        <v>236</v>
      </c>
      <c r="C285">
        <v>1353</v>
      </c>
      <c r="D285">
        <v>4.0999999999999996</v>
      </c>
      <c r="E285">
        <v>47240</v>
      </c>
      <c r="F285">
        <v>0</v>
      </c>
      <c r="G285">
        <v>47240000</v>
      </c>
      <c r="H285">
        <v>401</v>
      </c>
      <c r="I285">
        <v>7650</v>
      </c>
      <c r="J285" s="2">
        <f t="shared" si="16"/>
        <v>31364.999999999996</v>
      </c>
      <c r="K285">
        <v>284</v>
      </c>
      <c r="L285" s="3">
        <f>SUM($I$2:$I285)</f>
        <v>4708050</v>
      </c>
      <c r="M285" s="3">
        <f>SUM($J$2:$J285)</f>
        <v>15180354</v>
      </c>
      <c r="N285" s="2">
        <f>SUM($D$2:$D285)</f>
        <v>1061.01</v>
      </c>
      <c r="O285" s="2">
        <f t="shared" si="17"/>
        <v>6.3229199815498849E-2</v>
      </c>
      <c r="P285" s="2" cm="1">
        <f t="array" ref="P285">SUMPRODUCT((O285&gt;$T$9:$T$14)*(O285&lt;=$U$9:$U$14),$S$9:$S$14)</f>
        <v>2</v>
      </c>
    </row>
    <row r="286" spans="1:16" x14ac:dyDescent="0.25">
      <c r="A286">
        <v>1651</v>
      </c>
      <c r="B286">
        <v>1651</v>
      </c>
      <c r="C286">
        <v>2147</v>
      </c>
      <c r="D286">
        <v>1.4</v>
      </c>
      <c r="E286">
        <v>47380</v>
      </c>
      <c r="F286">
        <v>0</v>
      </c>
      <c r="G286">
        <v>47380000</v>
      </c>
      <c r="H286">
        <v>401</v>
      </c>
      <c r="I286">
        <v>7650</v>
      </c>
      <c r="J286" s="2">
        <f t="shared" si="16"/>
        <v>10710</v>
      </c>
      <c r="K286">
        <v>285</v>
      </c>
      <c r="L286" s="3">
        <f>SUM($I$2:$I286)</f>
        <v>4715700</v>
      </c>
      <c r="M286" s="3">
        <f>SUM($J$2:$J286)</f>
        <v>15191064</v>
      </c>
      <c r="N286" s="2">
        <f>SUM($D$2:$D286)</f>
        <v>1062.4100000000001</v>
      </c>
      <c r="O286" s="2">
        <f t="shared" si="17"/>
        <v>6.3312630584051177E-2</v>
      </c>
      <c r="P286" s="2" cm="1">
        <f t="array" ref="P286">SUMPRODUCT((O286&gt;$T$9:$T$14)*(O286&lt;=$U$9:$U$14),$S$9:$S$14)</f>
        <v>2</v>
      </c>
    </row>
    <row r="287" spans="1:16" x14ac:dyDescent="0.25">
      <c r="A287">
        <v>855</v>
      </c>
      <c r="B287">
        <v>481</v>
      </c>
      <c r="C287">
        <v>100</v>
      </c>
      <c r="D287">
        <v>1.28</v>
      </c>
      <c r="E287">
        <v>14593</v>
      </c>
      <c r="F287">
        <v>0</v>
      </c>
      <c r="G287">
        <v>14593000</v>
      </c>
      <c r="H287">
        <v>7</v>
      </c>
      <c r="I287">
        <v>7600</v>
      </c>
      <c r="J287" s="2">
        <f t="shared" si="16"/>
        <v>9728</v>
      </c>
      <c r="K287">
        <v>286</v>
      </c>
      <c r="L287" s="3">
        <f>SUM($I$2:$I287)</f>
        <v>4723300</v>
      </c>
      <c r="M287" s="3">
        <f>SUM($J$2:$J287)</f>
        <v>15200792</v>
      </c>
      <c r="N287" s="2">
        <f>SUM($D$2:$D287)</f>
        <v>1063.69</v>
      </c>
      <c r="O287" s="2">
        <f t="shared" si="17"/>
        <v>6.3388910143870436E-2</v>
      </c>
      <c r="P287" s="2" cm="1">
        <f t="array" ref="P287">SUMPRODUCT((O287&gt;$T$9:$T$14)*(O287&lt;=$U$9:$U$14),$S$9:$S$14)</f>
        <v>2</v>
      </c>
    </row>
    <row r="288" spans="1:16" x14ac:dyDescent="0.25">
      <c r="A288">
        <v>1395</v>
      </c>
      <c r="B288">
        <v>227</v>
      </c>
      <c r="C288">
        <v>1343</v>
      </c>
      <c r="D288">
        <v>8.6999999999999993</v>
      </c>
      <c r="E288">
        <v>47315</v>
      </c>
      <c r="F288">
        <v>0</v>
      </c>
      <c r="G288">
        <v>47315000</v>
      </c>
      <c r="H288">
        <v>401</v>
      </c>
      <c r="I288">
        <v>7550</v>
      </c>
      <c r="J288" s="2">
        <f t="shared" si="16"/>
        <v>65685</v>
      </c>
      <c r="K288">
        <v>287</v>
      </c>
      <c r="L288" s="3">
        <f>SUM($I$2:$I288)</f>
        <v>4730850</v>
      </c>
      <c r="M288" s="3">
        <f>SUM($J$2:$J288)</f>
        <v>15266477</v>
      </c>
      <c r="N288" s="2">
        <f>SUM($D$2:$D288)</f>
        <v>1072.3900000000001</v>
      </c>
      <c r="O288" s="2">
        <f t="shared" si="17"/>
        <v>6.390737277701701E-2</v>
      </c>
      <c r="P288" s="2" cm="1">
        <f t="array" ref="P288">SUMPRODUCT((O288&gt;$T$9:$T$14)*(O288&lt;=$U$9:$U$14),$S$9:$S$14)</f>
        <v>2</v>
      </c>
    </row>
    <row r="289" spans="1:16" x14ac:dyDescent="0.25">
      <c r="A289">
        <v>1401</v>
      </c>
      <c r="B289">
        <v>233</v>
      </c>
      <c r="C289">
        <v>1350</v>
      </c>
      <c r="D289">
        <v>8.39</v>
      </c>
      <c r="E289">
        <v>47260</v>
      </c>
      <c r="F289">
        <v>0</v>
      </c>
      <c r="G289">
        <v>47260000</v>
      </c>
      <c r="H289">
        <v>401</v>
      </c>
      <c r="I289">
        <v>7550</v>
      </c>
      <c r="J289" s="2">
        <f t="shared" si="16"/>
        <v>63344.500000000007</v>
      </c>
      <c r="K289">
        <v>288</v>
      </c>
      <c r="L289" s="3">
        <f>SUM($I$2:$I289)</f>
        <v>4738400</v>
      </c>
      <c r="M289" s="3">
        <f>SUM($J$2:$J289)</f>
        <v>15329821.5</v>
      </c>
      <c r="N289" s="2">
        <f>SUM($D$2:$D289)</f>
        <v>1080.7800000000002</v>
      </c>
      <c r="O289" s="2">
        <f t="shared" si="17"/>
        <v>6.4407361454269854E-2</v>
      </c>
      <c r="P289" s="2" cm="1">
        <f t="array" ref="P289">SUMPRODUCT((O289&gt;$T$9:$T$14)*(O289&lt;=$U$9:$U$14),$S$9:$S$14)</f>
        <v>2</v>
      </c>
    </row>
    <row r="290" spans="1:16" x14ac:dyDescent="0.25">
      <c r="A290">
        <v>1408</v>
      </c>
      <c r="B290">
        <v>240</v>
      </c>
      <c r="C290">
        <v>1357</v>
      </c>
      <c r="D290">
        <v>3.16</v>
      </c>
      <c r="E290">
        <v>47200</v>
      </c>
      <c r="F290">
        <v>0</v>
      </c>
      <c r="G290">
        <v>47200000</v>
      </c>
      <c r="H290">
        <v>401</v>
      </c>
      <c r="I290">
        <v>7550</v>
      </c>
      <c r="J290" s="2">
        <f t="shared" si="16"/>
        <v>23858</v>
      </c>
      <c r="K290">
        <v>289</v>
      </c>
      <c r="L290" s="3">
        <f>SUM($I$2:$I290)</f>
        <v>4745950</v>
      </c>
      <c r="M290" s="3">
        <f>SUM($J$2:$J290)</f>
        <v>15353679.5</v>
      </c>
      <c r="N290" s="2">
        <f>SUM($D$2:$D290)</f>
        <v>1083.9400000000003</v>
      </c>
      <c r="O290" s="2">
        <f t="shared" si="17"/>
        <v>6.4595676617573677E-2</v>
      </c>
      <c r="P290" s="2" cm="1">
        <f t="array" ref="P290">SUMPRODUCT((O290&gt;$T$9:$T$14)*(O290&lt;=$U$9:$U$14),$S$9:$S$14)</f>
        <v>2</v>
      </c>
    </row>
    <row r="291" spans="1:16" x14ac:dyDescent="0.25">
      <c r="A291">
        <v>808</v>
      </c>
      <c r="B291">
        <v>434</v>
      </c>
      <c r="C291">
        <v>43</v>
      </c>
      <c r="D291">
        <v>0.68</v>
      </c>
      <c r="E291">
        <v>12248</v>
      </c>
      <c r="F291">
        <v>0</v>
      </c>
      <c r="G291">
        <v>12248000</v>
      </c>
      <c r="H291">
        <v>3</v>
      </c>
      <c r="I291">
        <v>7500</v>
      </c>
      <c r="J291" s="2">
        <f t="shared" si="16"/>
        <v>5100</v>
      </c>
      <c r="K291">
        <v>290</v>
      </c>
      <c r="L291" s="3">
        <f>SUM($I$2:$I291)</f>
        <v>4753450</v>
      </c>
      <c r="M291" s="3">
        <f>SUM($J$2:$J291)</f>
        <v>15358779.5</v>
      </c>
      <c r="N291" s="2">
        <f>SUM($D$2:$D291)</f>
        <v>1084.6200000000003</v>
      </c>
      <c r="O291" s="2">
        <f t="shared" si="17"/>
        <v>6.4636200133727659E-2</v>
      </c>
      <c r="P291" s="2" cm="1">
        <f t="array" ref="P291">SUMPRODUCT((O291&gt;$T$9:$T$14)*(O291&lt;=$U$9:$U$14),$S$9:$S$14)</f>
        <v>2</v>
      </c>
    </row>
    <row r="292" spans="1:16" x14ac:dyDescent="0.25">
      <c r="A292">
        <v>1658</v>
      </c>
      <c r="B292">
        <v>1658</v>
      </c>
      <c r="C292">
        <v>2155</v>
      </c>
      <c r="D292">
        <v>6.29</v>
      </c>
      <c r="E292">
        <v>47970</v>
      </c>
      <c r="F292">
        <v>0</v>
      </c>
      <c r="G292">
        <v>47970000</v>
      </c>
      <c r="H292">
        <v>401</v>
      </c>
      <c r="I292">
        <v>7300</v>
      </c>
      <c r="J292" s="2">
        <f t="shared" si="16"/>
        <v>45917</v>
      </c>
      <c r="K292">
        <v>291</v>
      </c>
      <c r="L292" s="3">
        <f>SUM($I$2:$I292)</f>
        <v>4760750</v>
      </c>
      <c r="M292" s="3">
        <f>SUM($J$2:$J292)</f>
        <v>15404696.5</v>
      </c>
      <c r="N292" s="2">
        <f>SUM($D$2:$D292)</f>
        <v>1090.9100000000003</v>
      </c>
      <c r="O292" s="2">
        <f t="shared" si="17"/>
        <v>6.5011042658152024E-2</v>
      </c>
      <c r="P292" s="2" cm="1">
        <f t="array" ref="P292">SUMPRODUCT((O292&gt;$T$9:$T$14)*(O292&lt;=$U$9:$U$14),$S$9:$S$14)</f>
        <v>2</v>
      </c>
    </row>
    <row r="293" spans="1:16" x14ac:dyDescent="0.25">
      <c r="A293">
        <v>1397</v>
      </c>
      <c r="B293">
        <v>229</v>
      </c>
      <c r="C293">
        <v>1346</v>
      </c>
      <c r="D293">
        <v>12.5</v>
      </c>
      <c r="E293">
        <v>47300</v>
      </c>
      <c r="F293">
        <v>0</v>
      </c>
      <c r="G293">
        <v>47300000</v>
      </c>
      <c r="H293">
        <v>401</v>
      </c>
      <c r="I293">
        <v>7250</v>
      </c>
      <c r="J293" s="2">
        <f t="shared" si="16"/>
        <v>90625</v>
      </c>
      <c r="K293">
        <v>292</v>
      </c>
      <c r="L293" s="3">
        <f>SUM($I$2:$I293)</f>
        <v>4768000</v>
      </c>
      <c r="M293" s="3">
        <f>SUM($J$2:$J293)</f>
        <v>15495321.5</v>
      </c>
      <c r="N293" s="2">
        <f>SUM($D$2:$D293)</f>
        <v>1103.4100000000003</v>
      </c>
      <c r="O293" s="2">
        <f t="shared" si="17"/>
        <v>6.5755960234512023E-2</v>
      </c>
      <c r="P293" s="2" cm="1">
        <f t="array" ref="P293">SUMPRODUCT((O293&gt;$T$9:$T$14)*(O293&lt;=$U$9:$U$14),$S$9:$S$14)</f>
        <v>2</v>
      </c>
    </row>
    <row r="294" spans="1:16" x14ac:dyDescent="0.25">
      <c r="A294">
        <v>1398</v>
      </c>
      <c r="B294">
        <v>230</v>
      </c>
      <c r="C294">
        <v>1347</v>
      </c>
      <c r="D294">
        <v>8.1</v>
      </c>
      <c r="E294">
        <v>47290</v>
      </c>
      <c r="F294">
        <v>0</v>
      </c>
      <c r="G294">
        <v>47290000</v>
      </c>
      <c r="H294">
        <v>401</v>
      </c>
      <c r="I294">
        <v>7250</v>
      </c>
      <c r="J294" s="2">
        <f t="shared" si="16"/>
        <v>58725</v>
      </c>
      <c r="K294">
        <v>293</v>
      </c>
      <c r="L294" s="3">
        <f>SUM($I$2:$I294)</f>
        <v>4775250</v>
      </c>
      <c r="M294" s="3">
        <f>SUM($J$2:$J294)</f>
        <v>15554046.5</v>
      </c>
      <c r="N294" s="2">
        <f>SUM($D$2:$D294)</f>
        <v>1111.5100000000002</v>
      </c>
      <c r="O294" s="2">
        <f t="shared" si="17"/>
        <v>6.6238666823993306E-2</v>
      </c>
      <c r="P294" s="2" cm="1">
        <f t="array" ref="P294">SUMPRODUCT((O294&gt;$T$9:$T$14)*(O294&lt;=$U$9:$U$14),$S$9:$S$14)</f>
        <v>2</v>
      </c>
    </row>
    <row r="295" spans="1:16" x14ac:dyDescent="0.25">
      <c r="A295">
        <v>101</v>
      </c>
      <c r="B295">
        <v>897</v>
      </c>
      <c r="C295">
        <v>1655</v>
      </c>
      <c r="D295">
        <v>0.63</v>
      </c>
      <c r="E295">
        <v>48006</v>
      </c>
      <c r="F295">
        <v>0</v>
      </c>
      <c r="G295">
        <v>48006000</v>
      </c>
      <c r="H295">
        <v>401</v>
      </c>
      <c r="I295">
        <v>7100</v>
      </c>
      <c r="J295" s="2">
        <f t="shared" si="16"/>
        <v>4473</v>
      </c>
      <c r="K295">
        <v>294</v>
      </c>
      <c r="L295" s="3">
        <f>SUM($I$2:$I295)</f>
        <v>4782350</v>
      </c>
      <c r="M295" s="3">
        <f>SUM($J$2:$J295)</f>
        <v>15558519.5</v>
      </c>
      <c r="N295" s="2">
        <f>SUM($D$2:$D295)</f>
        <v>1112.1400000000003</v>
      </c>
      <c r="O295" s="2">
        <f t="shared" si="17"/>
        <v>6.6276210669841865E-2</v>
      </c>
      <c r="P295" s="2" cm="1">
        <f t="array" ref="P295">SUMPRODUCT((O295&gt;$T$9:$T$14)*(O295&lt;=$U$9:$U$14),$S$9:$S$14)</f>
        <v>2</v>
      </c>
    </row>
    <row r="296" spans="1:16" x14ac:dyDescent="0.25">
      <c r="A296">
        <v>1606</v>
      </c>
      <c r="B296">
        <v>1606</v>
      </c>
      <c r="C296">
        <v>2096</v>
      </c>
      <c r="D296">
        <v>1.98</v>
      </c>
      <c r="E296">
        <v>48506</v>
      </c>
      <c r="F296">
        <v>0</v>
      </c>
      <c r="G296">
        <v>48506000</v>
      </c>
      <c r="H296">
        <v>404</v>
      </c>
      <c r="I296">
        <v>7000</v>
      </c>
      <c r="J296" s="2">
        <f t="shared" si="16"/>
        <v>13860</v>
      </c>
      <c r="K296">
        <v>295</v>
      </c>
      <c r="L296" s="3">
        <f>SUM($I$2:$I296)</f>
        <v>4789350</v>
      </c>
      <c r="M296" s="3">
        <f>SUM($J$2:$J296)</f>
        <v>15572379.5</v>
      </c>
      <c r="N296" s="2">
        <f>SUM($D$2:$D296)</f>
        <v>1114.1200000000003</v>
      </c>
      <c r="O296" s="2">
        <f t="shared" si="17"/>
        <v>6.6394205613937288E-2</v>
      </c>
      <c r="P296" s="2" cm="1">
        <f t="array" ref="P296">SUMPRODUCT((O296&gt;$T$9:$T$14)*(O296&lt;=$U$9:$U$14),$S$9:$S$14)</f>
        <v>2</v>
      </c>
    </row>
    <row r="297" spans="1:16" x14ac:dyDescent="0.25">
      <c r="A297">
        <v>1406</v>
      </c>
      <c r="B297">
        <v>238</v>
      </c>
      <c r="C297">
        <v>1355</v>
      </c>
      <c r="D297">
        <v>9.11</v>
      </c>
      <c r="E297">
        <v>47220</v>
      </c>
      <c r="F297">
        <v>0</v>
      </c>
      <c r="G297">
        <v>47220000</v>
      </c>
      <c r="H297">
        <v>401</v>
      </c>
      <c r="I297">
        <v>6950</v>
      </c>
      <c r="J297" s="2">
        <f t="shared" si="16"/>
        <v>63314.499999999993</v>
      </c>
      <c r="K297">
        <v>296</v>
      </c>
      <c r="L297" s="3">
        <f>SUM($I$2:$I297)</f>
        <v>4796300</v>
      </c>
      <c r="M297" s="3">
        <f>SUM($J$2:$J297)</f>
        <v>15635694</v>
      </c>
      <c r="N297" s="2">
        <f>SUM($D$2:$D297)</f>
        <v>1123.2300000000002</v>
      </c>
      <c r="O297" s="2">
        <f t="shared" si="17"/>
        <v>6.6937101543588465E-2</v>
      </c>
      <c r="P297" s="2" cm="1">
        <f t="array" ref="P297">SUMPRODUCT((O297&gt;$T$9:$T$14)*(O297&lt;=$U$9:$U$14),$S$9:$S$14)</f>
        <v>2</v>
      </c>
    </row>
    <row r="298" spans="1:16" x14ac:dyDescent="0.25">
      <c r="A298">
        <v>1435</v>
      </c>
      <c r="B298">
        <v>267</v>
      </c>
      <c r="C298">
        <v>1390</v>
      </c>
      <c r="D298">
        <v>3.21</v>
      </c>
      <c r="E298">
        <v>46875</v>
      </c>
      <c r="F298">
        <v>0</v>
      </c>
      <c r="G298">
        <v>46875000</v>
      </c>
      <c r="H298">
        <v>400</v>
      </c>
      <c r="I298">
        <v>6950</v>
      </c>
      <c r="J298" s="2">
        <f t="shared" si="16"/>
        <v>22309.5</v>
      </c>
      <c r="K298">
        <v>297</v>
      </c>
      <c r="L298" s="3">
        <f>SUM($I$2:$I298)</f>
        <v>4803250</v>
      </c>
      <c r="M298" s="3">
        <f>SUM($J$2:$J298)</f>
        <v>15658003.5</v>
      </c>
      <c r="N298" s="2">
        <f>SUM($D$2:$D298)</f>
        <v>1126.4400000000003</v>
      </c>
      <c r="O298" s="2">
        <f t="shared" si="17"/>
        <v>6.712839637719771E-2</v>
      </c>
      <c r="P298" s="2" cm="1">
        <f t="array" ref="P298">SUMPRODUCT((O298&gt;$T$9:$T$14)*(O298&lt;=$U$9:$U$14),$S$9:$S$14)</f>
        <v>2</v>
      </c>
    </row>
    <row r="299" spans="1:16" x14ac:dyDescent="0.25">
      <c r="A299">
        <v>1394</v>
      </c>
      <c r="B299">
        <v>226</v>
      </c>
      <c r="C299">
        <v>1342</v>
      </c>
      <c r="D299">
        <v>1.07</v>
      </c>
      <c r="E299">
        <v>47320</v>
      </c>
      <c r="F299">
        <v>0</v>
      </c>
      <c r="G299">
        <v>47320000</v>
      </c>
      <c r="H299">
        <v>401</v>
      </c>
      <c r="I299">
        <v>6950</v>
      </c>
      <c r="J299" s="2">
        <f t="shared" si="16"/>
        <v>7436.5</v>
      </c>
      <c r="K299">
        <v>298</v>
      </c>
      <c r="L299" s="3">
        <f>SUM($I$2:$I299)</f>
        <v>4810200</v>
      </c>
      <c r="M299" s="3">
        <f>SUM($J$2:$J299)</f>
        <v>15665440</v>
      </c>
      <c r="N299" s="2">
        <f>SUM($D$2:$D299)</f>
        <v>1127.5100000000002</v>
      </c>
      <c r="O299" s="2">
        <f t="shared" si="17"/>
        <v>6.7192161321734126E-2</v>
      </c>
      <c r="P299" s="2" cm="1">
        <f t="array" ref="P299">SUMPRODUCT((O299&gt;$T$9:$T$14)*(O299&lt;=$U$9:$U$14),$S$9:$S$14)</f>
        <v>2</v>
      </c>
    </row>
    <row r="300" spans="1:16" x14ac:dyDescent="0.25">
      <c r="A300">
        <v>375</v>
      </c>
      <c r="B300">
        <v>1170</v>
      </c>
      <c r="C300">
        <v>2054</v>
      </c>
      <c r="D300">
        <v>9.2100000000000009</v>
      </c>
      <c r="E300">
        <v>48131</v>
      </c>
      <c r="F300">
        <v>0</v>
      </c>
      <c r="G300">
        <v>48131000</v>
      </c>
      <c r="H300">
        <v>402</v>
      </c>
      <c r="I300">
        <v>6900</v>
      </c>
      <c r="J300" s="2">
        <f t="shared" si="16"/>
        <v>63549.000000000007</v>
      </c>
      <c r="K300">
        <v>299</v>
      </c>
      <c r="L300" s="3">
        <f>SUM($I$2:$I300)</f>
        <v>4817100</v>
      </c>
      <c r="M300" s="3">
        <f>SUM($J$2:$J300)</f>
        <v>15728989</v>
      </c>
      <c r="N300" s="2">
        <f>SUM($D$2:$D300)</f>
        <v>1136.7200000000003</v>
      </c>
      <c r="O300" s="2">
        <f t="shared" si="17"/>
        <v>6.7741016591996189E-2</v>
      </c>
      <c r="P300" s="2" cm="1">
        <f t="array" ref="P300">SUMPRODUCT((O300&gt;$T$9:$T$14)*(O300&lt;=$U$9:$U$14),$S$9:$S$14)</f>
        <v>2</v>
      </c>
    </row>
    <row r="301" spans="1:16" x14ac:dyDescent="0.25">
      <c r="A301">
        <v>1588</v>
      </c>
      <c r="B301">
        <v>1588</v>
      </c>
      <c r="C301">
        <v>2077</v>
      </c>
      <c r="D301">
        <v>6.18</v>
      </c>
      <c r="E301">
        <v>47980</v>
      </c>
      <c r="F301">
        <v>0</v>
      </c>
      <c r="G301">
        <v>47980000</v>
      </c>
      <c r="H301">
        <v>401</v>
      </c>
      <c r="I301">
        <v>6900</v>
      </c>
      <c r="J301" s="2">
        <f t="shared" si="16"/>
        <v>42642</v>
      </c>
      <c r="K301">
        <v>300</v>
      </c>
      <c r="L301" s="3">
        <f>SUM($I$2:$I301)</f>
        <v>4824000</v>
      </c>
      <c r="M301" s="3">
        <f>SUM($J$2:$J301)</f>
        <v>15771631</v>
      </c>
      <c r="N301" s="2">
        <f>SUM($D$2:$D301)</f>
        <v>1142.9000000000003</v>
      </c>
      <c r="O301" s="2">
        <f t="shared" si="17"/>
        <v>6.8109303841748584E-2</v>
      </c>
      <c r="P301" s="2" cm="1">
        <f t="array" ref="P301">SUMPRODUCT((O301&gt;$T$9:$T$14)*(O301&lt;=$U$9:$U$14),$S$9:$S$14)</f>
        <v>2</v>
      </c>
    </row>
    <row r="302" spans="1:16" x14ac:dyDescent="0.25">
      <c r="A302">
        <v>985</v>
      </c>
      <c r="B302">
        <v>611</v>
      </c>
      <c r="C302">
        <v>279</v>
      </c>
      <c r="D302">
        <v>2.2999999999999998</v>
      </c>
      <c r="E302">
        <v>15873</v>
      </c>
      <c r="F302">
        <v>0</v>
      </c>
      <c r="G302">
        <v>15873000</v>
      </c>
      <c r="H302">
        <v>8</v>
      </c>
      <c r="I302">
        <v>6900</v>
      </c>
      <c r="J302" s="2">
        <f t="shared" si="16"/>
        <v>15869.999999999998</v>
      </c>
      <c r="K302">
        <v>301</v>
      </c>
      <c r="L302" s="3">
        <f>SUM($I$2:$I302)</f>
        <v>4830900</v>
      </c>
      <c r="M302" s="3">
        <f>SUM($J$2:$J302)</f>
        <v>15787501</v>
      </c>
      <c r="N302" s="2">
        <f>SUM($D$2:$D302)</f>
        <v>1145.2000000000003</v>
      </c>
      <c r="O302" s="2">
        <f t="shared" si="17"/>
        <v>6.8246368675798821E-2</v>
      </c>
      <c r="P302" s="2" cm="1">
        <f t="array" ref="P302">SUMPRODUCT((O302&gt;$T$9:$T$14)*(O302&lt;=$U$9:$U$14),$S$9:$S$14)</f>
        <v>2</v>
      </c>
    </row>
    <row r="303" spans="1:16" x14ac:dyDescent="0.25">
      <c r="A303">
        <v>1396</v>
      </c>
      <c r="B303">
        <v>228</v>
      </c>
      <c r="C303">
        <v>1345</v>
      </c>
      <c r="D303">
        <v>7.9</v>
      </c>
      <c r="E303">
        <v>47310</v>
      </c>
      <c r="F303">
        <v>0</v>
      </c>
      <c r="G303">
        <v>47310000</v>
      </c>
      <c r="H303">
        <v>401</v>
      </c>
      <c r="I303">
        <v>6850</v>
      </c>
      <c r="J303" s="2">
        <f t="shared" si="16"/>
        <v>54115</v>
      </c>
      <c r="K303">
        <v>302</v>
      </c>
      <c r="L303" s="3">
        <f>SUM($I$2:$I303)</f>
        <v>4837750</v>
      </c>
      <c r="M303" s="3">
        <f>SUM($J$2:$J303)</f>
        <v>15841616</v>
      </c>
      <c r="N303" s="2">
        <f>SUM($D$2:$D303)</f>
        <v>1153.1000000000004</v>
      </c>
      <c r="O303" s="2">
        <f t="shared" si="17"/>
        <v>6.8717156584058345E-2</v>
      </c>
      <c r="P303" s="2" cm="1">
        <f t="array" ref="P303">SUMPRODUCT((O303&gt;$T$9:$T$14)*(O303&lt;=$U$9:$U$14),$S$9:$S$14)</f>
        <v>2</v>
      </c>
    </row>
    <row r="304" spans="1:16" x14ac:dyDescent="0.25">
      <c r="A304">
        <v>823</v>
      </c>
      <c r="B304">
        <v>449</v>
      </c>
      <c r="C304">
        <v>59</v>
      </c>
      <c r="D304">
        <v>2.2999999999999998</v>
      </c>
      <c r="E304">
        <v>13560</v>
      </c>
      <c r="F304">
        <v>0</v>
      </c>
      <c r="G304">
        <v>13560000</v>
      </c>
      <c r="H304">
        <v>6</v>
      </c>
      <c r="I304">
        <v>6850</v>
      </c>
      <c r="J304" s="2">
        <f t="shared" si="16"/>
        <v>15754.999999999998</v>
      </c>
      <c r="K304">
        <v>303</v>
      </c>
      <c r="L304" s="3">
        <f>SUM($I$2:$I304)</f>
        <v>4844600</v>
      </c>
      <c r="M304" s="3">
        <f>SUM($J$2:$J304)</f>
        <v>15857371</v>
      </c>
      <c r="N304" s="2">
        <f>SUM($D$2:$D304)</f>
        <v>1155.4000000000003</v>
      </c>
      <c r="O304" s="2">
        <f t="shared" si="17"/>
        <v>6.8854221418108583E-2</v>
      </c>
      <c r="P304" s="2" cm="1">
        <f t="array" ref="P304">SUMPRODUCT((O304&gt;$T$9:$T$14)*(O304&lt;=$U$9:$U$14),$S$9:$S$14)</f>
        <v>2</v>
      </c>
    </row>
    <row r="305" spans="1:16" x14ac:dyDescent="0.25">
      <c r="A305">
        <v>1596</v>
      </c>
      <c r="B305">
        <v>1596</v>
      </c>
      <c r="C305">
        <v>2085</v>
      </c>
      <c r="D305">
        <v>7.28</v>
      </c>
      <c r="E305">
        <v>47960</v>
      </c>
      <c r="F305">
        <v>0</v>
      </c>
      <c r="G305">
        <v>47960000</v>
      </c>
      <c r="H305">
        <v>401</v>
      </c>
      <c r="I305">
        <v>6800</v>
      </c>
      <c r="J305" s="2">
        <f t="shared" si="16"/>
        <v>49504</v>
      </c>
      <c r="K305">
        <v>304</v>
      </c>
      <c r="L305" s="3">
        <f>SUM($I$2:$I305)</f>
        <v>4851400</v>
      </c>
      <c r="M305" s="3">
        <f>SUM($J$2:$J305)</f>
        <v>15906875</v>
      </c>
      <c r="N305" s="2">
        <f>SUM($D$2:$D305)</f>
        <v>1162.6800000000003</v>
      </c>
      <c r="O305" s="2">
        <f t="shared" si="17"/>
        <v>6.9288061414580659E-2</v>
      </c>
      <c r="P305" s="2" cm="1">
        <f t="array" ref="P305">SUMPRODUCT((O305&gt;$T$9:$T$14)*(O305&lt;=$U$9:$U$14),$S$9:$S$14)</f>
        <v>2</v>
      </c>
    </row>
    <row r="306" spans="1:16" x14ac:dyDescent="0.25">
      <c r="A306">
        <v>1819</v>
      </c>
      <c r="B306">
        <v>1819</v>
      </c>
      <c r="C306">
        <v>0</v>
      </c>
      <c r="D306">
        <v>1.17</v>
      </c>
      <c r="E306">
        <v>15866</v>
      </c>
      <c r="F306">
        <v>0</v>
      </c>
      <c r="G306">
        <v>15866000</v>
      </c>
      <c r="H306">
        <v>8</v>
      </c>
      <c r="I306">
        <v>6800</v>
      </c>
      <c r="J306" s="2">
        <f t="shared" si="16"/>
        <v>7955.9999999999991</v>
      </c>
      <c r="K306">
        <v>305</v>
      </c>
      <c r="L306" s="3">
        <f>SUM($I$2:$I306)</f>
        <v>4858200</v>
      </c>
      <c r="M306" s="3">
        <f>SUM($J$2:$J306)</f>
        <v>15914831</v>
      </c>
      <c r="N306" s="2">
        <f>SUM($D$2:$D306)</f>
        <v>1163.8500000000004</v>
      </c>
      <c r="O306" s="2">
        <f t="shared" si="17"/>
        <v>6.9357785699727961E-2</v>
      </c>
      <c r="P306" s="2" cm="1">
        <f t="array" ref="P306">SUMPRODUCT((O306&gt;$T$9:$T$14)*(O306&lt;=$U$9:$U$14),$S$9:$S$14)</f>
        <v>2</v>
      </c>
    </row>
    <row r="307" spans="1:16" x14ac:dyDescent="0.25">
      <c r="A307">
        <v>1399</v>
      </c>
      <c r="B307">
        <v>231</v>
      </c>
      <c r="C307">
        <v>1348</v>
      </c>
      <c r="D307">
        <v>11.3</v>
      </c>
      <c r="E307">
        <v>47280</v>
      </c>
      <c r="F307">
        <v>0</v>
      </c>
      <c r="G307">
        <v>47280000</v>
      </c>
      <c r="H307">
        <v>401</v>
      </c>
      <c r="I307">
        <v>6700</v>
      </c>
      <c r="J307" s="2">
        <f t="shared" si="16"/>
        <v>75710</v>
      </c>
      <c r="K307">
        <v>306</v>
      </c>
      <c r="L307" s="3">
        <f>SUM($I$2:$I307)</f>
        <v>4864900</v>
      </c>
      <c r="M307" s="3">
        <f>SUM($J$2:$J307)</f>
        <v>15990541</v>
      </c>
      <c r="N307" s="2">
        <f>SUM($D$2:$D307)</f>
        <v>1175.1500000000003</v>
      </c>
      <c r="O307" s="2">
        <f t="shared" si="17"/>
        <v>7.0031191188757405E-2</v>
      </c>
      <c r="P307" s="2" cm="1">
        <f t="array" ref="P307">SUMPRODUCT((O307&gt;$T$9:$T$14)*(O307&lt;=$U$9:$U$14),$S$9:$S$14)</f>
        <v>2</v>
      </c>
    </row>
    <row r="308" spans="1:16" x14ac:dyDescent="0.25">
      <c r="A308">
        <v>1830</v>
      </c>
      <c r="B308">
        <v>1830</v>
      </c>
      <c r="C308">
        <v>42</v>
      </c>
      <c r="D308">
        <v>0.82</v>
      </c>
      <c r="E308">
        <v>12254</v>
      </c>
      <c r="F308">
        <v>0</v>
      </c>
      <c r="G308">
        <v>12254000</v>
      </c>
      <c r="H308">
        <v>3</v>
      </c>
      <c r="I308">
        <v>6700</v>
      </c>
      <c r="J308" s="2">
        <f t="shared" si="16"/>
        <v>5494</v>
      </c>
      <c r="K308">
        <v>307</v>
      </c>
      <c r="L308" s="3">
        <f>SUM($I$2:$I308)</f>
        <v>4871600</v>
      </c>
      <c r="M308" s="3">
        <f>SUM($J$2:$J308)</f>
        <v>15996035</v>
      </c>
      <c r="N308" s="2">
        <f>SUM($D$2:$D308)</f>
        <v>1175.9700000000003</v>
      </c>
      <c r="O308" s="2">
        <f t="shared" si="17"/>
        <v>7.0080057781766625E-2</v>
      </c>
      <c r="P308" s="2" cm="1">
        <f t="array" ref="P308">SUMPRODUCT((O308&gt;$T$9:$T$14)*(O308&lt;=$U$9:$U$14),$S$9:$S$14)</f>
        <v>2</v>
      </c>
    </row>
    <row r="309" spans="1:16" x14ac:dyDescent="0.25">
      <c r="A309">
        <v>1818</v>
      </c>
      <c r="B309">
        <v>1818</v>
      </c>
      <c r="C309">
        <v>0</v>
      </c>
      <c r="D309">
        <v>2.17</v>
      </c>
      <c r="E309">
        <v>15864</v>
      </c>
      <c r="F309">
        <v>0</v>
      </c>
      <c r="G309">
        <v>15864000</v>
      </c>
      <c r="H309">
        <v>8</v>
      </c>
      <c r="I309">
        <v>6650</v>
      </c>
      <c r="J309" s="2">
        <f t="shared" si="16"/>
        <v>14430.5</v>
      </c>
      <c r="K309">
        <v>308</v>
      </c>
      <c r="L309" s="3">
        <f>SUM($I$2:$I309)</f>
        <v>4878250</v>
      </c>
      <c r="M309" s="3">
        <f>SUM($J$2:$J309)</f>
        <v>16010465.5</v>
      </c>
      <c r="N309" s="2">
        <f>SUM($D$2:$D309)</f>
        <v>1178.1400000000003</v>
      </c>
      <c r="O309" s="2">
        <f t="shared" si="17"/>
        <v>7.0209375473022723E-2</v>
      </c>
      <c r="P309" s="2" cm="1">
        <f t="array" ref="P309">SUMPRODUCT((O309&gt;$T$9:$T$14)*(O309&lt;=$U$9:$U$14),$S$9:$S$14)</f>
        <v>2</v>
      </c>
    </row>
    <row r="310" spans="1:16" x14ac:dyDescent="0.25">
      <c r="A310">
        <v>1589</v>
      </c>
      <c r="B310">
        <v>1589</v>
      </c>
      <c r="C310">
        <v>2078</v>
      </c>
      <c r="D310">
        <v>12.23</v>
      </c>
      <c r="E310">
        <v>48115</v>
      </c>
      <c r="F310">
        <v>0</v>
      </c>
      <c r="G310">
        <v>48115000</v>
      </c>
      <c r="H310">
        <v>402</v>
      </c>
      <c r="I310">
        <v>6400</v>
      </c>
      <c r="J310" s="2">
        <f t="shared" si="16"/>
        <v>78272</v>
      </c>
      <c r="K310">
        <v>309</v>
      </c>
      <c r="L310" s="3">
        <f>SUM($I$2:$I310)</f>
        <v>4884650</v>
      </c>
      <c r="M310" s="3">
        <f>SUM($J$2:$J310)</f>
        <v>16088737.5</v>
      </c>
      <c r="N310" s="2">
        <f>SUM($D$2:$D310)</f>
        <v>1190.3700000000003</v>
      </c>
      <c r="O310" s="2">
        <f t="shared" si="17"/>
        <v>7.0938202829733357E-2</v>
      </c>
      <c r="P310" s="2" cm="1">
        <f t="array" ref="P310">SUMPRODUCT((O310&gt;$T$9:$T$14)*(O310&lt;=$U$9:$U$14),$S$9:$S$14)</f>
        <v>2</v>
      </c>
    </row>
    <row r="311" spans="1:16" x14ac:dyDescent="0.25">
      <c r="A311">
        <v>1657</v>
      </c>
      <c r="B311">
        <v>1657</v>
      </c>
      <c r="C311">
        <v>2154</v>
      </c>
      <c r="D311">
        <v>4.33</v>
      </c>
      <c r="E311">
        <v>48127</v>
      </c>
      <c r="F311">
        <v>0</v>
      </c>
      <c r="G311">
        <v>48127000</v>
      </c>
      <c r="H311">
        <v>402</v>
      </c>
      <c r="I311">
        <v>6400</v>
      </c>
      <c r="J311" s="2">
        <f t="shared" si="16"/>
        <v>27712</v>
      </c>
      <c r="K311">
        <v>310</v>
      </c>
      <c r="L311" s="3">
        <f>SUM($I$2:$I311)</f>
        <v>4891050</v>
      </c>
      <c r="M311" s="3">
        <f>SUM($J$2:$J311)</f>
        <v>16116449.5</v>
      </c>
      <c r="N311" s="2">
        <f>SUM($D$2:$D311)</f>
        <v>1194.7000000000003</v>
      </c>
      <c r="O311" s="2">
        <f t="shared" si="17"/>
        <v>7.1196242278184468E-2</v>
      </c>
      <c r="P311" s="2" cm="1">
        <f t="array" ref="P311">SUMPRODUCT((O311&gt;$T$9:$T$14)*(O311&lt;=$U$9:$U$14),$S$9:$S$14)</f>
        <v>2</v>
      </c>
    </row>
    <row r="312" spans="1:16" x14ac:dyDescent="0.25">
      <c r="A312">
        <v>374</v>
      </c>
      <c r="B312">
        <v>1169</v>
      </c>
      <c r="C312">
        <v>2053</v>
      </c>
      <c r="D312">
        <v>9.2799999999999994</v>
      </c>
      <c r="E312">
        <v>48150</v>
      </c>
      <c r="F312">
        <v>0</v>
      </c>
      <c r="G312">
        <v>48150000</v>
      </c>
      <c r="H312">
        <v>402</v>
      </c>
      <c r="I312">
        <v>6350</v>
      </c>
      <c r="J312" s="2">
        <f t="shared" si="16"/>
        <v>58927.999999999993</v>
      </c>
      <c r="K312">
        <v>311</v>
      </c>
      <c r="L312" s="3">
        <f>SUM($I$2:$I312)</f>
        <v>4897400</v>
      </c>
      <c r="M312" s="3">
        <f>SUM($J$2:$J312)</f>
        <v>16175377.5</v>
      </c>
      <c r="N312" s="2">
        <f>SUM($D$2:$D312)</f>
        <v>1203.9800000000002</v>
      </c>
      <c r="O312" s="2">
        <f t="shared" si="17"/>
        <v>7.1749269086874137E-2</v>
      </c>
      <c r="P312" s="2" cm="1">
        <f t="array" ref="P312">SUMPRODUCT((O312&gt;$T$9:$T$14)*(O312&lt;=$U$9:$U$14),$S$9:$S$14)</f>
        <v>2</v>
      </c>
    </row>
    <row r="313" spans="1:16" x14ac:dyDescent="0.25">
      <c r="A313">
        <v>1259</v>
      </c>
      <c r="B313">
        <v>91</v>
      </c>
      <c r="C313">
        <v>1160</v>
      </c>
      <c r="D313">
        <v>1.51</v>
      </c>
      <c r="E313">
        <v>38465</v>
      </c>
      <c r="F313">
        <v>0</v>
      </c>
      <c r="G313">
        <v>38465000</v>
      </c>
      <c r="H313">
        <v>85</v>
      </c>
      <c r="I313">
        <v>6300</v>
      </c>
      <c r="J313" s="2">
        <f t="shared" si="16"/>
        <v>9513</v>
      </c>
      <c r="K313">
        <v>312</v>
      </c>
      <c r="L313" s="3">
        <f>SUM($I$2:$I313)</f>
        <v>4903700</v>
      </c>
      <c r="M313" s="3">
        <f>SUM($J$2:$J313)</f>
        <v>16184890.5</v>
      </c>
      <c r="N313" s="2">
        <f>SUM($D$2:$D313)</f>
        <v>1205.4900000000002</v>
      </c>
      <c r="O313" s="2">
        <f t="shared" si="17"/>
        <v>7.1839255130098423E-2</v>
      </c>
      <c r="P313" s="2" cm="1">
        <f t="array" ref="P313">SUMPRODUCT((O313&gt;$T$9:$T$14)*(O313&lt;=$U$9:$U$14),$S$9:$S$14)</f>
        <v>2</v>
      </c>
    </row>
    <row r="314" spans="1:16" x14ac:dyDescent="0.25">
      <c r="A314">
        <v>355</v>
      </c>
      <c r="B314">
        <v>1150</v>
      </c>
      <c r="C314">
        <v>2034</v>
      </c>
      <c r="D314">
        <v>2.0299999999999998</v>
      </c>
      <c r="E314">
        <v>48350</v>
      </c>
      <c r="F314">
        <v>0</v>
      </c>
      <c r="G314">
        <v>48350000</v>
      </c>
      <c r="H314">
        <v>403</v>
      </c>
      <c r="I314">
        <v>6250</v>
      </c>
      <c r="J314" s="2">
        <f t="shared" si="16"/>
        <v>12687.499999999998</v>
      </c>
      <c r="K314">
        <v>313</v>
      </c>
      <c r="L314" s="3">
        <f>SUM($I$2:$I314)</f>
        <v>4909950</v>
      </c>
      <c r="M314" s="3">
        <f>SUM($J$2:$J314)</f>
        <v>16197578</v>
      </c>
      <c r="N314" s="2">
        <f>SUM($D$2:$D314)</f>
        <v>1207.5200000000002</v>
      </c>
      <c r="O314" s="2">
        <f t="shared" si="17"/>
        <v>7.1960229744499282E-2</v>
      </c>
      <c r="P314" s="2" cm="1">
        <f t="array" ref="P314">SUMPRODUCT((O314&gt;$T$9:$T$14)*(O314&lt;=$U$9:$U$14),$S$9:$S$14)</f>
        <v>2</v>
      </c>
    </row>
    <row r="315" spans="1:16" x14ac:dyDescent="0.25">
      <c r="A315">
        <v>21</v>
      </c>
      <c r="B315">
        <v>817</v>
      </c>
      <c r="C315">
        <v>1570</v>
      </c>
      <c r="D315">
        <v>3.7</v>
      </c>
      <c r="E315">
        <v>48111</v>
      </c>
      <c r="F315">
        <v>0</v>
      </c>
      <c r="G315">
        <v>48111000</v>
      </c>
      <c r="H315">
        <v>402</v>
      </c>
      <c r="I315">
        <v>6200</v>
      </c>
      <c r="J315" s="2">
        <f t="shared" si="16"/>
        <v>22940</v>
      </c>
      <c r="K315">
        <v>314</v>
      </c>
      <c r="L315" s="3">
        <f>SUM($I$2:$I315)</f>
        <v>4916150</v>
      </c>
      <c r="M315" s="3">
        <f>SUM($J$2:$J315)</f>
        <v>16220518</v>
      </c>
      <c r="N315" s="2">
        <f>SUM($D$2:$D315)</f>
        <v>1211.2200000000003</v>
      </c>
      <c r="O315" s="2">
        <f t="shared" si="17"/>
        <v>7.2180725347101848E-2</v>
      </c>
      <c r="P315" s="2" cm="1">
        <f t="array" ref="P315">SUMPRODUCT((O315&gt;$T$9:$T$14)*(O315&lt;=$U$9:$U$14),$S$9:$S$14)</f>
        <v>2</v>
      </c>
    </row>
    <row r="316" spans="1:16" x14ac:dyDescent="0.25">
      <c r="A316">
        <v>1656</v>
      </c>
      <c r="B316">
        <v>1656</v>
      </c>
      <c r="C316">
        <v>2153</v>
      </c>
      <c r="D316">
        <v>10.17</v>
      </c>
      <c r="E316">
        <v>48137</v>
      </c>
      <c r="F316">
        <v>0</v>
      </c>
      <c r="G316">
        <v>48137000</v>
      </c>
      <c r="H316">
        <v>402</v>
      </c>
      <c r="I316">
        <v>6100</v>
      </c>
      <c r="J316" s="2">
        <f t="shared" si="16"/>
        <v>62037</v>
      </c>
      <c r="K316">
        <v>315</v>
      </c>
      <c r="L316" s="3">
        <f>SUM($I$2:$I316)</f>
        <v>4922250</v>
      </c>
      <c r="M316" s="3">
        <f>SUM($J$2:$J316)</f>
        <v>16282555</v>
      </c>
      <c r="N316" s="2">
        <f>SUM($D$2:$D316)</f>
        <v>1221.3900000000003</v>
      </c>
      <c r="O316" s="2">
        <f t="shared" si="17"/>
        <v>7.2786790287228356E-2</v>
      </c>
      <c r="P316" s="2" cm="1">
        <f t="array" ref="P316">SUMPRODUCT((O316&gt;$T$9:$T$14)*(O316&lt;=$U$9:$U$14),$S$9:$S$14)</f>
        <v>2</v>
      </c>
    </row>
    <row r="317" spans="1:16" x14ac:dyDescent="0.25">
      <c r="A317">
        <v>40</v>
      </c>
      <c r="B317">
        <v>836</v>
      </c>
      <c r="C317">
        <v>1590</v>
      </c>
      <c r="D317">
        <v>12.53</v>
      </c>
      <c r="E317">
        <v>48123</v>
      </c>
      <c r="F317">
        <v>0</v>
      </c>
      <c r="G317">
        <v>48123000</v>
      </c>
      <c r="H317">
        <v>402</v>
      </c>
      <c r="I317">
        <v>6050</v>
      </c>
      <c r="J317" s="2">
        <f t="shared" si="16"/>
        <v>75806.5</v>
      </c>
      <c r="K317">
        <v>316</v>
      </c>
      <c r="L317" s="3">
        <f>SUM($I$2:$I317)</f>
        <v>4928300</v>
      </c>
      <c r="M317" s="3">
        <f>SUM($J$2:$J317)</f>
        <v>16358361.5</v>
      </c>
      <c r="N317" s="2">
        <f>SUM($D$2:$D317)</f>
        <v>1233.9200000000003</v>
      </c>
      <c r="O317" s="2">
        <f t="shared" si="17"/>
        <v>7.3533495665771637E-2</v>
      </c>
      <c r="P317" s="2" cm="1">
        <f t="array" ref="P317">SUMPRODUCT((O317&gt;$T$9:$T$14)*(O317&lt;=$U$9:$U$14),$S$9:$S$14)</f>
        <v>2</v>
      </c>
    </row>
    <row r="318" spans="1:16" x14ac:dyDescent="0.25">
      <c r="A318">
        <v>95</v>
      </c>
      <c r="B318">
        <v>891</v>
      </c>
      <c r="C318">
        <v>1648</v>
      </c>
      <c r="D318">
        <v>3.49</v>
      </c>
      <c r="E318">
        <v>48120</v>
      </c>
      <c r="F318">
        <v>0</v>
      </c>
      <c r="G318">
        <v>48120000</v>
      </c>
      <c r="H318">
        <v>402</v>
      </c>
      <c r="I318">
        <v>6050</v>
      </c>
      <c r="J318" s="2">
        <f t="shared" si="16"/>
        <v>21114.5</v>
      </c>
      <c r="K318">
        <v>317</v>
      </c>
      <c r="L318" s="3">
        <f>SUM($I$2:$I318)</f>
        <v>4934350</v>
      </c>
      <c r="M318" s="3">
        <f>SUM($J$2:$J318)</f>
        <v>16379476</v>
      </c>
      <c r="N318" s="2">
        <f>SUM($D$2:$D318)</f>
        <v>1237.4100000000003</v>
      </c>
      <c r="O318" s="2">
        <f t="shared" si="17"/>
        <v>7.3741476653091345E-2</v>
      </c>
      <c r="P318" s="2" cm="1">
        <f t="array" ref="P318">SUMPRODUCT((O318&gt;$T$9:$T$14)*(O318&lt;=$U$9:$U$14),$S$9:$S$14)</f>
        <v>2</v>
      </c>
    </row>
    <row r="319" spans="1:16" x14ac:dyDescent="0.25">
      <c r="A319">
        <v>92</v>
      </c>
      <c r="B319">
        <v>888</v>
      </c>
      <c r="C319">
        <v>1645</v>
      </c>
      <c r="D319">
        <v>11.08</v>
      </c>
      <c r="E319">
        <v>48134</v>
      </c>
      <c r="F319">
        <v>0</v>
      </c>
      <c r="G319">
        <v>48134000</v>
      </c>
      <c r="H319">
        <v>402</v>
      </c>
      <c r="I319">
        <v>6000</v>
      </c>
      <c r="J319" s="2">
        <f t="shared" si="16"/>
        <v>66480</v>
      </c>
      <c r="K319">
        <v>318</v>
      </c>
      <c r="L319" s="3">
        <f>SUM($I$2:$I319)</f>
        <v>4940350</v>
      </c>
      <c r="M319" s="3">
        <f>SUM($J$2:$J319)</f>
        <v>16445956</v>
      </c>
      <c r="N319" s="2">
        <f>SUM($D$2:$D319)</f>
        <v>1248.4900000000002</v>
      </c>
      <c r="O319" s="2">
        <f t="shared" si="17"/>
        <v>7.4401771592776861E-2</v>
      </c>
      <c r="P319" s="2" cm="1">
        <f t="array" ref="P319">SUMPRODUCT((O319&gt;$T$9:$T$14)*(O319&lt;=$U$9:$U$14),$S$9:$S$14)</f>
        <v>2</v>
      </c>
    </row>
    <row r="320" spans="1:16" x14ac:dyDescent="0.25">
      <c r="A320">
        <v>609</v>
      </c>
      <c r="B320">
        <v>1396</v>
      </c>
      <c r="C320">
        <v>831</v>
      </c>
      <c r="D320">
        <v>3.14</v>
      </c>
      <c r="E320">
        <v>13570</v>
      </c>
      <c r="F320">
        <v>10</v>
      </c>
      <c r="G320">
        <v>13570100</v>
      </c>
      <c r="H320">
        <v>6</v>
      </c>
      <c r="I320">
        <v>6000</v>
      </c>
      <c r="J320" s="2">
        <f t="shared" si="16"/>
        <v>18840</v>
      </c>
      <c r="K320">
        <v>319</v>
      </c>
      <c r="L320" s="3">
        <f>SUM($I$2:$I320)</f>
        <v>4946350</v>
      </c>
      <c r="M320" s="3">
        <f>SUM($J$2:$J320)</f>
        <v>16464796</v>
      </c>
      <c r="N320" s="2">
        <f>SUM($D$2:$D320)</f>
        <v>1251.6300000000003</v>
      </c>
      <c r="O320" s="2">
        <f t="shared" si="17"/>
        <v>7.4588894887958501E-2</v>
      </c>
      <c r="P320" s="2" cm="1">
        <f t="array" ref="P320">SUMPRODUCT((O320&gt;$T$9:$T$14)*(O320&lt;=$U$9:$U$14),$S$9:$S$14)</f>
        <v>2</v>
      </c>
    </row>
    <row r="321" spans="1:16" x14ac:dyDescent="0.25">
      <c r="A321">
        <v>1808</v>
      </c>
      <c r="B321">
        <v>1808</v>
      </c>
      <c r="C321">
        <v>1636</v>
      </c>
      <c r="D321">
        <v>1.6</v>
      </c>
      <c r="E321">
        <v>49352</v>
      </c>
      <c r="F321">
        <v>0</v>
      </c>
      <c r="G321">
        <v>49352000</v>
      </c>
      <c r="H321">
        <v>417</v>
      </c>
      <c r="I321">
        <v>5950</v>
      </c>
      <c r="J321" s="2">
        <f t="shared" si="16"/>
        <v>9520</v>
      </c>
      <c r="K321">
        <v>320</v>
      </c>
      <c r="L321" s="3">
        <f>SUM($I$2:$I321)</f>
        <v>4952300</v>
      </c>
      <c r="M321" s="3">
        <f>SUM($J$2:$J321)</f>
        <v>16474316</v>
      </c>
      <c r="N321" s="2">
        <f>SUM($D$2:$D321)</f>
        <v>1253.2300000000002</v>
      </c>
      <c r="O321" s="2">
        <f t="shared" si="17"/>
        <v>7.4684244337732575E-2</v>
      </c>
      <c r="P321" s="2" cm="1">
        <f t="array" ref="P321">SUMPRODUCT((O321&gt;$T$9:$T$14)*(O321&lt;=$U$9:$U$14),$S$9:$S$14)</f>
        <v>2</v>
      </c>
    </row>
    <row r="322" spans="1:16" x14ac:dyDescent="0.25">
      <c r="A322">
        <v>19</v>
      </c>
      <c r="B322">
        <v>815</v>
      </c>
      <c r="C322">
        <v>1566</v>
      </c>
      <c r="D322">
        <v>6.53</v>
      </c>
      <c r="E322">
        <v>48170</v>
      </c>
      <c r="F322">
        <v>0</v>
      </c>
      <c r="G322">
        <v>48170000</v>
      </c>
      <c r="H322">
        <v>402</v>
      </c>
      <c r="I322">
        <v>5900</v>
      </c>
      <c r="J322" s="2">
        <f t="shared" ref="J322:J385" si="18">I322*D322</f>
        <v>38527</v>
      </c>
      <c r="K322">
        <v>321</v>
      </c>
      <c r="L322" s="3">
        <f>SUM($I$2:$I322)</f>
        <v>4958200</v>
      </c>
      <c r="M322" s="3">
        <f>SUM($J$2:$J322)</f>
        <v>16512843</v>
      </c>
      <c r="N322" s="2">
        <f>SUM($D$2:$D322)</f>
        <v>1259.7600000000002</v>
      </c>
      <c r="O322" s="2">
        <f t="shared" ref="O322:O385" si="19">N322/$T$4</f>
        <v>7.5073389279623051E-2</v>
      </c>
      <c r="P322" s="2" cm="1">
        <f t="array" ref="P322">SUMPRODUCT((O322&gt;$T$9:$T$14)*(O322&lt;=$U$9:$U$14),$S$9:$S$14)</f>
        <v>2</v>
      </c>
    </row>
    <row r="323" spans="1:16" x14ac:dyDescent="0.25">
      <c r="A323">
        <v>473</v>
      </c>
      <c r="B323">
        <v>1260</v>
      </c>
      <c r="C323">
        <v>656</v>
      </c>
      <c r="D323">
        <v>1.98</v>
      </c>
      <c r="E323">
        <v>10040</v>
      </c>
      <c r="F323">
        <v>0</v>
      </c>
      <c r="G323">
        <v>10040000</v>
      </c>
      <c r="H323" t="s">
        <v>20</v>
      </c>
      <c r="I323">
        <v>5900</v>
      </c>
      <c r="J323" s="2">
        <f t="shared" si="18"/>
        <v>11682</v>
      </c>
      <c r="K323">
        <v>322</v>
      </c>
      <c r="L323" s="3">
        <f>SUM($I$2:$I323)</f>
        <v>4964100</v>
      </c>
      <c r="M323" s="3">
        <f>SUM($J$2:$J323)</f>
        <v>16524525</v>
      </c>
      <c r="N323" s="2">
        <f>SUM($D$2:$D323)</f>
        <v>1261.7400000000002</v>
      </c>
      <c r="O323" s="2">
        <f t="shared" si="19"/>
        <v>7.5191384223718474E-2</v>
      </c>
      <c r="P323" s="2" cm="1">
        <f t="array" ref="P323">SUMPRODUCT((O323&gt;$T$9:$T$14)*(O323&lt;=$U$9:$U$14),$S$9:$S$14)</f>
        <v>2</v>
      </c>
    </row>
    <row r="324" spans="1:16" x14ac:dyDescent="0.25">
      <c r="A324">
        <v>1580</v>
      </c>
      <c r="B324">
        <v>1580</v>
      </c>
      <c r="C324">
        <v>2069</v>
      </c>
      <c r="D324">
        <v>6.99</v>
      </c>
      <c r="E324">
        <v>48000</v>
      </c>
      <c r="F324">
        <v>0</v>
      </c>
      <c r="G324">
        <v>48000000</v>
      </c>
      <c r="H324">
        <v>401</v>
      </c>
      <c r="I324">
        <v>5850</v>
      </c>
      <c r="J324" s="2">
        <f t="shared" si="18"/>
        <v>40891.5</v>
      </c>
      <c r="K324">
        <v>323</v>
      </c>
      <c r="L324" s="3">
        <f>SUM($I$2:$I324)</f>
        <v>4969950</v>
      </c>
      <c r="M324" s="3">
        <f>SUM($J$2:$J324)</f>
        <v>16565416.5</v>
      </c>
      <c r="N324" s="2">
        <f>SUM($D$2:$D324)</f>
        <v>1268.7300000000002</v>
      </c>
      <c r="O324" s="2">
        <f t="shared" si="19"/>
        <v>7.560794213241899E-2</v>
      </c>
      <c r="P324" s="2" cm="1">
        <f t="array" ref="P324">SUMPRODUCT((O324&gt;$T$9:$T$14)*(O324&lt;=$U$9:$U$14),$S$9:$S$14)</f>
        <v>2</v>
      </c>
    </row>
    <row r="325" spans="1:16" x14ac:dyDescent="0.25">
      <c r="A325">
        <v>1660</v>
      </c>
      <c r="B325">
        <v>1660</v>
      </c>
      <c r="C325">
        <v>2157</v>
      </c>
      <c r="D325">
        <v>2.16</v>
      </c>
      <c r="E325">
        <v>48112</v>
      </c>
      <c r="F325">
        <v>0</v>
      </c>
      <c r="G325">
        <v>48112000</v>
      </c>
      <c r="H325">
        <v>402</v>
      </c>
      <c r="I325">
        <v>5850</v>
      </c>
      <c r="J325" s="2">
        <f t="shared" si="18"/>
        <v>12636</v>
      </c>
      <c r="K325">
        <v>324</v>
      </c>
      <c r="L325" s="3">
        <f>SUM($I$2:$I325)</f>
        <v>4975800</v>
      </c>
      <c r="M325" s="3">
        <f>SUM($J$2:$J325)</f>
        <v>16578052.5</v>
      </c>
      <c r="N325" s="2">
        <f>SUM($D$2:$D325)</f>
        <v>1270.8900000000003</v>
      </c>
      <c r="O325" s="2">
        <f t="shared" si="19"/>
        <v>7.5736663889614003E-2</v>
      </c>
      <c r="P325" s="2" cm="1">
        <f t="array" ref="P325">SUMPRODUCT((O325&gt;$T$9:$T$14)*(O325&lt;=$U$9:$U$14),$S$9:$S$14)</f>
        <v>2</v>
      </c>
    </row>
    <row r="326" spans="1:16" x14ac:dyDescent="0.25">
      <c r="A326">
        <v>106</v>
      </c>
      <c r="B326">
        <v>902</v>
      </c>
      <c r="C326">
        <v>1660</v>
      </c>
      <c r="D326">
        <v>2.41</v>
      </c>
      <c r="E326">
        <v>49560</v>
      </c>
      <c r="F326">
        <v>0</v>
      </c>
      <c r="G326">
        <v>49560000</v>
      </c>
      <c r="H326">
        <v>417</v>
      </c>
      <c r="I326">
        <v>5700</v>
      </c>
      <c r="J326" s="2">
        <f t="shared" si="18"/>
        <v>13737</v>
      </c>
      <c r="K326">
        <v>325</v>
      </c>
      <c r="L326" s="3">
        <f>SUM($I$2:$I326)</f>
        <v>4981500</v>
      </c>
      <c r="M326" s="3">
        <f>SUM($J$2:$J326)</f>
        <v>16591789.5</v>
      </c>
      <c r="N326" s="2">
        <f>SUM($D$2:$D326)</f>
        <v>1273.3000000000004</v>
      </c>
      <c r="O326" s="2">
        <f t="shared" si="19"/>
        <v>7.5880283998336226E-2</v>
      </c>
      <c r="P326" s="2" cm="1">
        <f t="array" ref="P326">SUMPRODUCT((O326&gt;$T$9:$T$14)*(O326&lt;=$U$9:$U$14),$S$9:$S$14)</f>
        <v>2</v>
      </c>
    </row>
    <row r="327" spans="1:16" x14ac:dyDescent="0.25">
      <c r="A327">
        <v>1119</v>
      </c>
      <c r="B327">
        <v>745</v>
      </c>
      <c r="C327">
        <v>459</v>
      </c>
      <c r="D327">
        <v>1.79</v>
      </c>
      <c r="E327">
        <v>14225</v>
      </c>
      <c r="F327">
        <v>5.5</v>
      </c>
      <c r="G327">
        <v>14225055</v>
      </c>
      <c r="H327">
        <v>7</v>
      </c>
      <c r="I327">
        <v>5700</v>
      </c>
      <c r="J327" s="2">
        <f t="shared" si="18"/>
        <v>10203</v>
      </c>
      <c r="K327">
        <v>326</v>
      </c>
      <c r="L327" s="3">
        <f>SUM($I$2:$I327)</f>
        <v>4987200</v>
      </c>
      <c r="M327" s="3">
        <f>SUM($J$2:$J327)</f>
        <v>16601992.5</v>
      </c>
      <c r="N327" s="2">
        <f>SUM($D$2:$D327)</f>
        <v>1275.0900000000004</v>
      </c>
      <c r="O327" s="2">
        <f t="shared" si="19"/>
        <v>7.5986956195270974E-2</v>
      </c>
      <c r="P327" s="2" cm="1">
        <f t="array" ref="P327">SUMPRODUCT((O327&gt;$T$9:$T$14)*(O327&lt;=$U$9:$U$14),$S$9:$S$14)</f>
        <v>2</v>
      </c>
    </row>
    <row r="328" spans="1:16" x14ac:dyDescent="0.25">
      <c r="A328">
        <v>48</v>
      </c>
      <c r="B328">
        <v>844</v>
      </c>
      <c r="C328">
        <v>1599</v>
      </c>
      <c r="D328">
        <v>4.1500000000000004</v>
      </c>
      <c r="E328">
        <v>48515</v>
      </c>
      <c r="F328">
        <v>0</v>
      </c>
      <c r="G328">
        <v>48515000</v>
      </c>
      <c r="H328">
        <v>404</v>
      </c>
      <c r="I328">
        <v>5650</v>
      </c>
      <c r="J328" s="2">
        <f t="shared" si="18"/>
        <v>23447.500000000004</v>
      </c>
      <c r="K328">
        <v>327</v>
      </c>
      <c r="L328" s="3">
        <f>SUM($I$2:$I328)</f>
        <v>4992850</v>
      </c>
      <c r="M328" s="3">
        <f>SUM($J$2:$J328)</f>
        <v>16625440</v>
      </c>
      <c r="N328" s="2">
        <f>SUM($D$2:$D328)</f>
        <v>1279.2400000000005</v>
      </c>
      <c r="O328" s="2">
        <f t="shared" si="19"/>
        <v>7.6234268830622495E-2</v>
      </c>
      <c r="P328" s="2" cm="1">
        <f t="array" ref="P328">SUMPRODUCT((O328&gt;$T$9:$T$14)*(O328&lt;=$U$9:$U$14),$S$9:$S$14)</f>
        <v>2</v>
      </c>
    </row>
    <row r="329" spans="1:16" x14ac:dyDescent="0.25">
      <c r="A329">
        <v>91</v>
      </c>
      <c r="B329">
        <v>887</v>
      </c>
      <c r="C329">
        <v>1644</v>
      </c>
      <c r="D329">
        <v>9.2899999999999991</v>
      </c>
      <c r="E329">
        <v>48160</v>
      </c>
      <c r="F329">
        <v>0</v>
      </c>
      <c r="G329">
        <v>48160000</v>
      </c>
      <c r="H329">
        <v>402</v>
      </c>
      <c r="I329">
        <v>5600</v>
      </c>
      <c r="J329" s="2">
        <f t="shared" si="18"/>
        <v>52023.999999999993</v>
      </c>
      <c r="K329">
        <v>328</v>
      </c>
      <c r="L329" s="3">
        <f>SUM($I$2:$I329)</f>
        <v>4998450</v>
      </c>
      <c r="M329" s="3">
        <f>SUM($J$2:$J329)</f>
        <v>16677464</v>
      </c>
      <c r="N329" s="2">
        <f>SUM($D$2:$D329)</f>
        <v>1288.5300000000004</v>
      </c>
      <c r="O329" s="2">
        <f t="shared" si="19"/>
        <v>7.6787891573373263E-2</v>
      </c>
      <c r="P329" s="2" cm="1">
        <f t="array" ref="P329">SUMPRODUCT((O329&gt;$T$9:$T$14)*(O329&lt;=$U$9:$U$14),$S$9:$S$14)</f>
        <v>2</v>
      </c>
    </row>
    <row r="330" spans="1:16" x14ac:dyDescent="0.25">
      <c r="A330">
        <v>1533</v>
      </c>
      <c r="B330">
        <v>365</v>
      </c>
      <c r="C330">
        <v>1507</v>
      </c>
      <c r="D330">
        <v>2.09</v>
      </c>
      <c r="E330">
        <v>49562</v>
      </c>
      <c r="F330">
        <v>0</v>
      </c>
      <c r="G330">
        <v>49562000</v>
      </c>
      <c r="H330">
        <v>417</v>
      </c>
      <c r="I330">
        <v>5550</v>
      </c>
      <c r="J330" s="2">
        <f t="shared" si="18"/>
        <v>11599.5</v>
      </c>
      <c r="K330">
        <v>329</v>
      </c>
      <c r="L330" s="3">
        <f>SUM($I$2:$I330)</f>
        <v>5004000</v>
      </c>
      <c r="M330" s="3">
        <f>SUM($J$2:$J330)</f>
        <v>16689063.5</v>
      </c>
      <c r="N330" s="2">
        <f>SUM($D$2:$D330)</f>
        <v>1290.6200000000003</v>
      </c>
      <c r="O330" s="2">
        <f t="shared" si="19"/>
        <v>7.6912441792140643E-2</v>
      </c>
      <c r="P330" s="2" cm="1">
        <f t="array" ref="P330">SUMPRODUCT((O330&gt;$T$9:$T$14)*(O330&lt;=$U$9:$U$14),$S$9:$S$14)</f>
        <v>2</v>
      </c>
    </row>
    <row r="331" spans="1:16" x14ac:dyDescent="0.25">
      <c r="A331">
        <v>38</v>
      </c>
      <c r="B331">
        <v>834</v>
      </c>
      <c r="C331">
        <v>1588</v>
      </c>
      <c r="D331">
        <v>0.45</v>
      </c>
      <c r="E331">
        <v>48215</v>
      </c>
      <c r="F331">
        <v>0</v>
      </c>
      <c r="G331">
        <v>48215000</v>
      </c>
      <c r="H331">
        <v>402</v>
      </c>
      <c r="I331">
        <v>5400</v>
      </c>
      <c r="J331" s="2">
        <f t="shared" si="18"/>
        <v>2430</v>
      </c>
      <c r="K331">
        <v>330</v>
      </c>
      <c r="L331" s="3">
        <f>SUM($I$2:$I331)</f>
        <v>5009400</v>
      </c>
      <c r="M331" s="3">
        <f>SUM($J$2:$J331)</f>
        <v>16691493.5</v>
      </c>
      <c r="N331" s="2">
        <f>SUM($D$2:$D331)</f>
        <v>1291.0700000000004</v>
      </c>
      <c r="O331" s="2">
        <f t="shared" si="19"/>
        <v>7.6939258824889611E-2</v>
      </c>
      <c r="P331" s="2" cm="1">
        <f t="array" ref="P331">SUMPRODUCT((O331&gt;$T$9:$T$14)*(O331&lt;=$U$9:$U$14),$S$9:$S$14)</f>
        <v>2</v>
      </c>
    </row>
    <row r="332" spans="1:16" x14ac:dyDescent="0.25">
      <c r="A332">
        <v>1046</v>
      </c>
      <c r="B332">
        <v>672</v>
      </c>
      <c r="C332">
        <v>357</v>
      </c>
      <c r="D332">
        <v>5.7</v>
      </c>
      <c r="E332">
        <v>16450</v>
      </c>
      <c r="F332">
        <v>0</v>
      </c>
      <c r="G332">
        <v>16455000</v>
      </c>
      <c r="H332">
        <v>10</v>
      </c>
      <c r="I332">
        <v>5300</v>
      </c>
      <c r="J332" s="2">
        <f t="shared" si="18"/>
        <v>30210</v>
      </c>
      <c r="K332">
        <v>331</v>
      </c>
      <c r="L332" s="3">
        <f>SUM($I$2:$I332)</f>
        <v>5014700</v>
      </c>
      <c r="M332" s="3">
        <f>SUM($J$2:$J332)</f>
        <v>16721703.5</v>
      </c>
      <c r="N332" s="2">
        <f>SUM($D$2:$D332)</f>
        <v>1296.7700000000004</v>
      </c>
      <c r="O332" s="2">
        <f t="shared" si="19"/>
        <v>7.7278941239709784E-2</v>
      </c>
      <c r="P332" s="2" cm="1">
        <f t="array" ref="P332">SUMPRODUCT((O332&gt;$T$9:$T$14)*(O332&lt;=$U$9:$U$14),$S$9:$S$14)</f>
        <v>2</v>
      </c>
    </row>
    <row r="333" spans="1:16" x14ac:dyDescent="0.25">
      <c r="A333">
        <v>1039</v>
      </c>
      <c r="B333">
        <v>665</v>
      </c>
      <c r="C333">
        <v>348</v>
      </c>
      <c r="D333">
        <v>10.130000000000001</v>
      </c>
      <c r="E333">
        <v>16950</v>
      </c>
      <c r="F333">
        <v>5.7</v>
      </c>
      <c r="G333">
        <v>16950057</v>
      </c>
      <c r="H333">
        <v>11</v>
      </c>
      <c r="I333">
        <v>5250</v>
      </c>
      <c r="J333" s="2">
        <f t="shared" si="18"/>
        <v>53182.500000000007</v>
      </c>
      <c r="K333">
        <v>332</v>
      </c>
      <c r="L333" s="3">
        <f>SUM($I$2:$I333)</f>
        <v>5019950</v>
      </c>
      <c r="M333" s="3">
        <f>SUM($J$2:$J333)</f>
        <v>16774886</v>
      </c>
      <c r="N333" s="2">
        <f>SUM($D$2:$D333)</f>
        <v>1306.9000000000005</v>
      </c>
      <c r="O333" s="2">
        <f t="shared" si="19"/>
        <v>7.788262244359194E-2</v>
      </c>
      <c r="P333" s="2" cm="1">
        <f t="array" ref="P333">SUMPRODUCT((O333&gt;$T$9:$T$14)*(O333&lt;=$U$9:$U$14),$S$9:$S$14)</f>
        <v>2</v>
      </c>
    </row>
    <row r="334" spans="1:16" x14ac:dyDescent="0.25">
      <c r="A334">
        <v>966</v>
      </c>
      <c r="B334">
        <v>592</v>
      </c>
      <c r="C334">
        <v>254</v>
      </c>
      <c r="D334">
        <v>3.95</v>
      </c>
      <c r="E334">
        <v>13570</v>
      </c>
      <c r="F334">
        <v>0</v>
      </c>
      <c r="G334">
        <v>13570000</v>
      </c>
      <c r="H334">
        <v>6</v>
      </c>
      <c r="I334">
        <v>5250</v>
      </c>
      <c r="J334" s="2">
        <f t="shared" si="18"/>
        <v>20737.5</v>
      </c>
      <c r="K334">
        <v>333</v>
      </c>
      <c r="L334" s="3">
        <f>SUM($I$2:$I334)</f>
        <v>5025200</v>
      </c>
      <c r="M334" s="3">
        <f>SUM($J$2:$J334)</f>
        <v>16795623.5</v>
      </c>
      <c r="N334" s="2">
        <f>SUM($D$2:$D334)</f>
        <v>1310.8500000000006</v>
      </c>
      <c r="O334" s="2">
        <f t="shared" si="19"/>
        <v>7.8118016397721701E-2</v>
      </c>
      <c r="P334" s="2" cm="1">
        <f t="array" ref="P334">SUMPRODUCT((O334&gt;$T$9:$T$14)*(O334&lt;=$U$9:$U$14),$S$9:$S$14)</f>
        <v>2</v>
      </c>
    </row>
    <row r="335" spans="1:16" x14ac:dyDescent="0.25">
      <c r="A335">
        <v>522</v>
      </c>
      <c r="B335">
        <v>1309</v>
      </c>
      <c r="C335">
        <v>723</v>
      </c>
      <c r="D335">
        <v>6.18</v>
      </c>
      <c r="E335">
        <v>13570</v>
      </c>
      <c r="F335">
        <v>3.9</v>
      </c>
      <c r="G335">
        <v>13570039</v>
      </c>
      <c r="H335">
        <v>6</v>
      </c>
      <c r="I335">
        <v>5200</v>
      </c>
      <c r="J335" s="2">
        <f t="shared" si="18"/>
        <v>32136</v>
      </c>
      <c r="K335">
        <v>334</v>
      </c>
      <c r="L335" s="3">
        <f>SUM($I$2:$I335)</f>
        <v>5030400</v>
      </c>
      <c r="M335" s="3">
        <f>SUM($J$2:$J335)</f>
        <v>16827759.5</v>
      </c>
      <c r="N335" s="2">
        <f>SUM($D$2:$D335)</f>
        <v>1317.0300000000007</v>
      </c>
      <c r="O335" s="2">
        <f t="shared" si="19"/>
        <v>7.8486303647474095E-2</v>
      </c>
      <c r="P335" s="2" cm="1">
        <f t="array" ref="P335">SUMPRODUCT((O335&gt;$T$9:$T$14)*(O335&lt;=$U$9:$U$14),$S$9:$S$14)</f>
        <v>2</v>
      </c>
    </row>
    <row r="336" spans="1:16" x14ac:dyDescent="0.25">
      <c r="A336">
        <v>959</v>
      </c>
      <c r="B336">
        <v>585</v>
      </c>
      <c r="C336">
        <v>243</v>
      </c>
      <c r="D336">
        <v>1.89</v>
      </c>
      <c r="E336">
        <v>21041</v>
      </c>
      <c r="F336">
        <v>11.4</v>
      </c>
      <c r="G336">
        <v>21041114</v>
      </c>
      <c r="H336">
        <v>17</v>
      </c>
      <c r="I336">
        <v>5150</v>
      </c>
      <c r="J336" s="2">
        <f t="shared" si="18"/>
        <v>9733.5</v>
      </c>
      <c r="K336">
        <v>335</v>
      </c>
      <c r="L336" s="3">
        <f>SUM($I$2:$I336)</f>
        <v>5035550</v>
      </c>
      <c r="M336" s="3">
        <f>SUM($J$2:$J336)</f>
        <v>16837493</v>
      </c>
      <c r="N336" s="2">
        <f>SUM($D$2:$D336)</f>
        <v>1318.9200000000008</v>
      </c>
      <c r="O336" s="2">
        <f t="shared" si="19"/>
        <v>7.8598935185019744E-2</v>
      </c>
      <c r="P336" s="2" cm="1">
        <f t="array" ref="P336">SUMPRODUCT((O336&gt;$T$9:$T$14)*(O336&lt;=$U$9:$U$14),$S$9:$S$14)</f>
        <v>2</v>
      </c>
    </row>
    <row r="337" spans="1:16" x14ac:dyDescent="0.25">
      <c r="A337">
        <v>83</v>
      </c>
      <c r="B337">
        <v>879</v>
      </c>
      <c r="C337">
        <v>1636</v>
      </c>
      <c r="D337">
        <v>4.0999999999999996</v>
      </c>
      <c r="E337">
        <v>49344</v>
      </c>
      <c r="F337">
        <v>0</v>
      </c>
      <c r="G337">
        <v>49344000</v>
      </c>
      <c r="H337">
        <v>417</v>
      </c>
      <c r="I337">
        <v>5100</v>
      </c>
      <c r="J337" s="2">
        <f t="shared" si="18"/>
        <v>20910</v>
      </c>
      <c r="K337">
        <v>336</v>
      </c>
      <c r="L337" s="3">
        <f>SUM($I$2:$I337)</f>
        <v>5040650</v>
      </c>
      <c r="M337" s="3">
        <f>SUM($J$2:$J337)</f>
        <v>16858403</v>
      </c>
      <c r="N337" s="2">
        <f>SUM($D$2:$D337)</f>
        <v>1323.0200000000007</v>
      </c>
      <c r="O337" s="2">
        <f t="shared" si="19"/>
        <v>7.8843268150065815E-2</v>
      </c>
      <c r="P337" s="2" cm="1">
        <f t="array" ref="P337">SUMPRODUCT((O337&gt;$T$9:$T$14)*(O337&lt;=$U$9:$U$14),$S$9:$S$14)</f>
        <v>2</v>
      </c>
    </row>
    <row r="338" spans="1:16" x14ac:dyDescent="0.25">
      <c r="A338">
        <v>472</v>
      </c>
      <c r="B338">
        <v>1259</v>
      </c>
      <c r="C338">
        <v>655</v>
      </c>
      <c r="D338">
        <v>2.88</v>
      </c>
      <c r="E338">
        <v>10032</v>
      </c>
      <c r="F338">
        <v>0</v>
      </c>
      <c r="G338">
        <v>10032000</v>
      </c>
      <c r="H338" t="s">
        <v>20</v>
      </c>
      <c r="I338">
        <v>5100</v>
      </c>
      <c r="J338" s="2">
        <f t="shared" si="18"/>
        <v>14688</v>
      </c>
      <c r="K338">
        <v>337</v>
      </c>
      <c r="L338" s="3">
        <f>SUM($I$2:$I338)</f>
        <v>5045750</v>
      </c>
      <c r="M338" s="3">
        <f>SUM($J$2:$J338)</f>
        <v>16873091</v>
      </c>
      <c r="N338" s="2">
        <f>SUM($D$2:$D338)</f>
        <v>1325.9000000000008</v>
      </c>
      <c r="O338" s="2">
        <f t="shared" si="19"/>
        <v>7.9014897159659175E-2</v>
      </c>
      <c r="P338" s="2" cm="1">
        <f t="array" ref="P338">SUMPRODUCT((O338&gt;$T$9:$T$14)*(O338&lt;=$U$9:$U$14),$S$9:$S$14)</f>
        <v>2</v>
      </c>
    </row>
    <row r="339" spans="1:16" x14ac:dyDescent="0.25">
      <c r="A339">
        <v>35</v>
      </c>
      <c r="B339">
        <v>831</v>
      </c>
      <c r="C339">
        <v>1585</v>
      </c>
      <c r="D339">
        <v>2.41</v>
      </c>
      <c r="E339">
        <v>49354</v>
      </c>
      <c r="F339">
        <v>0</v>
      </c>
      <c r="G339">
        <v>49354000</v>
      </c>
      <c r="H339">
        <v>417</v>
      </c>
      <c r="I339">
        <v>5100</v>
      </c>
      <c r="J339" s="2">
        <f t="shared" si="18"/>
        <v>12291</v>
      </c>
      <c r="K339">
        <v>338</v>
      </c>
      <c r="L339" s="3">
        <f>SUM($I$2:$I339)</f>
        <v>5050850</v>
      </c>
      <c r="M339" s="3">
        <f>SUM($J$2:$J339)</f>
        <v>16885382</v>
      </c>
      <c r="N339" s="2">
        <f>SUM($D$2:$D339)</f>
        <v>1328.3100000000009</v>
      </c>
      <c r="O339" s="2">
        <f t="shared" si="19"/>
        <v>7.9158517268381384E-2</v>
      </c>
      <c r="P339" s="2" cm="1">
        <f t="array" ref="P339">SUMPRODUCT((O339&gt;$T$9:$T$14)*(O339&lt;=$U$9:$U$14),$S$9:$S$14)</f>
        <v>2</v>
      </c>
    </row>
    <row r="340" spans="1:16" x14ac:dyDescent="0.25">
      <c r="A340">
        <v>923</v>
      </c>
      <c r="B340">
        <v>549</v>
      </c>
      <c r="C340">
        <v>198</v>
      </c>
      <c r="D340">
        <v>7.95</v>
      </c>
      <c r="E340">
        <v>16960</v>
      </c>
      <c r="F340">
        <v>5.6</v>
      </c>
      <c r="G340">
        <v>16960056</v>
      </c>
      <c r="H340">
        <v>11</v>
      </c>
      <c r="I340">
        <v>5050</v>
      </c>
      <c r="J340" s="2">
        <f t="shared" si="18"/>
        <v>40147.5</v>
      </c>
      <c r="K340">
        <v>339</v>
      </c>
      <c r="L340" s="3">
        <f>SUM($I$2:$I340)</f>
        <v>5055900</v>
      </c>
      <c r="M340" s="3">
        <f>SUM($J$2:$J340)</f>
        <v>16925529.5</v>
      </c>
      <c r="N340" s="2">
        <f>SUM($D$2:$D340)</f>
        <v>1336.2600000000009</v>
      </c>
      <c r="O340" s="2">
        <f t="shared" si="19"/>
        <v>7.9632284846946358E-2</v>
      </c>
      <c r="P340" s="2" cm="1">
        <f t="array" ref="P340">SUMPRODUCT((O340&gt;$T$9:$T$14)*(O340&lt;=$U$9:$U$14),$S$9:$S$14)</f>
        <v>2</v>
      </c>
    </row>
    <row r="341" spans="1:16" x14ac:dyDescent="0.25">
      <c r="A341">
        <v>512</v>
      </c>
      <c r="B341">
        <v>1299</v>
      </c>
      <c r="C341">
        <v>709</v>
      </c>
      <c r="D341">
        <v>2.48</v>
      </c>
      <c r="E341">
        <v>10046</v>
      </c>
      <c r="F341">
        <v>0</v>
      </c>
      <c r="G341">
        <v>10046000</v>
      </c>
      <c r="H341" t="s">
        <v>20</v>
      </c>
      <c r="I341">
        <v>5050</v>
      </c>
      <c r="J341" s="2">
        <f t="shared" si="18"/>
        <v>12524</v>
      </c>
      <c r="K341">
        <v>340</v>
      </c>
      <c r="L341" s="3">
        <f>SUM($I$2:$I341)</f>
        <v>5060950</v>
      </c>
      <c r="M341" s="3">
        <f>SUM($J$2:$J341)</f>
        <v>16938053.5</v>
      </c>
      <c r="N341" s="2">
        <f>SUM($D$2:$D341)</f>
        <v>1338.7400000000009</v>
      </c>
      <c r="O341" s="2">
        <f t="shared" si="19"/>
        <v>7.9780076494096186E-2</v>
      </c>
      <c r="P341" s="2" cm="1">
        <f t="array" ref="P341">SUMPRODUCT((O341&gt;$T$9:$T$14)*(O341&lt;=$U$9:$U$14),$S$9:$S$14)</f>
        <v>2</v>
      </c>
    </row>
    <row r="342" spans="1:16" x14ac:dyDescent="0.25">
      <c r="A342">
        <v>1659</v>
      </c>
      <c r="B342">
        <v>1659</v>
      </c>
      <c r="C342">
        <v>2156</v>
      </c>
      <c r="D342">
        <v>0.89</v>
      </c>
      <c r="E342">
        <v>49570</v>
      </c>
      <c r="F342">
        <v>0</v>
      </c>
      <c r="G342">
        <v>49570000</v>
      </c>
      <c r="H342">
        <v>417</v>
      </c>
      <c r="I342">
        <v>5050</v>
      </c>
      <c r="J342" s="2">
        <f t="shared" si="18"/>
        <v>4494.5</v>
      </c>
      <c r="K342">
        <v>341</v>
      </c>
      <c r="L342" s="3">
        <f>SUM($I$2:$I342)</f>
        <v>5066000</v>
      </c>
      <c r="M342" s="3">
        <f>SUM($J$2:$J342)</f>
        <v>16942548</v>
      </c>
      <c r="N342" s="2">
        <f>SUM($D$2:$D342)</f>
        <v>1339.630000000001</v>
      </c>
      <c r="O342" s="2">
        <f t="shared" si="19"/>
        <v>7.9833114625533025E-2</v>
      </c>
      <c r="P342" s="2" cm="1">
        <f t="array" ref="P342">SUMPRODUCT((O342&gt;$T$9:$T$14)*(O342&lt;=$U$9:$U$14),$S$9:$S$14)</f>
        <v>2</v>
      </c>
    </row>
    <row r="343" spans="1:16" x14ac:dyDescent="0.25">
      <c r="A343">
        <v>1409</v>
      </c>
      <c r="B343">
        <v>241</v>
      </c>
      <c r="C343">
        <v>1358</v>
      </c>
      <c r="D343">
        <v>0.86</v>
      </c>
      <c r="E343">
        <v>47100</v>
      </c>
      <c r="F343">
        <v>0</v>
      </c>
      <c r="G343">
        <v>47100000</v>
      </c>
      <c r="H343" t="s">
        <v>21</v>
      </c>
      <c r="I343">
        <v>5050</v>
      </c>
      <c r="J343" s="2">
        <f t="shared" si="18"/>
        <v>4343</v>
      </c>
      <c r="K343">
        <v>342</v>
      </c>
      <c r="L343" s="3">
        <f>SUM($I$2:$I343)</f>
        <v>5071050</v>
      </c>
      <c r="M343" s="3">
        <f>SUM($J$2:$J343)</f>
        <v>16946891</v>
      </c>
      <c r="N343" s="2">
        <f>SUM($D$2:$D343)</f>
        <v>1340.4900000000009</v>
      </c>
      <c r="O343" s="2">
        <f t="shared" si="19"/>
        <v>7.9884364954786583E-2</v>
      </c>
      <c r="P343" s="2" cm="1">
        <f t="array" ref="P343">SUMPRODUCT((O343&gt;$T$9:$T$14)*(O343&lt;=$U$9:$U$14),$S$9:$S$14)</f>
        <v>2</v>
      </c>
    </row>
    <row r="344" spans="1:16" x14ac:dyDescent="0.25">
      <c r="A344">
        <v>468</v>
      </c>
      <c r="B344">
        <v>1255</v>
      </c>
      <c r="C344">
        <v>651</v>
      </c>
      <c r="D344">
        <v>1.2</v>
      </c>
      <c r="E344">
        <v>14603</v>
      </c>
      <c r="F344">
        <v>0</v>
      </c>
      <c r="G344">
        <v>14603000</v>
      </c>
      <c r="H344">
        <v>7</v>
      </c>
      <c r="I344">
        <v>5000</v>
      </c>
      <c r="J344" s="2">
        <f t="shared" si="18"/>
        <v>6000</v>
      </c>
      <c r="K344">
        <v>343</v>
      </c>
      <c r="L344" s="3">
        <f>SUM($I$2:$I344)</f>
        <v>5076050</v>
      </c>
      <c r="M344" s="3">
        <f>SUM($J$2:$J344)</f>
        <v>16952891</v>
      </c>
      <c r="N344" s="2">
        <f>SUM($D$2:$D344)</f>
        <v>1341.690000000001</v>
      </c>
      <c r="O344" s="2">
        <f t="shared" si="19"/>
        <v>7.9955877042117152E-2</v>
      </c>
      <c r="P344" s="2" cm="1">
        <f t="array" ref="P344">SUMPRODUCT((O344&gt;$T$9:$T$14)*(O344&lt;=$U$9:$U$14),$S$9:$S$14)</f>
        <v>2</v>
      </c>
    </row>
    <row r="345" spans="1:16" x14ac:dyDescent="0.25">
      <c r="A345">
        <v>1633</v>
      </c>
      <c r="B345">
        <v>1633</v>
      </c>
      <c r="C345">
        <v>2128</v>
      </c>
      <c r="D345">
        <v>11.49</v>
      </c>
      <c r="E345">
        <v>48370</v>
      </c>
      <c r="F345">
        <v>0</v>
      </c>
      <c r="G345">
        <v>48370000</v>
      </c>
      <c r="H345">
        <v>403</v>
      </c>
      <c r="I345">
        <v>4950</v>
      </c>
      <c r="J345" s="2">
        <f t="shared" si="18"/>
        <v>56875.5</v>
      </c>
      <c r="K345">
        <v>344</v>
      </c>
      <c r="L345" s="3">
        <f>SUM($I$2:$I345)</f>
        <v>5081000</v>
      </c>
      <c r="M345" s="3">
        <f>SUM($J$2:$J345)</f>
        <v>17009766.5</v>
      </c>
      <c r="N345" s="2">
        <f>SUM($D$2:$D345)</f>
        <v>1353.180000000001</v>
      </c>
      <c r="O345" s="2">
        <f t="shared" si="19"/>
        <v>8.064060527830727E-2</v>
      </c>
      <c r="P345" s="2" cm="1">
        <f t="array" ref="P345">SUMPRODUCT((O345&gt;$T$9:$T$14)*(O345&lt;=$U$9:$U$14),$S$9:$S$14)</f>
        <v>2</v>
      </c>
    </row>
    <row r="346" spans="1:16" x14ac:dyDescent="0.25">
      <c r="A346">
        <v>1017</v>
      </c>
      <c r="B346">
        <v>643</v>
      </c>
      <c r="C346">
        <v>320</v>
      </c>
      <c r="D346">
        <v>3</v>
      </c>
      <c r="E346">
        <v>14607</v>
      </c>
      <c r="F346">
        <v>0</v>
      </c>
      <c r="G346">
        <v>14607000</v>
      </c>
      <c r="H346">
        <v>7</v>
      </c>
      <c r="I346">
        <v>4950</v>
      </c>
      <c r="J346" s="2">
        <f t="shared" si="18"/>
        <v>14850</v>
      </c>
      <c r="K346">
        <v>345</v>
      </c>
      <c r="L346" s="3">
        <f>SUM($I$2:$I346)</f>
        <v>5085950</v>
      </c>
      <c r="M346" s="3">
        <f>SUM($J$2:$J346)</f>
        <v>17024616.5</v>
      </c>
      <c r="N346" s="2">
        <f>SUM($D$2:$D346)</f>
        <v>1356.180000000001</v>
      </c>
      <c r="O346" s="2">
        <f t="shared" si="19"/>
        <v>8.0819385496633672E-2</v>
      </c>
      <c r="P346" s="2" cm="1">
        <f t="array" ref="P346">SUMPRODUCT((O346&gt;$T$9:$T$14)*(O346&lt;=$U$9:$U$14),$S$9:$S$14)</f>
        <v>2</v>
      </c>
    </row>
    <row r="347" spans="1:16" x14ac:dyDescent="0.25">
      <c r="A347">
        <v>1164</v>
      </c>
      <c r="B347">
        <v>790</v>
      </c>
      <c r="C347">
        <v>510</v>
      </c>
      <c r="D347">
        <v>2.4900000000000002</v>
      </c>
      <c r="E347">
        <v>10011</v>
      </c>
      <c r="F347">
        <v>0</v>
      </c>
      <c r="G347">
        <v>10011000</v>
      </c>
      <c r="H347" t="s">
        <v>20</v>
      </c>
      <c r="I347">
        <v>4950</v>
      </c>
      <c r="J347" s="2">
        <f t="shared" si="18"/>
        <v>12325.500000000002</v>
      </c>
      <c r="K347">
        <v>346</v>
      </c>
      <c r="L347" s="3">
        <f>SUM($I$2:$I347)</f>
        <v>5090900</v>
      </c>
      <c r="M347" s="3">
        <f>SUM($J$2:$J347)</f>
        <v>17036942</v>
      </c>
      <c r="N347" s="2">
        <f>SUM($D$2:$D347)</f>
        <v>1358.670000000001</v>
      </c>
      <c r="O347" s="2">
        <f t="shared" si="19"/>
        <v>8.0967773077844585E-2</v>
      </c>
      <c r="P347" s="2" cm="1">
        <f t="array" ref="P347">SUMPRODUCT((O347&gt;$T$9:$T$14)*(O347&lt;=$U$9:$U$14),$S$9:$S$14)</f>
        <v>2</v>
      </c>
    </row>
    <row r="348" spans="1:16" x14ac:dyDescent="0.25">
      <c r="A348">
        <v>90</v>
      </c>
      <c r="B348">
        <v>886</v>
      </c>
      <c r="C348">
        <v>1643</v>
      </c>
      <c r="D348">
        <v>1.84</v>
      </c>
      <c r="E348">
        <v>48205</v>
      </c>
      <c r="F348">
        <v>0</v>
      </c>
      <c r="G348">
        <v>48205000</v>
      </c>
      <c r="H348">
        <v>402</v>
      </c>
      <c r="I348">
        <v>4950</v>
      </c>
      <c r="J348" s="2">
        <f t="shared" si="18"/>
        <v>9108</v>
      </c>
      <c r="K348">
        <v>347</v>
      </c>
      <c r="L348" s="3">
        <f>SUM($I$2:$I348)</f>
        <v>5095850</v>
      </c>
      <c r="M348" s="3">
        <f>SUM($J$2:$J348)</f>
        <v>17046050</v>
      </c>
      <c r="N348" s="2">
        <f>SUM($D$2:$D348)</f>
        <v>1360.5100000000009</v>
      </c>
      <c r="O348" s="2">
        <f t="shared" si="19"/>
        <v>8.1077424945084783E-2</v>
      </c>
      <c r="P348" s="2" cm="1">
        <f t="array" ref="P348">SUMPRODUCT((O348&gt;$T$9:$T$14)*(O348&lt;=$U$9:$U$14),$S$9:$S$14)</f>
        <v>2</v>
      </c>
    </row>
    <row r="349" spans="1:16" x14ac:dyDescent="0.25">
      <c r="A349">
        <v>1163</v>
      </c>
      <c r="B349">
        <v>789</v>
      </c>
      <c r="C349">
        <v>509</v>
      </c>
      <c r="D349">
        <v>0.99</v>
      </c>
      <c r="E349">
        <v>10008</v>
      </c>
      <c r="F349">
        <v>0</v>
      </c>
      <c r="G349">
        <v>10008000</v>
      </c>
      <c r="H349" t="s">
        <v>20</v>
      </c>
      <c r="I349">
        <v>4950</v>
      </c>
      <c r="J349" s="2">
        <f t="shared" si="18"/>
        <v>4900.5</v>
      </c>
      <c r="K349">
        <v>348</v>
      </c>
      <c r="L349" s="3">
        <f>SUM($I$2:$I349)</f>
        <v>5100800</v>
      </c>
      <c r="M349" s="3">
        <f>SUM($J$2:$J349)</f>
        <v>17050950.5</v>
      </c>
      <c r="N349" s="2">
        <f>SUM($D$2:$D349)</f>
        <v>1361.5000000000009</v>
      </c>
      <c r="O349" s="2">
        <f t="shared" si="19"/>
        <v>8.1136422417132495E-2</v>
      </c>
      <c r="P349" s="2" cm="1">
        <f t="array" ref="P349">SUMPRODUCT((O349&gt;$T$9:$T$14)*(O349&lt;=$U$9:$U$14),$S$9:$S$14)</f>
        <v>2</v>
      </c>
    </row>
    <row r="350" spans="1:16" x14ac:dyDescent="0.25">
      <c r="A350">
        <v>121</v>
      </c>
      <c r="B350">
        <v>917</v>
      </c>
      <c r="C350">
        <v>1676</v>
      </c>
      <c r="D350">
        <v>9.9600000000000009</v>
      </c>
      <c r="E350">
        <v>48380</v>
      </c>
      <c r="F350">
        <v>0</v>
      </c>
      <c r="G350">
        <v>48380000</v>
      </c>
      <c r="H350">
        <v>403</v>
      </c>
      <c r="I350">
        <v>4800</v>
      </c>
      <c r="J350" s="2">
        <f t="shared" si="18"/>
        <v>47808.000000000007</v>
      </c>
      <c r="K350">
        <v>349</v>
      </c>
      <c r="L350" s="3">
        <f>SUM($I$2:$I350)</f>
        <v>5105600</v>
      </c>
      <c r="M350" s="3">
        <f>SUM($J$2:$J350)</f>
        <v>17098758.5</v>
      </c>
      <c r="N350" s="2">
        <f>SUM($D$2:$D350)</f>
        <v>1371.4600000000009</v>
      </c>
      <c r="O350" s="2">
        <f t="shared" si="19"/>
        <v>8.1729972741976145E-2</v>
      </c>
      <c r="P350" s="2" cm="1">
        <f t="array" ref="P350">SUMPRODUCT((O350&gt;$T$9:$T$14)*(O350&lt;=$U$9:$U$14),$S$9:$S$14)</f>
        <v>2</v>
      </c>
    </row>
    <row r="351" spans="1:16" x14ac:dyDescent="0.25">
      <c r="A351">
        <v>418</v>
      </c>
      <c r="B351">
        <v>409</v>
      </c>
      <c r="C351">
        <v>537</v>
      </c>
      <c r="D351">
        <v>5.59</v>
      </c>
      <c r="E351">
        <v>16950</v>
      </c>
      <c r="F351">
        <v>0</v>
      </c>
      <c r="G351">
        <v>16950000</v>
      </c>
      <c r="H351">
        <v>11</v>
      </c>
      <c r="I351">
        <v>4800</v>
      </c>
      <c r="J351" s="2">
        <f t="shared" si="18"/>
        <v>26832</v>
      </c>
      <c r="K351">
        <v>350</v>
      </c>
      <c r="L351" s="3">
        <f>SUM($I$2:$I351)</f>
        <v>5110400</v>
      </c>
      <c r="M351" s="3">
        <f>SUM($J$2:$J351)</f>
        <v>17125590.5</v>
      </c>
      <c r="N351" s="2">
        <f>SUM($D$2:$D351)</f>
        <v>1377.0500000000009</v>
      </c>
      <c r="O351" s="2">
        <f t="shared" si="19"/>
        <v>8.2063099882124346E-2</v>
      </c>
      <c r="P351" s="2" cm="1">
        <f t="array" ref="P351">SUMPRODUCT((O351&gt;$T$9:$T$14)*(O351&lt;=$U$9:$U$14),$S$9:$S$14)</f>
        <v>2</v>
      </c>
    </row>
    <row r="352" spans="1:16" x14ac:dyDescent="0.25">
      <c r="A352">
        <v>1536</v>
      </c>
      <c r="B352">
        <v>368</v>
      </c>
      <c r="C352">
        <v>1512</v>
      </c>
      <c r="D352">
        <v>4.05</v>
      </c>
      <c r="E352">
        <v>48530</v>
      </c>
      <c r="F352">
        <v>0</v>
      </c>
      <c r="G352">
        <v>48530000</v>
      </c>
      <c r="H352">
        <v>404</v>
      </c>
      <c r="I352">
        <v>4800</v>
      </c>
      <c r="J352" s="2">
        <f t="shared" si="18"/>
        <v>19440</v>
      </c>
      <c r="K352">
        <v>351</v>
      </c>
      <c r="L352" s="3">
        <f>SUM($I$2:$I352)</f>
        <v>5115200</v>
      </c>
      <c r="M352" s="3">
        <f>SUM($J$2:$J352)</f>
        <v>17145030.5</v>
      </c>
      <c r="N352" s="2">
        <f>SUM($D$2:$D352)</f>
        <v>1381.1000000000008</v>
      </c>
      <c r="O352" s="2">
        <f t="shared" si="19"/>
        <v>8.2304453176864981E-2</v>
      </c>
      <c r="P352" s="2" cm="1">
        <f t="array" ref="P352">SUMPRODUCT((O352&gt;$T$9:$T$14)*(O352&lt;=$U$9:$U$14),$S$9:$S$14)</f>
        <v>2</v>
      </c>
    </row>
    <row r="353" spans="1:16" x14ac:dyDescent="0.25">
      <c r="A353">
        <v>1655</v>
      </c>
      <c r="B353">
        <v>1655</v>
      </c>
      <c r="C353">
        <v>2152</v>
      </c>
      <c r="D353">
        <v>2.77</v>
      </c>
      <c r="E353">
        <v>48180</v>
      </c>
      <c r="F353">
        <v>0</v>
      </c>
      <c r="G353">
        <v>48180000</v>
      </c>
      <c r="H353">
        <v>402</v>
      </c>
      <c r="I353">
        <v>4800</v>
      </c>
      <c r="J353" s="2">
        <f t="shared" si="18"/>
        <v>13296</v>
      </c>
      <c r="K353">
        <v>352</v>
      </c>
      <c r="L353" s="3">
        <f>SUM($I$2:$I353)</f>
        <v>5120000</v>
      </c>
      <c r="M353" s="3">
        <f>SUM($J$2:$J353)</f>
        <v>17158326.5</v>
      </c>
      <c r="N353" s="2">
        <f>SUM($D$2:$D353)</f>
        <v>1383.8700000000008</v>
      </c>
      <c r="O353" s="2">
        <f t="shared" si="19"/>
        <v>8.2469526911786356E-2</v>
      </c>
      <c r="P353" s="2" cm="1">
        <f t="array" ref="P353">SUMPRODUCT((O353&gt;$T$9:$T$14)*(O353&lt;=$U$9:$U$14),$S$9:$S$14)</f>
        <v>2</v>
      </c>
    </row>
    <row r="354" spans="1:16" x14ac:dyDescent="0.25">
      <c r="A354">
        <v>1150</v>
      </c>
      <c r="B354">
        <v>776</v>
      </c>
      <c r="C354">
        <v>494</v>
      </c>
      <c r="D354">
        <v>2.1</v>
      </c>
      <c r="E354">
        <v>16990</v>
      </c>
      <c r="F354">
        <v>0</v>
      </c>
      <c r="G354">
        <v>16990000</v>
      </c>
      <c r="H354">
        <v>11</v>
      </c>
      <c r="I354">
        <v>4800</v>
      </c>
      <c r="J354" s="2">
        <f t="shared" si="18"/>
        <v>10080</v>
      </c>
      <c r="K354">
        <v>353</v>
      </c>
      <c r="L354" s="3">
        <f>SUM($I$2:$I354)</f>
        <v>5124800</v>
      </c>
      <c r="M354" s="3">
        <f>SUM($J$2:$J354)</f>
        <v>17168406.5</v>
      </c>
      <c r="N354" s="2">
        <f>SUM($D$2:$D354)</f>
        <v>1385.9700000000007</v>
      </c>
      <c r="O354" s="2">
        <f t="shared" si="19"/>
        <v>8.2594673064614835E-2</v>
      </c>
      <c r="P354" s="2" cm="1">
        <f t="array" ref="P354">SUMPRODUCT((O354&gt;$T$9:$T$14)*(O354&lt;=$U$9:$U$14),$S$9:$S$14)</f>
        <v>2</v>
      </c>
    </row>
    <row r="355" spans="1:16" x14ac:dyDescent="0.25">
      <c r="A355">
        <v>1582</v>
      </c>
      <c r="B355">
        <v>1582</v>
      </c>
      <c r="C355">
        <v>2071</v>
      </c>
      <c r="D355">
        <v>7.78</v>
      </c>
      <c r="E355">
        <v>49340</v>
      </c>
      <c r="F355">
        <v>0</v>
      </c>
      <c r="G355">
        <v>49340000</v>
      </c>
      <c r="H355">
        <v>417</v>
      </c>
      <c r="I355">
        <v>4750</v>
      </c>
      <c r="J355" s="2">
        <f t="shared" si="18"/>
        <v>36955</v>
      </c>
      <c r="K355">
        <v>354</v>
      </c>
      <c r="L355" s="3">
        <f>SUM($I$2:$I355)</f>
        <v>5129550</v>
      </c>
      <c r="M355" s="3">
        <f>SUM($J$2:$J355)</f>
        <v>17205361.5</v>
      </c>
      <c r="N355" s="2">
        <f>SUM($D$2:$D355)</f>
        <v>1393.7500000000007</v>
      </c>
      <c r="O355" s="2">
        <f t="shared" si="19"/>
        <v>8.3058309764141303E-2</v>
      </c>
      <c r="P355" s="2" cm="1">
        <f t="array" ref="P355">SUMPRODUCT((O355&gt;$T$9:$T$14)*(O355&lt;=$U$9:$U$14),$S$9:$S$14)</f>
        <v>2</v>
      </c>
    </row>
    <row r="356" spans="1:16" x14ac:dyDescent="0.25">
      <c r="A356">
        <v>1815</v>
      </c>
      <c r="B356">
        <v>1815</v>
      </c>
      <c r="C356">
        <v>0</v>
      </c>
      <c r="D356">
        <v>3.36</v>
      </c>
      <c r="E356">
        <v>49085</v>
      </c>
      <c r="F356">
        <v>0</v>
      </c>
      <c r="G356">
        <v>49085000</v>
      </c>
      <c r="H356">
        <v>410</v>
      </c>
      <c r="I356">
        <v>4750</v>
      </c>
      <c r="J356" s="2">
        <f t="shared" si="18"/>
        <v>15960</v>
      </c>
      <c r="K356">
        <v>355</v>
      </c>
      <c r="L356" s="3">
        <f>SUM($I$2:$I356)</f>
        <v>5134300</v>
      </c>
      <c r="M356" s="3">
        <f>SUM($J$2:$J356)</f>
        <v>17221321.5</v>
      </c>
      <c r="N356" s="2">
        <f>SUM($D$2:$D356)</f>
        <v>1397.1100000000006</v>
      </c>
      <c r="O356" s="2">
        <f t="shared" si="19"/>
        <v>8.3258543608666871E-2</v>
      </c>
      <c r="P356" s="2" cm="1">
        <f t="array" ref="P356">SUMPRODUCT((O356&gt;$T$9:$T$14)*(O356&lt;=$U$9:$U$14),$S$9:$S$14)</f>
        <v>2</v>
      </c>
    </row>
    <row r="357" spans="1:16" x14ac:dyDescent="0.25">
      <c r="A357">
        <v>1273</v>
      </c>
      <c r="B357">
        <v>105</v>
      </c>
      <c r="C357">
        <v>1183</v>
      </c>
      <c r="D357">
        <v>1.59</v>
      </c>
      <c r="E357">
        <v>38455</v>
      </c>
      <c r="F357">
        <v>0</v>
      </c>
      <c r="G357">
        <v>38455000</v>
      </c>
      <c r="H357">
        <v>85</v>
      </c>
      <c r="I357">
        <v>4750</v>
      </c>
      <c r="J357" s="2">
        <f t="shared" si="18"/>
        <v>7552.5</v>
      </c>
      <c r="K357">
        <v>356</v>
      </c>
      <c r="L357" s="3">
        <f>SUM($I$2:$I357)</f>
        <v>5139050</v>
      </c>
      <c r="M357" s="3">
        <f>SUM($J$2:$J357)</f>
        <v>17228874</v>
      </c>
      <c r="N357" s="2">
        <f>SUM($D$2:$D357)</f>
        <v>1398.7000000000005</v>
      </c>
      <c r="O357" s="2">
        <f t="shared" si="19"/>
        <v>8.335329712437986E-2</v>
      </c>
      <c r="P357" s="2" cm="1">
        <f t="array" ref="P357">SUMPRODUCT((O357&gt;$T$9:$T$14)*(O357&lt;=$U$9:$U$14),$S$9:$S$14)</f>
        <v>2</v>
      </c>
    </row>
    <row r="358" spans="1:16" x14ac:dyDescent="0.25">
      <c r="A358">
        <v>494</v>
      </c>
      <c r="B358">
        <v>1281</v>
      </c>
      <c r="C358">
        <v>681</v>
      </c>
      <c r="D358">
        <v>2.4</v>
      </c>
      <c r="E358">
        <v>16980</v>
      </c>
      <c r="F358">
        <v>0</v>
      </c>
      <c r="G358">
        <v>16980000</v>
      </c>
      <c r="H358">
        <v>11</v>
      </c>
      <c r="I358">
        <v>4700</v>
      </c>
      <c r="J358" s="2">
        <f t="shared" si="18"/>
        <v>11280</v>
      </c>
      <c r="K358">
        <v>357</v>
      </c>
      <c r="L358" s="3">
        <f>SUM($I$2:$I358)</f>
        <v>5143750</v>
      </c>
      <c r="M358" s="3">
        <f>SUM($J$2:$J358)</f>
        <v>17240154</v>
      </c>
      <c r="N358" s="2">
        <f>SUM($D$2:$D358)</f>
        <v>1401.1000000000006</v>
      </c>
      <c r="O358" s="2">
        <f t="shared" si="19"/>
        <v>8.3496321299040985E-2</v>
      </c>
      <c r="P358" s="2" cm="1">
        <f t="array" ref="P358">SUMPRODUCT((O358&gt;$T$9:$T$14)*(O358&lt;=$U$9:$U$14),$S$9:$S$14)</f>
        <v>2</v>
      </c>
    </row>
    <row r="359" spans="1:16" x14ac:dyDescent="0.25">
      <c r="A359">
        <v>946</v>
      </c>
      <c r="B359">
        <v>572</v>
      </c>
      <c r="C359">
        <v>230</v>
      </c>
      <c r="D359">
        <v>0.71</v>
      </c>
      <c r="E359">
        <v>13545</v>
      </c>
      <c r="F359">
        <v>0</v>
      </c>
      <c r="G359">
        <v>13545000</v>
      </c>
      <c r="H359">
        <v>6</v>
      </c>
      <c r="I359">
        <v>4650</v>
      </c>
      <c r="J359" s="2">
        <f t="shared" si="18"/>
        <v>3301.5</v>
      </c>
      <c r="K359">
        <v>358</v>
      </c>
      <c r="L359" s="3">
        <f>SUM($I$2:$I359)</f>
        <v>5148400</v>
      </c>
      <c r="M359" s="3">
        <f>SUM($J$2:$J359)</f>
        <v>17243455.5</v>
      </c>
      <c r="N359" s="2">
        <f>SUM($D$2:$D359)</f>
        <v>1401.8100000000006</v>
      </c>
      <c r="O359" s="2">
        <f t="shared" si="19"/>
        <v>8.3538632617378233E-2</v>
      </c>
      <c r="P359" s="2" cm="1">
        <f t="array" ref="P359">SUMPRODUCT((O359&gt;$T$9:$T$14)*(O359&lt;=$U$9:$U$14),$S$9:$S$14)</f>
        <v>2</v>
      </c>
    </row>
    <row r="360" spans="1:16" x14ac:dyDescent="0.25">
      <c r="A360">
        <v>403</v>
      </c>
      <c r="B360">
        <v>1198</v>
      </c>
      <c r="C360">
        <v>571</v>
      </c>
      <c r="D360">
        <v>5.45</v>
      </c>
      <c r="E360">
        <v>10017</v>
      </c>
      <c r="F360">
        <v>0</v>
      </c>
      <c r="G360">
        <v>10017000</v>
      </c>
      <c r="H360" t="s">
        <v>20</v>
      </c>
      <c r="I360">
        <v>4500</v>
      </c>
      <c r="J360" s="2">
        <f t="shared" si="18"/>
        <v>24525</v>
      </c>
      <c r="K360">
        <v>359</v>
      </c>
      <c r="L360" s="3">
        <f>SUM($I$2:$I360)</f>
        <v>5152900</v>
      </c>
      <c r="M360" s="3">
        <f>SUM($J$2:$J360)</f>
        <v>17267980.5</v>
      </c>
      <c r="N360" s="2">
        <f>SUM($D$2:$D360)</f>
        <v>1407.2600000000007</v>
      </c>
      <c r="O360" s="2">
        <f t="shared" si="19"/>
        <v>8.386341668067121E-2</v>
      </c>
      <c r="P360" s="2" cm="1">
        <f t="array" ref="P360">SUMPRODUCT((O360&gt;$T$9:$T$14)*(O360&lt;=$U$9:$U$14),$S$9:$S$14)</f>
        <v>2</v>
      </c>
    </row>
    <row r="361" spans="1:16" x14ac:dyDescent="0.25">
      <c r="A361">
        <v>368</v>
      </c>
      <c r="B361">
        <v>1163</v>
      </c>
      <c r="C361">
        <v>2047</v>
      </c>
      <c r="D361">
        <v>0.1</v>
      </c>
      <c r="E361">
        <v>48240</v>
      </c>
      <c r="F361">
        <v>0</v>
      </c>
      <c r="G361">
        <v>48240000</v>
      </c>
      <c r="H361">
        <v>402</v>
      </c>
      <c r="I361">
        <v>4500</v>
      </c>
      <c r="J361" s="2">
        <f t="shared" si="18"/>
        <v>450</v>
      </c>
      <c r="K361">
        <v>360</v>
      </c>
      <c r="L361" s="3">
        <f>SUM($I$2:$I361)</f>
        <v>5157400</v>
      </c>
      <c r="M361" s="3">
        <f>SUM($J$2:$J361)</f>
        <v>17268430.5</v>
      </c>
      <c r="N361" s="2">
        <f>SUM($D$2:$D361)</f>
        <v>1407.3600000000006</v>
      </c>
      <c r="O361" s="2">
        <f t="shared" si="19"/>
        <v>8.3869376021282083E-2</v>
      </c>
      <c r="P361" s="2" cm="1">
        <f t="array" ref="P361">SUMPRODUCT((O361&gt;$T$9:$T$14)*(O361&lt;=$U$9:$U$14),$S$9:$S$14)</f>
        <v>2</v>
      </c>
    </row>
    <row r="362" spans="1:16" x14ac:dyDescent="0.25">
      <c r="A362">
        <v>471</v>
      </c>
      <c r="B362">
        <v>1258</v>
      </c>
      <c r="C362">
        <v>654</v>
      </c>
      <c r="D362">
        <v>4.45</v>
      </c>
      <c r="E362">
        <v>10030</v>
      </c>
      <c r="F362">
        <v>0</v>
      </c>
      <c r="G362">
        <v>10030000</v>
      </c>
      <c r="H362" t="s">
        <v>20</v>
      </c>
      <c r="I362">
        <v>4450</v>
      </c>
      <c r="J362" s="2">
        <f t="shared" si="18"/>
        <v>19802.5</v>
      </c>
      <c r="K362">
        <v>361</v>
      </c>
      <c r="L362" s="3">
        <f>SUM($I$2:$I362)</f>
        <v>5161850</v>
      </c>
      <c r="M362" s="3">
        <f>SUM($J$2:$J362)</f>
        <v>17288233</v>
      </c>
      <c r="N362" s="2">
        <f>SUM($D$2:$D362)</f>
        <v>1411.8100000000006</v>
      </c>
      <c r="O362" s="2">
        <f t="shared" si="19"/>
        <v>8.4134566678466249E-2</v>
      </c>
      <c r="P362" s="2" cm="1">
        <f t="array" ref="P362">SUMPRODUCT((O362&gt;$T$9:$T$14)*(O362&lt;=$U$9:$U$14),$S$9:$S$14)</f>
        <v>2</v>
      </c>
    </row>
    <row r="363" spans="1:16" x14ac:dyDescent="0.25">
      <c r="A363">
        <v>1652</v>
      </c>
      <c r="B363">
        <v>1652</v>
      </c>
      <c r="C363">
        <v>2148</v>
      </c>
      <c r="D363">
        <v>0.59</v>
      </c>
      <c r="E363">
        <v>48225</v>
      </c>
      <c r="F363">
        <v>0</v>
      </c>
      <c r="G363">
        <v>48225000</v>
      </c>
      <c r="H363">
        <v>402</v>
      </c>
      <c r="I363">
        <v>4450</v>
      </c>
      <c r="J363" s="2">
        <f t="shared" si="18"/>
        <v>2625.5</v>
      </c>
      <c r="K363">
        <v>362</v>
      </c>
      <c r="L363" s="3">
        <f>SUM($I$2:$I363)</f>
        <v>5166300</v>
      </c>
      <c r="M363" s="3">
        <f>SUM($J$2:$J363)</f>
        <v>17290858.5</v>
      </c>
      <c r="N363" s="2">
        <f>SUM($D$2:$D363)</f>
        <v>1412.4000000000005</v>
      </c>
      <c r="O363" s="2">
        <f t="shared" si="19"/>
        <v>8.4169726788070443E-2</v>
      </c>
      <c r="P363" s="2" cm="1">
        <f t="array" ref="P363">SUMPRODUCT((O363&gt;$T$9:$T$14)*(O363&lt;=$U$9:$U$14),$S$9:$S$14)</f>
        <v>2</v>
      </c>
    </row>
    <row r="364" spans="1:16" x14ac:dyDescent="0.25">
      <c r="A364">
        <v>470</v>
      </c>
      <c r="B364">
        <v>1257</v>
      </c>
      <c r="C364">
        <v>653</v>
      </c>
      <c r="D364">
        <v>6.55</v>
      </c>
      <c r="E364">
        <v>10025</v>
      </c>
      <c r="F364">
        <v>0</v>
      </c>
      <c r="G364">
        <v>10025000</v>
      </c>
      <c r="H364" t="s">
        <v>20</v>
      </c>
      <c r="I364">
        <v>4400</v>
      </c>
      <c r="J364" s="2">
        <f t="shared" si="18"/>
        <v>28820</v>
      </c>
      <c r="K364">
        <v>363</v>
      </c>
      <c r="L364" s="3">
        <f>SUM($I$2:$I364)</f>
        <v>5170700</v>
      </c>
      <c r="M364" s="3">
        <f>SUM($J$2:$J364)</f>
        <v>17319678.5</v>
      </c>
      <c r="N364" s="2">
        <f>SUM($D$2:$D364)</f>
        <v>1418.9500000000005</v>
      </c>
      <c r="O364" s="2">
        <f t="shared" si="19"/>
        <v>8.4560063598083074E-2</v>
      </c>
      <c r="P364" s="2" cm="1">
        <f t="array" ref="P364">SUMPRODUCT((O364&gt;$T$9:$T$14)*(O364&lt;=$U$9:$U$14),$S$9:$S$14)</f>
        <v>2</v>
      </c>
    </row>
    <row r="365" spans="1:16" x14ac:dyDescent="0.25">
      <c r="A365">
        <v>1040</v>
      </c>
      <c r="B365">
        <v>666</v>
      </c>
      <c r="C365">
        <v>349</v>
      </c>
      <c r="D365">
        <v>1.95</v>
      </c>
      <c r="E365">
        <v>16993</v>
      </c>
      <c r="F365">
        <v>0</v>
      </c>
      <c r="G365">
        <v>16993000</v>
      </c>
      <c r="H365">
        <v>11</v>
      </c>
      <c r="I365">
        <v>4400</v>
      </c>
      <c r="J365" s="2">
        <f t="shared" si="18"/>
        <v>8580</v>
      </c>
      <c r="K365">
        <v>364</v>
      </c>
      <c r="L365" s="3">
        <f>SUM($I$2:$I365)</f>
        <v>5175100</v>
      </c>
      <c r="M365" s="3">
        <f>SUM($J$2:$J365)</f>
        <v>17328258.5</v>
      </c>
      <c r="N365" s="2">
        <f>SUM($D$2:$D365)</f>
        <v>1420.9000000000005</v>
      </c>
      <c r="O365" s="2">
        <f t="shared" si="19"/>
        <v>8.4676270739995244E-2</v>
      </c>
      <c r="P365" s="2" cm="1">
        <f t="array" ref="P365">SUMPRODUCT((O365&gt;$T$9:$T$14)*(O365&lt;=$U$9:$U$14),$S$9:$S$14)</f>
        <v>2</v>
      </c>
    </row>
    <row r="366" spans="1:16" x14ac:dyDescent="0.25">
      <c r="A366">
        <v>1586</v>
      </c>
      <c r="B366">
        <v>1586</v>
      </c>
      <c r="C366">
        <v>2075</v>
      </c>
      <c r="D366">
        <v>2.66</v>
      </c>
      <c r="E366">
        <v>48190</v>
      </c>
      <c r="F366">
        <v>0</v>
      </c>
      <c r="G366">
        <v>48190000</v>
      </c>
      <c r="H366">
        <v>402</v>
      </c>
      <c r="I366">
        <v>4350</v>
      </c>
      <c r="J366" s="2">
        <f t="shared" si="18"/>
        <v>11571</v>
      </c>
      <c r="K366">
        <v>365</v>
      </c>
      <c r="L366" s="3">
        <f>SUM($I$2:$I366)</f>
        <v>5179450</v>
      </c>
      <c r="M366" s="3">
        <f>SUM($J$2:$J366)</f>
        <v>17339829.5</v>
      </c>
      <c r="N366" s="2">
        <f>SUM($D$2:$D366)</f>
        <v>1423.5600000000006</v>
      </c>
      <c r="O366" s="2">
        <f t="shared" si="19"/>
        <v>8.4834789200244662E-2</v>
      </c>
      <c r="P366" s="2" cm="1">
        <f t="array" ref="P366">SUMPRODUCT((O366&gt;$T$9:$T$14)*(O366&lt;=$U$9:$U$14),$S$9:$S$14)</f>
        <v>2</v>
      </c>
    </row>
    <row r="367" spans="1:16" x14ac:dyDescent="0.25">
      <c r="A367">
        <v>1165</v>
      </c>
      <c r="B367">
        <v>791</v>
      </c>
      <c r="C367">
        <v>511</v>
      </c>
      <c r="D367">
        <v>2.08</v>
      </c>
      <c r="E367">
        <v>10014</v>
      </c>
      <c r="F367">
        <v>0</v>
      </c>
      <c r="G367">
        <v>10014000</v>
      </c>
      <c r="H367" t="s">
        <v>20</v>
      </c>
      <c r="I367">
        <v>4250</v>
      </c>
      <c r="J367" s="2">
        <f t="shared" si="18"/>
        <v>8840</v>
      </c>
      <c r="K367">
        <v>366</v>
      </c>
      <c r="L367" s="3">
        <f>SUM($I$2:$I367)</f>
        <v>5183700</v>
      </c>
      <c r="M367" s="3">
        <f>SUM($J$2:$J367)</f>
        <v>17348669.5</v>
      </c>
      <c r="N367" s="2">
        <f>SUM($D$2:$D367)</f>
        <v>1425.6400000000006</v>
      </c>
      <c r="O367" s="2">
        <f t="shared" si="19"/>
        <v>8.4958743484950958E-2</v>
      </c>
      <c r="P367" s="2" cm="1">
        <f t="array" ref="P367">SUMPRODUCT((O367&gt;$T$9:$T$14)*(O367&lt;=$U$9:$U$14),$S$9:$S$14)</f>
        <v>2</v>
      </c>
    </row>
    <row r="368" spans="1:16" x14ac:dyDescent="0.25">
      <c r="A368">
        <v>1640</v>
      </c>
      <c r="B368">
        <v>1640</v>
      </c>
      <c r="C368">
        <v>2135</v>
      </c>
      <c r="D368">
        <v>2.73</v>
      </c>
      <c r="E368">
        <v>49210</v>
      </c>
      <c r="F368">
        <v>0</v>
      </c>
      <c r="G368">
        <v>49210000</v>
      </c>
      <c r="H368">
        <v>416</v>
      </c>
      <c r="I368">
        <v>4200</v>
      </c>
      <c r="J368" s="2">
        <f t="shared" si="18"/>
        <v>11466</v>
      </c>
      <c r="K368">
        <v>367</v>
      </c>
      <c r="L368" s="3">
        <f>SUM($I$2:$I368)</f>
        <v>5187900</v>
      </c>
      <c r="M368" s="3">
        <f>SUM($J$2:$J368)</f>
        <v>17360135.5</v>
      </c>
      <c r="N368" s="2">
        <f>SUM($D$2:$D368)</f>
        <v>1428.3700000000006</v>
      </c>
      <c r="O368" s="2">
        <f t="shared" si="19"/>
        <v>8.5121433483627981E-2</v>
      </c>
      <c r="P368" s="2" cm="1">
        <f t="array" ref="P368">SUMPRODUCT((O368&gt;$T$9:$T$14)*(O368&lt;=$U$9:$U$14),$S$9:$S$14)</f>
        <v>2</v>
      </c>
    </row>
    <row r="369" spans="1:16" x14ac:dyDescent="0.25">
      <c r="A369">
        <v>828</v>
      </c>
      <c r="B369">
        <v>454</v>
      </c>
      <c r="C369">
        <v>64</v>
      </c>
      <c r="D369">
        <v>5.24</v>
      </c>
      <c r="E369">
        <v>13580</v>
      </c>
      <c r="F369">
        <v>0</v>
      </c>
      <c r="G369">
        <v>13580000</v>
      </c>
      <c r="H369">
        <v>6</v>
      </c>
      <c r="I369">
        <v>4150</v>
      </c>
      <c r="J369" s="2">
        <f t="shared" si="18"/>
        <v>21746</v>
      </c>
      <c r="K369">
        <v>368</v>
      </c>
      <c r="L369" s="3">
        <f>SUM($I$2:$I369)</f>
        <v>5192050</v>
      </c>
      <c r="M369" s="3">
        <f>SUM($J$2:$J369)</f>
        <v>17381881.5</v>
      </c>
      <c r="N369" s="2">
        <f>SUM($D$2:$D369)</f>
        <v>1433.6100000000006</v>
      </c>
      <c r="O369" s="2">
        <f t="shared" si="19"/>
        <v>8.54337029316381E-2</v>
      </c>
      <c r="P369" s="2" cm="1">
        <f t="array" ref="P369">SUMPRODUCT((O369&gt;$T$9:$T$14)*(O369&lt;=$U$9:$U$14),$S$9:$S$14)</f>
        <v>2</v>
      </c>
    </row>
    <row r="370" spans="1:16" x14ac:dyDescent="0.25">
      <c r="A370">
        <v>1427</v>
      </c>
      <c r="B370">
        <v>259</v>
      </c>
      <c r="C370">
        <v>1382</v>
      </c>
      <c r="D370">
        <v>10.96</v>
      </c>
      <c r="E370">
        <v>46930</v>
      </c>
      <c r="F370">
        <v>0</v>
      </c>
      <c r="G370">
        <v>46930000</v>
      </c>
      <c r="H370">
        <v>400</v>
      </c>
      <c r="I370">
        <v>4100</v>
      </c>
      <c r="J370" s="2">
        <f t="shared" si="18"/>
        <v>44936</v>
      </c>
      <c r="K370">
        <v>369</v>
      </c>
      <c r="L370" s="3">
        <f>SUM($I$2:$I370)</f>
        <v>5196150</v>
      </c>
      <c r="M370" s="3">
        <f>SUM($J$2:$J370)</f>
        <v>17426817.5</v>
      </c>
      <c r="N370" s="2">
        <f>SUM($D$2:$D370)</f>
        <v>1444.5700000000006</v>
      </c>
      <c r="O370" s="2">
        <f t="shared" si="19"/>
        <v>8.608684666259056E-2</v>
      </c>
      <c r="P370" s="2" cm="1">
        <f t="array" ref="P370">SUMPRODUCT((O370&gt;$T$9:$T$14)*(O370&lt;=$U$9:$U$14),$S$9:$S$14)</f>
        <v>2</v>
      </c>
    </row>
    <row r="371" spans="1:16" x14ac:dyDescent="0.25">
      <c r="A371">
        <v>621</v>
      </c>
      <c r="B371">
        <v>1408</v>
      </c>
      <c r="C371">
        <v>846</v>
      </c>
      <c r="D371">
        <v>1.69</v>
      </c>
      <c r="E371">
        <v>16970</v>
      </c>
      <c r="F371">
        <v>0</v>
      </c>
      <c r="G371">
        <v>16970000</v>
      </c>
      <c r="H371">
        <v>11</v>
      </c>
      <c r="I371">
        <v>4000</v>
      </c>
      <c r="J371" s="2">
        <f t="shared" si="18"/>
        <v>6760</v>
      </c>
      <c r="K371">
        <v>370</v>
      </c>
      <c r="L371" s="3">
        <f>SUM($I$2:$I371)</f>
        <v>5200150</v>
      </c>
      <c r="M371" s="3">
        <f>SUM($J$2:$J371)</f>
        <v>17433577.5</v>
      </c>
      <c r="N371" s="2">
        <f>SUM($D$2:$D371)</f>
        <v>1446.2600000000007</v>
      </c>
      <c r="O371" s="2">
        <f t="shared" si="19"/>
        <v>8.6187559518914436E-2</v>
      </c>
      <c r="P371" s="2" cm="1">
        <f t="array" ref="P371">SUMPRODUCT((O371&gt;$T$9:$T$14)*(O371&lt;=$U$9:$U$14),$S$9:$S$14)</f>
        <v>2</v>
      </c>
    </row>
    <row r="372" spans="1:16" x14ac:dyDescent="0.25">
      <c r="A372">
        <v>1577</v>
      </c>
      <c r="B372">
        <v>1577</v>
      </c>
      <c r="C372">
        <v>2066</v>
      </c>
      <c r="D372">
        <v>0.9</v>
      </c>
      <c r="E372">
        <v>49215</v>
      </c>
      <c r="F372">
        <v>0</v>
      </c>
      <c r="G372">
        <v>49215000</v>
      </c>
      <c r="H372">
        <v>416</v>
      </c>
      <c r="I372">
        <v>4000</v>
      </c>
      <c r="J372" s="2">
        <f t="shared" si="18"/>
        <v>3600</v>
      </c>
      <c r="K372">
        <v>371</v>
      </c>
      <c r="L372" s="3">
        <f>SUM($I$2:$I372)</f>
        <v>5204150</v>
      </c>
      <c r="M372" s="3">
        <f>SUM($J$2:$J372)</f>
        <v>17437177.5</v>
      </c>
      <c r="N372" s="2">
        <f>SUM($D$2:$D372)</f>
        <v>1447.1600000000008</v>
      </c>
      <c r="O372" s="2">
        <f t="shared" si="19"/>
        <v>8.6241193584412373E-2</v>
      </c>
      <c r="P372" s="2" cm="1">
        <f t="array" ref="P372">SUMPRODUCT((O372&gt;$T$9:$T$14)*(O372&lt;=$U$9:$U$14),$S$9:$S$14)</f>
        <v>2</v>
      </c>
    </row>
    <row r="373" spans="1:16" x14ac:dyDescent="0.25">
      <c r="A373">
        <v>492</v>
      </c>
      <c r="B373">
        <v>1279</v>
      </c>
      <c r="C373">
        <v>676</v>
      </c>
      <c r="D373">
        <v>1.51</v>
      </c>
      <c r="E373">
        <v>14620</v>
      </c>
      <c r="F373">
        <v>0</v>
      </c>
      <c r="G373">
        <v>14620000</v>
      </c>
      <c r="H373">
        <v>7</v>
      </c>
      <c r="I373">
        <v>3900</v>
      </c>
      <c r="J373" s="2">
        <f t="shared" si="18"/>
        <v>5889</v>
      </c>
      <c r="K373">
        <v>372</v>
      </c>
      <c r="L373" s="3">
        <f>SUM($I$2:$I373)</f>
        <v>5208050</v>
      </c>
      <c r="M373" s="3">
        <f>SUM($J$2:$J373)</f>
        <v>17443066.5</v>
      </c>
      <c r="N373" s="2">
        <f>SUM($D$2:$D373)</f>
        <v>1448.6700000000008</v>
      </c>
      <c r="O373" s="2">
        <f t="shared" si="19"/>
        <v>8.6331179627636659E-2</v>
      </c>
      <c r="P373" s="2" cm="1">
        <f t="array" ref="P373">SUMPRODUCT((O373&gt;$T$9:$T$14)*(O373&lt;=$U$9:$U$14),$S$9:$S$14)</f>
        <v>2</v>
      </c>
    </row>
    <row r="374" spans="1:16" x14ac:dyDescent="0.25">
      <c r="A374">
        <v>1130</v>
      </c>
      <c r="B374">
        <v>756</v>
      </c>
      <c r="C374">
        <v>471</v>
      </c>
      <c r="D374">
        <v>0.91</v>
      </c>
      <c r="E374">
        <v>13585</v>
      </c>
      <c r="F374">
        <v>3.7</v>
      </c>
      <c r="G374">
        <v>13585037</v>
      </c>
      <c r="H374">
        <v>6</v>
      </c>
      <c r="I374">
        <v>3900</v>
      </c>
      <c r="J374" s="2">
        <f t="shared" si="18"/>
        <v>3549</v>
      </c>
      <c r="K374">
        <v>373</v>
      </c>
      <c r="L374" s="3">
        <f>SUM($I$2:$I374)</f>
        <v>5211950</v>
      </c>
      <c r="M374" s="3">
        <f>SUM($J$2:$J374)</f>
        <v>17446615.5</v>
      </c>
      <c r="N374" s="2">
        <f>SUM($D$2:$D374)</f>
        <v>1449.5800000000008</v>
      </c>
      <c r="O374" s="2">
        <f t="shared" si="19"/>
        <v>8.6385409627195667E-2</v>
      </c>
      <c r="P374" s="2" cm="1">
        <f t="array" ref="P374">SUMPRODUCT((O374&gt;$T$9:$T$14)*(O374&lt;=$U$9:$U$14),$S$9:$S$14)</f>
        <v>2</v>
      </c>
    </row>
    <row r="375" spans="1:16" x14ac:dyDescent="0.25">
      <c r="A375">
        <v>1430</v>
      </c>
      <c r="B375">
        <v>262</v>
      </c>
      <c r="C375">
        <v>1385</v>
      </c>
      <c r="D375">
        <v>6.47</v>
      </c>
      <c r="E375">
        <v>46910</v>
      </c>
      <c r="F375">
        <v>0</v>
      </c>
      <c r="G375">
        <v>46910000</v>
      </c>
      <c r="H375">
        <v>400</v>
      </c>
      <c r="I375">
        <v>3850</v>
      </c>
      <c r="J375" s="2">
        <f t="shared" si="18"/>
        <v>24909.5</v>
      </c>
      <c r="K375">
        <v>374</v>
      </c>
      <c r="L375" s="3">
        <f>SUM($I$2:$I375)</f>
        <v>5215800</v>
      </c>
      <c r="M375" s="3">
        <f>SUM($J$2:$J375)</f>
        <v>17471525</v>
      </c>
      <c r="N375" s="2">
        <f>SUM($D$2:$D375)</f>
        <v>1456.0500000000009</v>
      </c>
      <c r="O375" s="2">
        <f t="shared" si="19"/>
        <v>8.6770978964719608E-2</v>
      </c>
      <c r="P375" s="2" cm="1">
        <f t="array" ref="P375">SUMPRODUCT((O375&gt;$T$9:$T$14)*(O375&lt;=$U$9:$U$14),$S$9:$S$14)</f>
        <v>2</v>
      </c>
    </row>
    <row r="376" spans="1:16" x14ac:dyDescent="0.25">
      <c r="A376">
        <v>1418</v>
      </c>
      <c r="B376">
        <v>250</v>
      </c>
      <c r="C376">
        <v>1373</v>
      </c>
      <c r="D376">
        <v>6.3</v>
      </c>
      <c r="E376">
        <v>46972</v>
      </c>
      <c r="F376">
        <v>0</v>
      </c>
      <c r="G376">
        <v>46972000</v>
      </c>
      <c r="H376">
        <v>400</v>
      </c>
      <c r="I376">
        <v>3850</v>
      </c>
      <c r="J376" s="2">
        <f t="shared" si="18"/>
        <v>24255</v>
      </c>
      <c r="K376">
        <v>375</v>
      </c>
      <c r="L376" s="3">
        <f>SUM($I$2:$I376)</f>
        <v>5219650</v>
      </c>
      <c r="M376" s="3">
        <f>SUM($J$2:$J376)</f>
        <v>17495780</v>
      </c>
      <c r="N376" s="2">
        <f>SUM($D$2:$D376)</f>
        <v>1462.3500000000008</v>
      </c>
      <c r="O376" s="2">
        <f t="shared" si="19"/>
        <v>8.7146417423205058E-2</v>
      </c>
      <c r="P376" s="2" cm="1">
        <f t="array" ref="P376">SUMPRODUCT((O376&gt;$T$9:$T$14)*(O376&lt;=$U$9:$U$14),$S$9:$S$14)</f>
        <v>2</v>
      </c>
    </row>
    <row r="377" spans="1:16" x14ac:dyDescent="0.25">
      <c r="A377">
        <v>1648</v>
      </c>
      <c r="B377">
        <v>1648</v>
      </c>
      <c r="C377">
        <v>2143</v>
      </c>
      <c r="D377">
        <v>2.19</v>
      </c>
      <c r="E377">
        <v>49180</v>
      </c>
      <c r="F377">
        <v>0</v>
      </c>
      <c r="G377">
        <v>49180000</v>
      </c>
      <c r="H377">
        <v>416</v>
      </c>
      <c r="I377">
        <v>3850</v>
      </c>
      <c r="J377" s="2">
        <f t="shared" si="18"/>
        <v>8431.5</v>
      </c>
      <c r="K377">
        <v>376</v>
      </c>
      <c r="L377" s="3">
        <f>SUM($I$2:$I377)</f>
        <v>5223500</v>
      </c>
      <c r="M377" s="3">
        <f>SUM($J$2:$J377)</f>
        <v>17504211.5</v>
      </c>
      <c r="N377" s="2">
        <f>SUM($D$2:$D377)</f>
        <v>1464.5400000000009</v>
      </c>
      <c r="O377" s="2">
        <f t="shared" si="19"/>
        <v>8.7276926982583339E-2</v>
      </c>
      <c r="P377" s="2" cm="1">
        <f t="array" ref="P377">SUMPRODUCT((O377&gt;$T$9:$T$14)*(O377&lt;=$U$9:$U$14),$S$9:$S$14)</f>
        <v>2</v>
      </c>
    </row>
    <row r="378" spans="1:16" x14ac:dyDescent="0.25">
      <c r="A378">
        <v>69</v>
      </c>
      <c r="B378">
        <v>865</v>
      </c>
      <c r="C378">
        <v>1621</v>
      </c>
      <c r="D378">
        <v>5.39</v>
      </c>
      <c r="E378">
        <v>48391</v>
      </c>
      <c r="F378">
        <v>0</v>
      </c>
      <c r="G378">
        <v>48391000</v>
      </c>
      <c r="H378">
        <v>403</v>
      </c>
      <c r="I378">
        <v>3800</v>
      </c>
      <c r="J378" s="2">
        <f t="shared" si="18"/>
        <v>20482</v>
      </c>
      <c r="K378">
        <v>377</v>
      </c>
      <c r="L378" s="3">
        <f>SUM($I$2:$I378)</f>
        <v>5227300</v>
      </c>
      <c r="M378" s="3">
        <f>SUM($J$2:$J378)</f>
        <v>17524693.5</v>
      </c>
      <c r="N378" s="2">
        <f>SUM($D$2:$D378)</f>
        <v>1469.930000000001</v>
      </c>
      <c r="O378" s="2">
        <f t="shared" si="19"/>
        <v>8.7598135441509781E-2</v>
      </c>
      <c r="P378" s="2" cm="1">
        <f t="array" ref="P378">SUMPRODUCT((O378&gt;$T$9:$T$14)*(O378&lt;=$U$9:$U$14),$S$9:$S$14)</f>
        <v>2</v>
      </c>
    </row>
    <row r="379" spans="1:16" x14ac:dyDescent="0.25">
      <c r="A379">
        <v>445</v>
      </c>
      <c r="B379">
        <v>1232</v>
      </c>
      <c r="C379">
        <v>618</v>
      </c>
      <c r="D379">
        <v>3.27</v>
      </c>
      <c r="E379">
        <v>10022</v>
      </c>
      <c r="F379">
        <v>0</v>
      </c>
      <c r="G379">
        <v>10022000</v>
      </c>
      <c r="H379" t="s">
        <v>20</v>
      </c>
      <c r="I379">
        <v>3800</v>
      </c>
      <c r="J379" s="2">
        <f t="shared" si="18"/>
        <v>12426</v>
      </c>
      <c r="K379">
        <v>378</v>
      </c>
      <c r="L379" s="3">
        <f>SUM($I$2:$I379)</f>
        <v>5231100</v>
      </c>
      <c r="M379" s="3">
        <f>SUM($J$2:$J379)</f>
        <v>17537119.5</v>
      </c>
      <c r="N379" s="2">
        <f>SUM($D$2:$D379)</f>
        <v>1473.200000000001</v>
      </c>
      <c r="O379" s="2">
        <f t="shared" si="19"/>
        <v>8.7793005879485561E-2</v>
      </c>
      <c r="P379" s="2" cm="1">
        <f t="array" ref="P379">SUMPRODUCT((O379&gt;$T$9:$T$14)*(O379&lt;=$U$9:$U$14),$S$9:$S$14)</f>
        <v>2</v>
      </c>
    </row>
    <row r="380" spans="1:16" x14ac:dyDescent="0.25">
      <c r="A380">
        <v>1564</v>
      </c>
      <c r="B380">
        <v>396</v>
      </c>
      <c r="C380">
        <v>1544</v>
      </c>
      <c r="D380">
        <v>4.26</v>
      </c>
      <c r="E380">
        <v>48525</v>
      </c>
      <c r="F380">
        <v>0</v>
      </c>
      <c r="G380">
        <v>48525000</v>
      </c>
      <c r="H380">
        <v>404</v>
      </c>
      <c r="I380">
        <v>3750</v>
      </c>
      <c r="J380" s="2">
        <f t="shared" si="18"/>
        <v>15975</v>
      </c>
      <c r="K380">
        <v>379</v>
      </c>
      <c r="L380" s="3">
        <f>SUM($I$2:$I380)</f>
        <v>5234850</v>
      </c>
      <c r="M380" s="3">
        <f>SUM($J$2:$J380)</f>
        <v>17553094.5</v>
      </c>
      <c r="N380" s="2">
        <f>SUM($D$2:$D380)</f>
        <v>1477.4600000000009</v>
      </c>
      <c r="O380" s="2">
        <f t="shared" si="19"/>
        <v>8.8046873789509053E-2</v>
      </c>
      <c r="P380" s="2" cm="1">
        <f t="array" ref="P380">SUMPRODUCT((O380&gt;$T$9:$T$14)*(O380&lt;=$U$9:$U$14),$S$9:$S$14)</f>
        <v>2</v>
      </c>
    </row>
    <row r="381" spans="1:16" x14ac:dyDescent="0.25">
      <c r="A381">
        <v>729</v>
      </c>
      <c r="B381">
        <v>1516</v>
      </c>
      <c r="C381">
        <v>979</v>
      </c>
      <c r="D381">
        <v>3.01</v>
      </c>
      <c r="E381">
        <v>33575</v>
      </c>
      <c r="F381">
        <v>0</v>
      </c>
      <c r="G381">
        <v>33575000</v>
      </c>
      <c r="H381">
        <v>61</v>
      </c>
      <c r="I381">
        <v>3750</v>
      </c>
      <c r="J381" s="2">
        <f t="shared" si="18"/>
        <v>11287.5</v>
      </c>
      <c r="K381">
        <v>380</v>
      </c>
      <c r="L381" s="3">
        <f>SUM($I$2:$I381)</f>
        <v>5238600</v>
      </c>
      <c r="M381" s="3">
        <f>SUM($J$2:$J381)</f>
        <v>17564382</v>
      </c>
      <c r="N381" s="2">
        <f>SUM($D$2:$D381)</f>
        <v>1480.4700000000009</v>
      </c>
      <c r="O381" s="2">
        <f t="shared" si="19"/>
        <v>8.822624994189654E-2</v>
      </c>
      <c r="P381" s="2" cm="1">
        <f t="array" ref="P381">SUMPRODUCT((O381&gt;$T$9:$T$14)*(O381&lt;=$U$9:$U$14),$S$9:$S$14)</f>
        <v>2</v>
      </c>
    </row>
    <row r="382" spans="1:16" x14ac:dyDescent="0.25">
      <c r="A382">
        <v>1552</v>
      </c>
      <c r="B382">
        <v>384</v>
      </c>
      <c r="C382">
        <v>1529</v>
      </c>
      <c r="D382">
        <v>8.07</v>
      </c>
      <c r="E382">
        <v>49330</v>
      </c>
      <c r="F382">
        <v>0</v>
      </c>
      <c r="G382">
        <v>49330000</v>
      </c>
      <c r="H382">
        <v>417</v>
      </c>
      <c r="I382">
        <v>3700</v>
      </c>
      <c r="J382" s="2">
        <f t="shared" si="18"/>
        <v>29859</v>
      </c>
      <c r="K382">
        <v>381</v>
      </c>
      <c r="L382" s="3">
        <f>SUM($I$2:$I382)</f>
        <v>5242300</v>
      </c>
      <c r="M382" s="3">
        <f>SUM($J$2:$J382)</f>
        <v>17594241</v>
      </c>
      <c r="N382" s="2">
        <f>SUM($D$2:$D382)</f>
        <v>1488.5400000000009</v>
      </c>
      <c r="O382" s="2">
        <f t="shared" si="19"/>
        <v>8.8707168729194555E-2</v>
      </c>
      <c r="P382" s="2" cm="1">
        <f t="array" ref="P382">SUMPRODUCT((O382&gt;$T$9:$T$14)*(O382&lt;=$U$9:$U$14),$S$9:$S$14)</f>
        <v>2</v>
      </c>
    </row>
    <row r="383" spans="1:16" x14ac:dyDescent="0.25">
      <c r="A383">
        <v>784</v>
      </c>
      <c r="B383">
        <v>6</v>
      </c>
      <c r="C383">
        <v>4</v>
      </c>
      <c r="D383">
        <v>2.86</v>
      </c>
      <c r="E383">
        <v>13455</v>
      </c>
      <c r="F383">
        <v>0</v>
      </c>
      <c r="G383">
        <v>13455000</v>
      </c>
      <c r="H383">
        <v>6</v>
      </c>
      <c r="I383">
        <v>3700</v>
      </c>
      <c r="J383" s="2">
        <f t="shared" si="18"/>
        <v>10582</v>
      </c>
      <c r="K383">
        <v>382</v>
      </c>
      <c r="L383" s="3">
        <f>SUM($I$2:$I383)</f>
        <v>5246000</v>
      </c>
      <c r="M383" s="3">
        <f>SUM($J$2:$J383)</f>
        <v>17604823</v>
      </c>
      <c r="N383" s="2">
        <f>SUM($D$2:$D383)</f>
        <v>1491.4000000000008</v>
      </c>
      <c r="O383" s="2">
        <f t="shared" si="19"/>
        <v>8.8877605870665718E-2</v>
      </c>
      <c r="P383" s="2" cm="1">
        <f t="array" ref="P383">SUMPRODUCT((O383&gt;$T$9:$T$14)*(O383&lt;=$U$9:$U$14),$S$9:$S$14)</f>
        <v>2</v>
      </c>
    </row>
    <row r="384" spans="1:16" x14ac:dyDescent="0.25">
      <c r="A384">
        <v>540</v>
      </c>
      <c r="B384">
        <v>1327</v>
      </c>
      <c r="C384">
        <v>745</v>
      </c>
      <c r="D384">
        <v>7.33</v>
      </c>
      <c r="E384">
        <v>16460</v>
      </c>
      <c r="F384">
        <v>0</v>
      </c>
      <c r="G384">
        <v>16460000</v>
      </c>
      <c r="H384">
        <v>10</v>
      </c>
      <c r="I384">
        <v>3650</v>
      </c>
      <c r="J384" s="2">
        <f t="shared" si="18"/>
        <v>26754.5</v>
      </c>
      <c r="K384">
        <v>383</v>
      </c>
      <c r="L384" s="3">
        <f>SUM($I$2:$I384)</f>
        <v>5249650</v>
      </c>
      <c r="M384" s="3">
        <f>SUM($J$2:$J384)</f>
        <v>17631577.5</v>
      </c>
      <c r="N384" s="2">
        <f>SUM($D$2:$D384)</f>
        <v>1498.7300000000007</v>
      </c>
      <c r="O384" s="2">
        <f t="shared" si="19"/>
        <v>8.9314425537443232E-2</v>
      </c>
      <c r="P384" s="2" cm="1">
        <f t="array" ref="P384">SUMPRODUCT((O384&gt;$T$9:$T$14)*(O384&lt;=$U$9:$U$14),$S$9:$S$14)</f>
        <v>2</v>
      </c>
    </row>
    <row r="385" spans="1:16" x14ac:dyDescent="0.25">
      <c r="A385">
        <v>1390</v>
      </c>
      <c r="B385">
        <v>222</v>
      </c>
      <c r="C385">
        <v>1338</v>
      </c>
      <c r="D385">
        <v>2.4300000000000002</v>
      </c>
      <c r="E385">
        <v>38470</v>
      </c>
      <c r="F385">
        <v>0</v>
      </c>
      <c r="G385">
        <v>38470000</v>
      </c>
      <c r="H385">
        <v>85</v>
      </c>
      <c r="I385">
        <v>3600</v>
      </c>
      <c r="J385" s="2">
        <f t="shared" si="18"/>
        <v>8748</v>
      </c>
      <c r="K385">
        <v>384</v>
      </c>
      <c r="L385" s="3">
        <f>SUM($I$2:$I385)</f>
        <v>5253250</v>
      </c>
      <c r="M385" s="3">
        <f>SUM($J$2:$J385)</f>
        <v>17640325.5</v>
      </c>
      <c r="N385" s="2">
        <f>SUM($D$2:$D385)</f>
        <v>1501.1600000000008</v>
      </c>
      <c r="O385" s="2">
        <f t="shared" si="19"/>
        <v>8.9459237514287623E-2</v>
      </c>
      <c r="P385" s="2" cm="1">
        <f t="array" ref="P385">SUMPRODUCT((O385&gt;$T$9:$T$14)*(O385&lt;=$U$9:$U$14),$S$9:$S$14)</f>
        <v>2</v>
      </c>
    </row>
    <row r="386" spans="1:16" x14ac:dyDescent="0.25">
      <c r="A386">
        <v>1777</v>
      </c>
      <c r="B386">
        <v>1777</v>
      </c>
      <c r="C386">
        <v>1300</v>
      </c>
      <c r="D386">
        <v>5.35</v>
      </c>
      <c r="E386">
        <v>47045</v>
      </c>
      <c r="F386">
        <v>0</v>
      </c>
      <c r="G386">
        <v>47045000</v>
      </c>
      <c r="H386">
        <v>400</v>
      </c>
      <c r="I386">
        <v>3500</v>
      </c>
      <c r="J386" s="2">
        <f t="shared" ref="J386:J449" si="20">I386*D386</f>
        <v>18725</v>
      </c>
      <c r="K386">
        <v>385</v>
      </c>
      <c r="L386" s="3">
        <f>SUM($I$2:$I386)</f>
        <v>5256750</v>
      </c>
      <c r="M386" s="3">
        <f>SUM($J$2:$J386)</f>
        <v>17659050.5</v>
      </c>
      <c r="N386" s="2">
        <f>SUM($D$2:$D386)</f>
        <v>1506.5100000000007</v>
      </c>
      <c r="O386" s="2">
        <f t="shared" ref="O386:O449" si="21">N386/$T$4</f>
        <v>8.97780622369697E-2</v>
      </c>
      <c r="P386" s="2" cm="1">
        <f t="array" ref="P386">SUMPRODUCT((O386&gt;$T$9:$T$14)*(O386&lt;=$U$9:$U$14),$S$9:$S$14)</f>
        <v>2</v>
      </c>
    </row>
    <row r="387" spans="1:16" x14ac:dyDescent="0.25">
      <c r="A387">
        <v>1421</v>
      </c>
      <c r="B387">
        <v>253</v>
      </c>
      <c r="C387">
        <v>1376</v>
      </c>
      <c r="D387">
        <v>4.0199999999999996</v>
      </c>
      <c r="E387">
        <v>46963</v>
      </c>
      <c r="F387">
        <v>0</v>
      </c>
      <c r="G387">
        <v>46963000</v>
      </c>
      <c r="H387">
        <v>400</v>
      </c>
      <c r="I387">
        <v>3500</v>
      </c>
      <c r="J387" s="2">
        <f t="shared" si="20"/>
        <v>14069.999999999998</v>
      </c>
      <c r="K387">
        <v>386</v>
      </c>
      <c r="L387" s="3">
        <f>SUM($I$2:$I387)</f>
        <v>5260250</v>
      </c>
      <c r="M387" s="3">
        <f>SUM($J$2:$J387)</f>
        <v>17673120.5</v>
      </c>
      <c r="N387" s="2">
        <f>SUM($D$2:$D387)</f>
        <v>1510.5300000000007</v>
      </c>
      <c r="O387" s="2">
        <f t="shared" si="21"/>
        <v>9.001762772952708E-2</v>
      </c>
      <c r="P387" s="2" cm="1">
        <f t="array" ref="P387">SUMPRODUCT((O387&gt;$T$9:$T$14)*(O387&lt;=$U$9:$U$14),$S$9:$S$14)</f>
        <v>2</v>
      </c>
    </row>
    <row r="388" spans="1:16" x14ac:dyDescent="0.25">
      <c r="A388">
        <v>1827</v>
      </c>
      <c r="B388">
        <v>1827</v>
      </c>
      <c r="C388">
        <v>0</v>
      </c>
      <c r="D388">
        <v>1.02</v>
      </c>
      <c r="E388">
        <v>73811</v>
      </c>
      <c r="F388">
        <v>0</v>
      </c>
      <c r="G388">
        <v>73811000</v>
      </c>
      <c r="H388">
        <v>7087</v>
      </c>
      <c r="I388">
        <v>3500</v>
      </c>
      <c r="J388" s="2">
        <f t="shared" si="20"/>
        <v>3570</v>
      </c>
      <c r="K388">
        <v>387</v>
      </c>
      <c r="L388" s="3">
        <f>SUM($I$2:$I388)</f>
        <v>5263750</v>
      </c>
      <c r="M388" s="3">
        <f>SUM($J$2:$J388)</f>
        <v>17676690.5</v>
      </c>
      <c r="N388" s="2">
        <f>SUM($D$2:$D388)</f>
        <v>1511.5500000000006</v>
      </c>
      <c r="O388" s="2">
        <f t="shared" si="21"/>
        <v>9.0078413003758045E-2</v>
      </c>
      <c r="P388" s="2" cm="1">
        <f t="array" ref="P388">SUMPRODUCT((O388&gt;$T$9:$T$14)*(O388&lt;=$U$9:$U$14),$S$9:$S$14)</f>
        <v>2</v>
      </c>
    </row>
    <row r="389" spans="1:16" x14ac:dyDescent="0.25">
      <c r="A389">
        <v>413</v>
      </c>
      <c r="B389">
        <v>3</v>
      </c>
      <c r="C389">
        <v>2</v>
      </c>
      <c r="D389">
        <v>0.86</v>
      </c>
      <c r="E389">
        <v>13465</v>
      </c>
      <c r="F389">
        <v>0</v>
      </c>
      <c r="G389">
        <v>13465000</v>
      </c>
      <c r="H389">
        <v>6</v>
      </c>
      <c r="I389">
        <v>3500</v>
      </c>
      <c r="J389" s="2">
        <f t="shared" si="20"/>
        <v>3010</v>
      </c>
      <c r="K389">
        <v>388</v>
      </c>
      <c r="L389" s="3">
        <f>SUM($I$2:$I389)</f>
        <v>5267250</v>
      </c>
      <c r="M389" s="3">
        <f>SUM($J$2:$J389)</f>
        <v>17679700.5</v>
      </c>
      <c r="N389" s="2">
        <f>SUM($D$2:$D389)</f>
        <v>1512.4100000000005</v>
      </c>
      <c r="O389" s="2">
        <f t="shared" si="21"/>
        <v>9.0129663333011617E-2</v>
      </c>
      <c r="P389" s="2" cm="1">
        <f t="array" ref="P389">SUMPRODUCT((O389&gt;$T$9:$T$14)*(O389&lt;=$U$9:$U$14),$S$9:$S$14)</f>
        <v>2</v>
      </c>
    </row>
    <row r="390" spans="1:16" x14ac:dyDescent="0.25">
      <c r="A390">
        <v>80</v>
      </c>
      <c r="B390">
        <v>876</v>
      </c>
      <c r="C390">
        <v>1632</v>
      </c>
      <c r="D390">
        <v>8.5399999999999991</v>
      </c>
      <c r="E390">
        <v>49190</v>
      </c>
      <c r="F390">
        <v>0</v>
      </c>
      <c r="G390">
        <v>49190000</v>
      </c>
      <c r="H390">
        <v>416</v>
      </c>
      <c r="I390">
        <v>3450</v>
      </c>
      <c r="J390" s="2">
        <f t="shared" si="20"/>
        <v>29462.999999999996</v>
      </c>
      <c r="K390">
        <v>389</v>
      </c>
      <c r="L390" s="3">
        <f>SUM($I$2:$I390)</f>
        <v>5270700</v>
      </c>
      <c r="M390" s="3">
        <f>SUM($J$2:$J390)</f>
        <v>17709163.5</v>
      </c>
      <c r="N390" s="2">
        <f>SUM($D$2:$D390)</f>
        <v>1520.9500000000005</v>
      </c>
      <c r="O390" s="2">
        <f t="shared" si="21"/>
        <v>9.063859102118077E-2</v>
      </c>
      <c r="P390" s="2" cm="1">
        <f t="array" ref="P390">SUMPRODUCT((O390&gt;$T$9:$T$14)*(O390&lt;=$U$9:$U$14),$S$9:$S$14)</f>
        <v>2</v>
      </c>
    </row>
    <row r="391" spans="1:16" x14ac:dyDescent="0.25">
      <c r="A391">
        <v>450</v>
      </c>
      <c r="B391">
        <v>1237</v>
      </c>
      <c r="C391">
        <v>624</v>
      </c>
      <c r="D391">
        <v>3.74</v>
      </c>
      <c r="E391">
        <v>13585</v>
      </c>
      <c r="F391">
        <v>0</v>
      </c>
      <c r="G391">
        <v>13585000</v>
      </c>
      <c r="H391">
        <v>6</v>
      </c>
      <c r="I391">
        <v>3450</v>
      </c>
      <c r="J391" s="2">
        <f t="shared" si="20"/>
        <v>12903</v>
      </c>
      <c r="K391">
        <v>390</v>
      </c>
      <c r="L391" s="3">
        <f>SUM($I$2:$I391)</f>
        <v>5274150</v>
      </c>
      <c r="M391" s="3">
        <f>SUM($J$2:$J391)</f>
        <v>17722066.5</v>
      </c>
      <c r="N391" s="2">
        <f>SUM($D$2:$D391)</f>
        <v>1524.6900000000005</v>
      </c>
      <c r="O391" s="2">
        <f t="shared" si="21"/>
        <v>9.0861470360027688E-2</v>
      </c>
      <c r="P391" s="2" cm="1">
        <f t="array" ref="P391">SUMPRODUCT((O391&gt;$T$9:$T$14)*(O391&lt;=$U$9:$U$14),$S$9:$S$14)</f>
        <v>2</v>
      </c>
    </row>
    <row r="392" spans="1:16" x14ac:dyDescent="0.25">
      <c r="A392">
        <v>710</v>
      </c>
      <c r="B392">
        <v>1497</v>
      </c>
      <c r="C392">
        <v>954</v>
      </c>
      <c r="D392">
        <v>3.73</v>
      </c>
      <c r="E392">
        <v>22040</v>
      </c>
      <c r="F392">
        <v>5.3</v>
      </c>
      <c r="G392">
        <v>22040053</v>
      </c>
      <c r="H392">
        <v>17</v>
      </c>
      <c r="I392">
        <v>3450</v>
      </c>
      <c r="J392" s="2">
        <f t="shared" si="20"/>
        <v>12868.5</v>
      </c>
      <c r="K392">
        <v>391</v>
      </c>
      <c r="L392" s="3">
        <f>SUM($I$2:$I392)</f>
        <v>5277600</v>
      </c>
      <c r="M392" s="3">
        <f>SUM($J$2:$J392)</f>
        <v>17734935</v>
      </c>
      <c r="N392" s="2">
        <f>SUM($D$2:$D392)</f>
        <v>1528.4200000000005</v>
      </c>
      <c r="O392" s="2">
        <f t="shared" si="21"/>
        <v>9.1083753764813521E-2</v>
      </c>
      <c r="P392" s="2" cm="1">
        <f t="array" ref="P392">SUMPRODUCT((O392&gt;$T$9:$T$14)*(O392&lt;=$U$9:$U$14),$S$9:$S$14)</f>
        <v>2</v>
      </c>
    </row>
    <row r="393" spans="1:16" x14ac:dyDescent="0.25">
      <c r="A393">
        <v>1245</v>
      </c>
      <c r="B393">
        <v>77</v>
      </c>
      <c r="C393">
        <v>1141</v>
      </c>
      <c r="D393">
        <v>2.0299999999999998</v>
      </c>
      <c r="E393">
        <v>27813</v>
      </c>
      <c r="F393">
        <v>0</v>
      </c>
      <c r="G393">
        <v>27813000</v>
      </c>
      <c r="H393">
        <v>35</v>
      </c>
      <c r="I393">
        <v>3450</v>
      </c>
      <c r="J393" s="2">
        <f t="shared" si="20"/>
        <v>7003.4999999999991</v>
      </c>
      <c r="K393">
        <v>392</v>
      </c>
      <c r="L393" s="3">
        <f>SUM($I$2:$I393)</f>
        <v>5281050</v>
      </c>
      <c r="M393" s="3">
        <f>SUM($J$2:$J393)</f>
        <v>17741938.5</v>
      </c>
      <c r="N393" s="2">
        <f>SUM($D$2:$D393)</f>
        <v>1530.4500000000005</v>
      </c>
      <c r="O393" s="2">
        <f t="shared" si="21"/>
        <v>9.1204728379214381E-2</v>
      </c>
      <c r="P393" s="2" cm="1">
        <f t="array" ref="P393">SUMPRODUCT((O393&gt;$T$9:$T$14)*(O393&lt;=$U$9:$U$14),$S$9:$S$14)</f>
        <v>2</v>
      </c>
    </row>
    <row r="394" spans="1:16" x14ac:dyDescent="0.25">
      <c r="A394">
        <v>629</v>
      </c>
      <c r="B394">
        <v>1416</v>
      </c>
      <c r="C394">
        <v>855</v>
      </c>
      <c r="D394">
        <v>0.41</v>
      </c>
      <c r="E394">
        <v>14481</v>
      </c>
      <c r="F394">
        <v>0</v>
      </c>
      <c r="G394">
        <v>14481000</v>
      </c>
      <c r="H394">
        <v>7</v>
      </c>
      <c r="I394">
        <v>3450</v>
      </c>
      <c r="J394" s="2">
        <f t="shared" si="20"/>
        <v>1414.5</v>
      </c>
      <c r="K394">
        <v>393</v>
      </c>
      <c r="L394" s="3">
        <f>SUM($I$2:$I394)</f>
        <v>5284500</v>
      </c>
      <c r="M394" s="3">
        <f>SUM($J$2:$J394)</f>
        <v>17743353</v>
      </c>
      <c r="N394" s="2">
        <f>SUM($D$2:$D394)</f>
        <v>1530.8600000000006</v>
      </c>
      <c r="O394" s="2">
        <f t="shared" si="21"/>
        <v>9.1229161675718998E-2</v>
      </c>
      <c r="P394" s="2" cm="1">
        <f t="array" ref="P394">SUMPRODUCT((O394&gt;$T$9:$T$14)*(O394&lt;=$U$9:$U$14),$S$9:$S$14)</f>
        <v>2</v>
      </c>
    </row>
    <row r="395" spans="1:16" x14ac:dyDescent="0.25">
      <c r="A395">
        <v>822</v>
      </c>
      <c r="B395">
        <v>448</v>
      </c>
      <c r="C395">
        <v>58</v>
      </c>
      <c r="D395">
        <v>10.24</v>
      </c>
      <c r="E395">
        <v>14370</v>
      </c>
      <c r="F395">
        <v>0</v>
      </c>
      <c r="G395">
        <v>14370000</v>
      </c>
      <c r="H395">
        <v>7</v>
      </c>
      <c r="I395">
        <v>3400</v>
      </c>
      <c r="J395" s="2">
        <f t="shared" si="20"/>
        <v>34816</v>
      </c>
      <c r="K395">
        <v>394</v>
      </c>
      <c r="L395" s="3">
        <f>SUM($I$2:$I395)</f>
        <v>5287900</v>
      </c>
      <c r="M395" s="3">
        <f>SUM($J$2:$J395)</f>
        <v>17778169</v>
      </c>
      <c r="N395" s="2">
        <f>SUM($D$2:$D395)</f>
        <v>1541.1000000000006</v>
      </c>
      <c r="O395" s="2">
        <f t="shared" si="21"/>
        <v>9.1839398154273111E-2</v>
      </c>
      <c r="P395" s="2" cm="1">
        <f t="array" ref="P395">SUMPRODUCT((O395&gt;$T$9:$T$14)*(O395&lt;=$U$9:$U$14),$S$9:$S$14)</f>
        <v>2</v>
      </c>
    </row>
    <row r="396" spans="1:16" x14ac:dyDescent="0.25">
      <c r="A396">
        <v>637</v>
      </c>
      <c r="B396">
        <v>1424</v>
      </c>
      <c r="C396">
        <v>864</v>
      </c>
      <c r="D396">
        <v>5.12</v>
      </c>
      <c r="E396">
        <v>13595</v>
      </c>
      <c r="F396">
        <v>0</v>
      </c>
      <c r="G396">
        <v>13595000</v>
      </c>
      <c r="H396">
        <v>6</v>
      </c>
      <c r="I396">
        <v>3400</v>
      </c>
      <c r="J396" s="2">
        <f t="shared" si="20"/>
        <v>17408</v>
      </c>
      <c r="K396">
        <v>395</v>
      </c>
      <c r="L396" s="3">
        <f>SUM($I$2:$I396)</f>
        <v>5291300</v>
      </c>
      <c r="M396" s="3">
        <f>SUM($J$2:$J396)</f>
        <v>17795577</v>
      </c>
      <c r="N396" s="2">
        <f>SUM($D$2:$D396)</f>
        <v>1546.2200000000005</v>
      </c>
      <c r="O396" s="2">
        <f t="shared" si="21"/>
        <v>9.2144516393550174E-2</v>
      </c>
      <c r="P396" s="2" cm="1">
        <f t="array" ref="P396">SUMPRODUCT((O396&gt;$T$9:$T$14)*(O396&lt;=$U$9:$U$14),$S$9:$S$14)</f>
        <v>2</v>
      </c>
    </row>
    <row r="397" spans="1:16" x14ac:dyDescent="0.25">
      <c r="A397">
        <v>1241</v>
      </c>
      <c r="B397">
        <v>73</v>
      </c>
      <c r="C397">
        <v>1136</v>
      </c>
      <c r="D397">
        <v>2.5299999999999998</v>
      </c>
      <c r="E397">
        <v>27822</v>
      </c>
      <c r="F397">
        <v>0</v>
      </c>
      <c r="G397">
        <v>27822000</v>
      </c>
      <c r="H397">
        <v>35</v>
      </c>
      <c r="I397">
        <v>3400</v>
      </c>
      <c r="J397" s="2">
        <f t="shared" si="20"/>
        <v>8602</v>
      </c>
      <c r="K397">
        <v>396</v>
      </c>
      <c r="L397" s="3">
        <f>SUM($I$2:$I397)</f>
        <v>5294700</v>
      </c>
      <c r="M397" s="3">
        <f>SUM($J$2:$J397)</f>
        <v>17804179</v>
      </c>
      <c r="N397" s="2">
        <f>SUM($D$2:$D397)</f>
        <v>1548.7500000000005</v>
      </c>
      <c r="O397" s="2">
        <f t="shared" si="21"/>
        <v>9.2295287711005439E-2</v>
      </c>
      <c r="P397" s="2" cm="1">
        <f t="array" ref="P397">SUMPRODUCT((O397&gt;$T$9:$T$14)*(O397&lt;=$U$9:$U$14),$S$9:$S$14)</f>
        <v>2</v>
      </c>
    </row>
    <row r="398" spans="1:16" x14ac:dyDescent="0.25">
      <c r="A398">
        <v>1244</v>
      </c>
      <c r="B398">
        <v>76</v>
      </c>
      <c r="C398">
        <v>1140</v>
      </c>
      <c r="D398">
        <v>1.92</v>
      </c>
      <c r="E398">
        <v>27815</v>
      </c>
      <c r="F398">
        <v>0</v>
      </c>
      <c r="G398">
        <v>27815000</v>
      </c>
      <c r="H398">
        <v>35</v>
      </c>
      <c r="I398">
        <v>3400</v>
      </c>
      <c r="J398" s="2">
        <f t="shared" si="20"/>
        <v>6528</v>
      </c>
      <c r="K398">
        <v>397</v>
      </c>
      <c r="L398" s="3">
        <f>SUM($I$2:$I398)</f>
        <v>5298100</v>
      </c>
      <c r="M398" s="3">
        <f>SUM($J$2:$J398)</f>
        <v>17810707</v>
      </c>
      <c r="N398" s="2">
        <f>SUM($D$2:$D398)</f>
        <v>1550.6700000000005</v>
      </c>
      <c r="O398" s="2">
        <f t="shared" si="21"/>
        <v>9.2409707050734341E-2</v>
      </c>
      <c r="P398" s="2" cm="1">
        <f t="array" ref="P398">SUMPRODUCT((O398&gt;$T$9:$T$14)*(O398&lt;=$U$9:$U$14),$S$9:$S$14)</f>
        <v>2</v>
      </c>
    </row>
    <row r="399" spans="1:16" x14ac:dyDescent="0.25">
      <c r="A399">
        <v>1049</v>
      </c>
      <c r="B399">
        <v>675</v>
      </c>
      <c r="C399">
        <v>362</v>
      </c>
      <c r="D399">
        <v>0.61</v>
      </c>
      <c r="E399">
        <v>16100</v>
      </c>
      <c r="F399">
        <v>8.9</v>
      </c>
      <c r="G399">
        <v>16100089</v>
      </c>
      <c r="H399">
        <v>9</v>
      </c>
      <c r="I399">
        <v>3400</v>
      </c>
      <c r="J399" s="2">
        <f t="shared" si="20"/>
        <v>2074</v>
      </c>
      <c r="K399">
        <v>398</v>
      </c>
      <c r="L399" s="3">
        <f>SUM($I$2:$I399)</f>
        <v>5301500</v>
      </c>
      <c r="M399" s="3">
        <f>SUM($J$2:$J399)</f>
        <v>17812781</v>
      </c>
      <c r="N399" s="2">
        <f>SUM($D$2:$D399)</f>
        <v>1551.2800000000004</v>
      </c>
      <c r="O399" s="2">
        <f t="shared" si="21"/>
        <v>9.2446059028460703E-2</v>
      </c>
      <c r="P399" s="2" cm="1">
        <f t="array" ref="P399">SUMPRODUCT((O399&gt;$T$9:$T$14)*(O399&lt;=$U$9:$U$14),$S$9:$S$14)</f>
        <v>2</v>
      </c>
    </row>
    <row r="400" spans="1:16" x14ac:dyDescent="0.25">
      <c r="A400">
        <v>1456</v>
      </c>
      <c r="B400">
        <v>288</v>
      </c>
      <c r="C400">
        <v>1411</v>
      </c>
      <c r="D400">
        <v>0.39</v>
      </c>
      <c r="E400">
        <v>46795</v>
      </c>
      <c r="F400">
        <v>0</v>
      </c>
      <c r="G400">
        <v>46795000</v>
      </c>
      <c r="H400">
        <v>400</v>
      </c>
      <c r="I400">
        <v>3400</v>
      </c>
      <c r="J400" s="2">
        <f t="shared" si="20"/>
        <v>1326</v>
      </c>
      <c r="K400">
        <v>399</v>
      </c>
      <c r="L400" s="3">
        <f>SUM($I$2:$I400)</f>
        <v>5304900</v>
      </c>
      <c r="M400" s="3">
        <f>SUM($J$2:$J400)</f>
        <v>17814107</v>
      </c>
      <c r="N400" s="2">
        <f>SUM($D$2:$D400)</f>
        <v>1551.6700000000005</v>
      </c>
      <c r="O400" s="2">
        <f t="shared" si="21"/>
        <v>9.2469300456843137E-2</v>
      </c>
      <c r="P400" s="2" cm="1">
        <f t="array" ref="P400">SUMPRODUCT((O400&gt;$T$9:$T$14)*(O400&lt;=$U$9:$U$14),$S$9:$S$14)</f>
        <v>2</v>
      </c>
    </row>
    <row r="401" spans="1:16" x14ac:dyDescent="0.25">
      <c r="A401">
        <v>622</v>
      </c>
      <c r="B401">
        <v>1409</v>
      </c>
      <c r="C401">
        <v>847</v>
      </c>
      <c r="D401">
        <v>7.76</v>
      </c>
      <c r="E401">
        <v>17010</v>
      </c>
      <c r="F401">
        <v>0</v>
      </c>
      <c r="G401">
        <v>17010000</v>
      </c>
      <c r="H401">
        <v>11</v>
      </c>
      <c r="I401">
        <v>3350</v>
      </c>
      <c r="J401" s="2">
        <f t="shared" si="20"/>
        <v>25996</v>
      </c>
      <c r="K401">
        <v>400</v>
      </c>
      <c r="L401" s="3">
        <f>SUM($I$2:$I401)</f>
        <v>5308250</v>
      </c>
      <c r="M401" s="3">
        <f>SUM($J$2:$J401)</f>
        <v>17840103</v>
      </c>
      <c r="N401" s="2">
        <f>SUM($D$2:$D401)</f>
        <v>1559.4300000000005</v>
      </c>
      <c r="O401" s="2">
        <f t="shared" si="21"/>
        <v>9.2931745288247436E-2</v>
      </c>
      <c r="P401" s="2" cm="1">
        <f t="array" ref="P401">SUMPRODUCT((O401&gt;$T$9:$T$14)*(O401&lt;=$U$9:$U$14),$S$9:$S$14)</f>
        <v>2</v>
      </c>
    </row>
    <row r="402" spans="1:16" x14ac:dyDescent="0.25">
      <c r="A402">
        <v>1551</v>
      </c>
      <c r="B402">
        <v>383</v>
      </c>
      <c r="C402">
        <v>1528</v>
      </c>
      <c r="D402">
        <v>6.06</v>
      </c>
      <c r="E402">
        <v>49175</v>
      </c>
      <c r="F402">
        <v>0</v>
      </c>
      <c r="G402">
        <v>49175000</v>
      </c>
      <c r="H402">
        <v>416</v>
      </c>
      <c r="I402">
        <v>3350</v>
      </c>
      <c r="J402" s="2">
        <f t="shared" si="20"/>
        <v>20301</v>
      </c>
      <c r="K402">
        <v>401</v>
      </c>
      <c r="L402" s="3">
        <f>SUM($I$2:$I402)</f>
        <v>5311600</v>
      </c>
      <c r="M402" s="3">
        <f>SUM($J$2:$J402)</f>
        <v>17860404</v>
      </c>
      <c r="N402" s="2">
        <f>SUM($D$2:$D402)</f>
        <v>1565.4900000000005</v>
      </c>
      <c r="O402" s="2">
        <f t="shared" si="21"/>
        <v>9.3292881329266761E-2</v>
      </c>
      <c r="P402" s="2" cm="1">
        <f t="array" ref="P402">SUMPRODUCT((O402&gt;$T$9:$T$14)*(O402&lt;=$U$9:$U$14),$S$9:$S$14)</f>
        <v>2</v>
      </c>
    </row>
    <row r="403" spans="1:16" x14ac:dyDescent="0.25">
      <c r="A403">
        <v>1548</v>
      </c>
      <c r="B403">
        <v>380</v>
      </c>
      <c r="C403">
        <v>1524</v>
      </c>
      <c r="D403">
        <v>5.42</v>
      </c>
      <c r="E403">
        <v>49205</v>
      </c>
      <c r="F403">
        <v>0</v>
      </c>
      <c r="G403">
        <v>49205000</v>
      </c>
      <c r="H403">
        <v>416</v>
      </c>
      <c r="I403">
        <v>3300</v>
      </c>
      <c r="J403" s="2">
        <f t="shared" si="20"/>
        <v>17886</v>
      </c>
      <c r="K403">
        <v>402</v>
      </c>
      <c r="L403" s="3">
        <f>SUM($I$2:$I403)</f>
        <v>5314900</v>
      </c>
      <c r="M403" s="3">
        <f>SUM($J$2:$J403)</f>
        <v>17878290</v>
      </c>
      <c r="N403" s="2">
        <f>SUM($D$2:$D403)</f>
        <v>1570.9100000000005</v>
      </c>
      <c r="O403" s="2">
        <f t="shared" si="21"/>
        <v>9.361587759037647E-2</v>
      </c>
      <c r="P403" s="2" cm="1">
        <f t="array" ref="P403">SUMPRODUCT((O403&gt;$T$9:$T$14)*(O403&lt;=$U$9:$U$14),$S$9:$S$14)</f>
        <v>2</v>
      </c>
    </row>
    <row r="404" spans="1:16" x14ac:dyDescent="0.25">
      <c r="A404">
        <v>1682</v>
      </c>
      <c r="B404">
        <v>1682</v>
      </c>
      <c r="C404">
        <v>2181</v>
      </c>
      <c r="D404">
        <v>7.98</v>
      </c>
      <c r="E404">
        <v>49299</v>
      </c>
      <c r="F404">
        <v>0</v>
      </c>
      <c r="G404">
        <v>49299000</v>
      </c>
      <c r="H404">
        <v>417</v>
      </c>
      <c r="I404">
        <v>3250</v>
      </c>
      <c r="J404" s="2">
        <f t="shared" si="20"/>
        <v>25935</v>
      </c>
      <c r="K404">
        <v>403</v>
      </c>
      <c r="L404" s="3">
        <f>SUM($I$2:$I404)</f>
        <v>5318150</v>
      </c>
      <c r="M404" s="3">
        <f>SUM($J$2:$J404)</f>
        <v>17904225</v>
      </c>
      <c r="N404" s="2">
        <f>SUM($D$2:$D404)</f>
        <v>1578.8900000000006</v>
      </c>
      <c r="O404" s="2">
        <f t="shared" si="21"/>
        <v>9.4091432971124697E-2</v>
      </c>
      <c r="P404" s="2" cm="1">
        <f t="array" ref="P404">SUMPRODUCT((O404&gt;$T$9:$T$14)*(O404&lt;=$U$9:$U$14),$S$9:$S$14)</f>
        <v>2</v>
      </c>
    </row>
    <row r="405" spans="1:16" x14ac:dyDescent="0.25">
      <c r="A405">
        <v>1240</v>
      </c>
      <c r="B405">
        <v>72</v>
      </c>
      <c r="C405">
        <v>1135</v>
      </c>
      <c r="D405">
        <v>5.6</v>
      </c>
      <c r="E405">
        <v>27824</v>
      </c>
      <c r="F405">
        <v>0</v>
      </c>
      <c r="G405">
        <v>27824000</v>
      </c>
      <c r="H405">
        <v>35</v>
      </c>
      <c r="I405">
        <v>3250</v>
      </c>
      <c r="J405" s="2">
        <f t="shared" si="20"/>
        <v>18200</v>
      </c>
      <c r="K405">
        <v>404</v>
      </c>
      <c r="L405" s="3">
        <f>SUM($I$2:$I405)</f>
        <v>5321400</v>
      </c>
      <c r="M405" s="3">
        <f>SUM($J$2:$J405)</f>
        <v>17922425</v>
      </c>
      <c r="N405" s="2">
        <f>SUM($D$2:$D405)</f>
        <v>1584.4900000000005</v>
      </c>
      <c r="O405" s="2">
        <f t="shared" si="21"/>
        <v>9.4425156045333983E-2</v>
      </c>
      <c r="P405" s="2" cm="1">
        <f t="array" ref="P405">SUMPRODUCT((O405&gt;$T$9:$T$14)*(O405&lt;=$U$9:$U$14),$S$9:$S$14)</f>
        <v>2</v>
      </c>
    </row>
    <row r="406" spans="1:16" x14ac:dyDescent="0.25">
      <c r="A406">
        <v>915</v>
      </c>
      <c r="B406">
        <v>541</v>
      </c>
      <c r="C406">
        <v>188</v>
      </c>
      <c r="D406">
        <v>0.19</v>
      </c>
      <c r="E406">
        <v>10000</v>
      </c>
      <c r="F406">
        <v>0</v>
      </c>
      <c r="G406">
        <v>10000000</v>
      </c>
      <c r="H406" t="s">
        <v>20</v>
      </c>
      <c r="I406">
        <v>3250</v>
      </c>
      <c r="J406" s="2">
        <f t="shared" si="20"/>
        <v>617.5</v>
      </c>
      <c r="K406">
        <v>405</v>
      </c>
      <c r="L406" s="3">
        <f>SUM($I$2:$I406)</f>
        <v>5324650</v>
      </c>
      <c r="M406" s="3">
        <f>SUM($J$2:$J406)</f>
        <v>17923042.5</v>
      </c>
      <c r="N406" s="2">
        <f>SUM($D$2:$D406)</f>
        <v>1584.6800000000005</v>
      </c>
      <c r="O406" s="2">
        <f t="shared" si="21"/>
        <v>9.4436478792494657E-2</v>
      </c>
      <c r="P406" s="2" cm="1">
        <f t="array" ref="P406">SUMPRODUCT((O406&gt;$T$9:$T$14)*(O406&lt;=$U$9:$U$14),$S$9:$S$14)</f>
        <v>2</v>
      </c>
    </row>
    <row r="407" spans="1:16" x14ac:dyDescent="0.25">
      <c r="A407">
        <v>1161</v>
      </c>
      <c r="B407">
        <v>787</v>
      </c>
      <c r="C407">
        <v>507</v>
      </c>
      <c r="D407">
        <v>2.6</v>
      </c>
      <c r="E407">
        <v>14605</v>
      </c>
      <c r="F407">
        <v>0</v>
      </c>
      <c r="G407">
        <v>14605000</v>
      </c>
      <c r="H407">
        <v>7</v>
      </c>
      <c r="I407">
        <v>3200</v>
      </c>
      <c r="J407" s="2">
        <f t="shared" si="20"/>
        <v>8320</v>
      </c>
      <c r="K407">
        <v>406</v>
      </c>
      <c r="L407" s="3">
        <f>SUM($I$2:$I407)</f>
        <v>5327850</v>
      </c>
      <c r="M407" s="3">
        <f>SUM($J$2:$J407)</f>
        <v>17931362.5</v>
      </c>
      <c r="N407" s="2">
        <f>SUM($D$2:$D407)</f>
        <v>1587.2800000000004</v>
      </c>
      <c r="O407" s="2">
        <f t="shared" si="21"/>
        <v>9.4591421648377527E-2</v>
      </c>
      <c r="P407" s="2" cm="1">
        <f t="array" ref="P407">SUMPRODUCT((O407&gt;$T$9:$T$14)*(O407&lt;=$U$9:$U$14),$S$9:$S$14)</f>
        <v>2</v>
      </c>
    </row>
    <row r="408" spans="1:16" x14ac:dyDescent="0.25">
      <c r="A408">
        <v>870</v>
      </c>
      <c r="B408">
        <v>496</v>
      </c>
      <c r="C408">
        <v>122</v>
      </c>
      <c r="D408">
        <v>0.89</v>
      </c>
      <c r="E408">
        <v>10004</v>
      </c>
      <c r="F408">
        <v>0</v>
      </c>
      <c r="G408">
        <v>10004000</v>
      </c>
      <c r="H408" t="s">
        <v>20</v>
      </c>
      <c r="I408">
        <v>3200</v>
      </c>
      <c r="J408" s="2">
        <f t="shared" si="20"/>
        <v>2848</v>
      </c>
      <c r="K408">
        <v>407</v>
      </c>
      <c r="L408" s="3">
        <f>SUM($I$2:$I408)</f>
        <v>5331050</v>
      </c>
      <c r="M408" s="3">
        <f>SUM($J$2:$J408)</f>
        <v>17934210.5</v>
      </c>
      <c r="N408" s="2">
        <f>SUM($D$2:$D408)</f>
        <v>1588.1700000000005</v>
      </c>
      <c r="O408" s="2">
        <f t="shared" si="21"/>
        <v>9.4644459779814366E-2</v>
      </c>
      <c r="P408" s="2" cm="1">
        <f t="array" ref="P408">SUMPRODUCT((O408&gt;$T$9:$T$14)*(O408&lt;=$U$9:$U$14),$S$9:$S$14)</f>
        <v>2</v>
      </c>
    </row>
    <row r="409" spans="1:16" x14ac:dyDescent="0.25">
      <c r="A409">
        <v>1415</v>
      </c>
      <c r="B409">
        <v>247</v>
      </c>
      <c r="C409">
        <v>1370</v>
      </c>
      <c r="D409">
        <v>7.58</v>
      </c>
      <c r="E409">
        <v>46984</v>
      </c>
      <c r="F409">
        <v>0</v>
      </c>
      <c r="G409">
        <v>46984000</v>
      </c>
      <c r="H409">
        <v>400</v>
      </c>
      <c r="I409">
        <v>3150</v>
      </c>
      <c r="J409" s="2">
        <f t="shared" si="20"/>
        <v>23877</v>
      </c>
      <c r="K409">
        <v>408</v>
      </c>
      <c r="L409" s="3">
        <f>SUM($I$2:$I409)</f>
        <v>5334200</v>
      </c>
      <c r="M409" s="3">
        <f>SUM($J$2:$J409)</f>
        <v>17958087.5</v>
      </c>
      <c r="N409" s="2">
        <f>SUM($D$2:$D409)</f>
        <v>1595.7500000000005</v>
      </c>
      <c r="O409" s="2">
        <f t="shared" si="21"/>
        <v>9.5096177798119075E-2</v>
      </c>
      <c r="P409" s="2" cm="1">
        <f t="array" ref="P409">SUMPRODUCT((O409&gt;$T$9:$T$14)*(O409&lt;=$U$9:$U$14),$S$9:$S$14)</f>
        <v>2</v>
      </c>
    </row>
    <row r="410" spans="1:16" x14ac:dyDescent="0.25">
      <c r="A410">
        <v>1429</v>
      </c>
      <c r="B410">
        <v>261</v>
      </c>
      <c r="C410">
        <v>1384</v>
      </c>
      <c r="D410">
        <v>6.27</v>
      </c>
      <c r="E410">
        <v>46920</v>
      </c>
      <c r="F410">
        <v>0</v>
      </c>
      <c r="G410">
        <v>46920000</v>
      </c>
      <c r="H410">
        <v>400</v>
      </c>
      <c r="I410">
        <v>3150</v>
      </c>
      <c r="J410" s="2">
        <f t="shared" si="20"/>
        <v>19750.5</v>
      </c>
      <c r="K410">
        <v>409</v>
      </c>
      <c r="L410" s="3">
        <f>SUM($I$2:$I410)</f>
        <v>5337350</v>
      </c>
      <c r="M410" s="3">
        <f>SUM($J$2:$J410)</f>
        <v>17977838</v>
      </c>
      <c r="N410" s="2">
        <f>SUM($D$2:$D410)</f>
        <v>1602.0200000000004</v>
      </c>
      <c r="O410" s="2">
        <f t="shared" si="21"/>
        <v>9.5469828454421257E-2</v>
      </c>
      <c r="P410" s="2" cm="1">
        <f t="array" ref="P410">SUMPRODUCT((O410&gt;$T$9:$T$14)*(O410&lt;=$U$9:$U$14),$S$9:$S$14)</f>
        <v>2</v>
      </c>
    </row>
    <row r="411" spans="1:16" x14ac:dyDescent="0.25">
      <c r="A411">
        <v>1246</v>
      </c>
      <c r="B411">
        <v>78</v>
      </c>
      <c r="C411">
        <v>1142</v>
      </c>
      <c r="D411">
        <v>2.92</v>
      </c>
      <c r="E411">
        <v>27810</v>
      </c>
      <c r="F411">
        <v>0</v>
      </c>
      <c r="G411">
        <v>27810000</v>
      </c>
      <c r="H411">
        <v>35</v>
      </c>
      <c r="I411">
        <v>3150</v>
      </c>
      <c r="J411" s="2">
        <f t="shared" si="20"/>
        <v>9198</v>
      </c>
      <c r="K411">
        <v>410</v>
      </c>
      <c r="L411" s="3">
        <f>SUM($I$2:$I411)</f>
        <v>5340500</v>
      </c>
      <c r="M411" s="3">
        <f>SUM($J$2:$J411)</f>
        <v>17987036</v>
      </c>
      <c r="N411" s="2">
        <f>SUM($D$2:$D411)</f>
        <v>1604.9400000000005</v>
      </c>
      <c r="O411" s="2">
        <f t="shared" si="21"/>
        <v>9.5643841200258956E-2</v>
      </c>
      <c r="P411" s="2" cm="1">
        <f t="array" ref="P411">SUMPRODUCT((O411&gt;$T$9:$T$14)*(O411&lt;=$U$9:$U$14),$S$9:$S$14)</f>
        <v>2</v>
      </c>
    </row>
    <row r="412" spans="1:16" x14ac:dyDescent="0.25">
      <c r="A412">
        <v>600</v>
      </c>
      <c r="B412">
        <v>1387</v>
      </c>
      <c r="C412">
        <v>820</v>
      </c>
      <c r="D412">
        <v>1.32</v>
      </c>
      <c r="E412">
        <v>27800</v>
      </c>
      <c r="F412">
        <v>0</v>
      </c>
      <c r="G412">
        <v>27800000</v>
      </c>
      <c r="H412">
        <v>35</v>
      </c>
      <c r="I412">
        <v>3150</v>
      </c>
      <c r="J412" s="2">
        <f t="shared" si="20"/>
        <v>4158</v>
      </c>
      <c r="K412">
        <v>411</v>
      </c>
      <c r="L412" s="3">
        <f>SUM($I$2:$I412)</f>
        <v>5343650</v>
      </c>
      <c r="M412" s="3">
        <f>SUM($J$2:$J412)</f>
        <v>17991194</v>
      </c>
      <c r="N412" s="2">
        <f>SUM($D$2:$D412)</f>
        <v>1606.2600000000004</v>
      </c>
      <c r="O412" s="2">
        <f t="shared" si="21"/>
        <v>9.572250449632258E-2</v>
      </c>
      <c r="P412" s="2" cm="1">
        <f t="array" ref="P412">SUMPRODUCT((O412&gt;$T$9:$T$14)*(O412&lt;=$U$9:$U$14),$S$9:$S$14)</f>
        <v>2</v>
      </c>
    </row>
    <row r="413" spans="1:16" x14ac:dyDescent="0.25">
      <c r="A413">
        <v>1617</v>
      </c>
      <c r="B413">
        <v>1617</v>
      </c>
      <c r="C413">
        <v>2109</v>
      </c>
      <c r="D413">
        <v>13.42</v>
      </c>
      <c r="E413">
        <v>49309</v>
      </c>
      <c r="F413">
        <v>0</v>
      </c>
      <c r="G413">
        <v>49309000</v>
      </c>
      <c r="H413">
        <v>417</v>
      </c>
      <c r="I413">
        <v>3100</v>
      </c>
      <c r="J413" s="2">
        <f t="shared" si="20"/>
        <v>41602</v>
      </c>
      <c r="K413">
        <v>412</v>
      </c>
      <c r="L413" s="3">
        <f>SUM($I$2:$I413)</f>
        <v>5346750</v>
      </c>
      <c r="M413" s="3">
        <f>SUM($J$2:$J413)</f>
        <v>18032796</v>
      </c>
      <c r="N413" s="2">
        <f>SUM($D$2:$D413)</f>
        <v>1619.6800000000005</v>
      </c>
      <c r="O413" s="2">
        <f t="shared" si="21"/>
        <v>9.6522248006302686E-2</v>
      </c>
      <c r="P413" s="2" cm="1">
        <f t="array" ref="P413">SUMPRODUCT((O413&gt;$T$9:$T$14)*(O413&lt;=$U$9:$U$14),$S$9:$S$14)</f>
        <v>2</v>
      </c>
    </row>
    <row r="414" spans="1:16" x14ac:dyDescent="0.25">
      <c r="A414">
        <v>34</v>
      </c>
      <c r="B414">
        <v>830</v>
      </c>
      <c r="C414">
        <v>1584</v>
      </c>
      <c r="D414">
        <v>8.89</v>
      </c>
      <c r="E414">
        <v>49320</v>
      </c>
      <c r="F414">
        <v>0</v>
      </c>
      <c r="G414">
        <v>49320000</v>
      </c>
      <c r="H414">
        <v>417</v>
      </c>
      <c r="I414">
        <v>3100</v>
      </c>
      <c r="J414" s="2">
        <f t="shared" si="20"/>
        <v>27559</v>
      </c>
      <c r="K414">
        <v>413</v>
      </c>
      <c r="L414" s="3">
        <f>SUM($I$2:$I414)</f>
        <v>5349850</v>
      </c>
      <c r="M414" s="3">
        <f>SUM($J$2:$J414)</f>
        <v>18060355</v>
      </c>
      <c r="N414" s="2">
        <f>SUM($D$2:$D414)</f>
        <v>1628.5700000000006</v>
      </c>
      <c r="O414" s="2">
        <f t="shared" si="21"/>
        <v>9.7052033386609934E-2</v>
      </c>
      <c r="P414" s="2" cm="1">
        <f t="array" ref="P414">SUMPRODUCT((O414&gt;$T$9:$T$14)*(O414&lt;=$U$9:$U$14),$S$9:$S$14)</f>
        <v>2</v>
      </c>
    </row>
    <row r="415" spans="1:16" x14ac:dyDescent="0.25">
      <c r="A415">
        <v>732</v>
      </c>
      <c r="B415">
        <v>1519</v>
      </c>
      <c r="C415">
        <v>982</v>
      </c>
      <c r="D415">
        <v>1.72</v>
      </c>
      <c r="E415">
        <v>33560</v>
      </c>
      <c r="F415">
        <v>0</v>
      </c>
      <c r="G415">
        <v>33560000</v>
      </c>
      <c r="H415">
        <v>61</v>
      </c>
      <c r="I415">
        <v>3100</v>
      </c>
      <c r="J415" s="2">
        <f t="shared" si="20"/>
        <v>5332</v>
      </c>
      <c r="K415">
        <v>414</v>
      </c>
      <c r="L415" s="3">
        <f>SUM($I$2:$I415)</f>
        <v>5352950</v>
      </c>
      <c r="M415" s="3">
        <f>SUM($J$2:$J415)</f>
        <v>18065687</v>
      </c>
      <c r="N415" s="2">
        <f>SUM($D$2:$D415)</f>
        <v>1630.2900000000006</v>
      </c>
      <c r="O415" s="2">
        <f t="shared" si="21"/>
        <v>9.7154534045117077E-2</v>
      </c>
      <c r="P415" s="2" cm="1">
        <f t="array" ref="P415">SUMPRODUCT((O415&gt;$T$9:$T$14)*(O415&lt;=$U$9:$U$14),$S$9:$S$14)</f>
        <v>2</v>
      </c>
    </row>
    <row r="416" spans="1:16" x14ac:dyDescent="0.25">
      <c r="A416">
        <v>75</v>
      </c>
      <c r="B416">
        <v>871</v>
      </c>
      <c r="C416">
        <v>1627</v>
      </c>
      <c r="D416">
        <v>5.14</v>
      </c>
      <c r="E416">
        <v>49230</v>
      </c>
      <c r="F416">
        <v>0</v>
      </c>
      <c r="G416">
        <v>49230000</v>
      </c>
      <c r="H416">
        <v>417</v>
      </c>
      <c r="I416">
        <v>3050</v>
      </c>
      <c r="J416" s="2">
        <f t="shared" si="20"/>
        <v>15676.999999999998</v>
      </c>
      <c r="K416">
        <v>415</v>
      </c>
      <c r="L416" s="3">
        <f>SUM($I$2:$I416)</f>
        <v>5356000</v>
      </c>
      <c r="M416" s="3">
        <f>SUM($J$2:$J416)</f>
        <v>18081364</v>
      </c>
      <c r="N416" s="2">
        <f>SUM($D$2:$D416)</f>
        <v>1635.4300000000007</v>
      </c>
      <c r="O416" s="2">
        <f t="shared" si="21"/>
        <v>9.746084415251631E-2</v>
      </c>
      <c r="P416" s="2" cm="1">
        <f t="array" ref="P416">SUMPRODUCT((O416&gt;$T$9:$T$14)*(O416&lt;=$U$9:$U$14),$S$9:$S$14)</f>
        <v>2</v>
      </c>
    </row>
    <row r="417" spans="1:16" x14ac:dyDescent="0.25">
      <c r="A417">
        <v>1679</v>
      </c>
      <c r="B417">
        <v>1679</v>
      </c>
      <c r="C417">
        <v>2178</v>
      </c>
      <c r="D417">
        <v>4.21</v>
      </c>
      <c r="E417">
        <v>49165</v>
      </c>
      <c r="F417">
        <v>0</v>
      </c>
      <c r="G417">
        <v>49165000</v>
      </c>
      <c r="H417">
        <v>416</v>
      </c>
      <c r="I417">
        <v>3050</v>
      </c>
      <c r="J417" s="2">
        <f t="shared" si="20"/>
        <v>12840.5</v>
      </c>
      <c r="K417">
        <v>416</v>
      </c>
      <c r="L417" s="3">
        <f>SUM($I$2:$I417)</f>
        <v>5359050</v>
      </c>
      <c r="M417" s="3">
        <f>SUM($J$2:$J417)</f>
        <v>18094204.5</v>
      </c>
      <c r="N417" s="2">
        <f>SUM($D$2:$D417)</f>
        <v>1639.6400000000008</v>
      </c>
      <c r="O417" s="2">
        <f t="shared" si="21"/>
        <v>9.7711732392234366E-2</v>
      </c>
      <c r="P417" s="2" cm="1">
        <f t="array" ref="P417">SUMPRODUCT((O417&gt;$T$9:$T$14)*(O417&lt;=$U$9:$U$14),$S$9:$S$14)</f>
        <v>2</v>
      </c>
    </row>
    <row r="418" spans="1:16" x14ac:dyDescent="0.25">
      <c r="A418">
        <v>1631</v>
      </c>
      <c r="B418">
        <v>1631</v>
      </c>
      <c r="C418">
        <v>2125</v>
      </c>
      <c r="D418">
        <v>2.0699999999999998</v>
      </c>
      <c r="E418">
        <v>48535</v>
      </c>
      <c r="F418">
        <v>0</v>
      </c>
      <c r="G418">
        <v>48535000</v>
      </c>
      <c r="H418">
        <v>404</v>
      </c>
      <c r="I418">
        <v>3050</v>
      </c>
      <c r="J418" s="2">
        <f t="shared" si="20"/>
        <v>6313.4999999999991</v>
      </c>
      <c r="K418">
        <v>417</v>
      </c>
      <c r="L418" s="3">
        <f>SUM($I$2:$I418)</f>
        <v>5362100</v>
      </c>
      <c r="M418" s="3">
        <f>SUM($J$2:$J418)</f>
        <v>18100518</v>
      </c>
      <c r="N418" s="2">
        <f>SUM($D$2:$D418)</f>
        <v>1641.7100000000007</v>
      </c>
      <c r="O418" s="2">
        <f t="shared" si="21"/>
        <v>9.7835090742879577E-2</v>
      </c>
      <c r="P418" s="2" cm="1">
        <f t="array" ref="P418">SUMPRODUCT((O418&gt;$T$9:$T$14)*(O418&lt;=$U$9:$U$14),$S$9:$S$14)</f>
        <v>2</v>
      </c>
    </row>
    <row r="419" spans="1:16" x14ac:dyDescent="0.25">
      <c r="A419">
        <v>1347</v>
      </c>
      <c r="B419">
        <v>179</v>
      </c>
      <c r="C419">
        <v>1276</v>
      </c>
      <c r="D419">
        <v>1.23</v>
      </c>
      <c r="E419">
        <v>38475</v>
      </c>
      <c r="F419">
        <v>0</v>
      </c>
      <c r="G419">
        <v>38475000</v>
      </c>
      <c r="H419">
        <v>85</v>
      </c>
      <c r="I419">
        <v>3050</v>
      </c>
      <c r="J419" s="2">
        <f t="shared" si="20"/>
        <v>3751.5</v>
      </c>
      <c r="K419">
        <v>418</v>
      </c>
      <c r="L419" s="3">
        <f>SUM($I$2:$I419)</f>
        <v>5365150</v>
      </c>
      <c r="M419" s="3">
        <f>SUM($J$2:$J419)</f>
        <v>18104269.5</v>
      </c>
      <c r="N419" s="2">
        <f>SUM($D$2:$D419)</f>
        <v>1642.9400000000007</v>
      </c>
      <c r="O419" s="2">
        <f t="shared" si="21"/>
        <v>9.7908390632393413E-2</v>
      </c>
      <c r="P419" s="2" cm="1">
        <f t="array" ref="P419">SUMPRODUCT((O419&gt;$T$9:$T$14)*(O419&lt;=$U$9:$U$14),$S$9:$S$14)</f>
        <v>2</v>
      </c>
    </row>
    <row r="420" spans="1:16" x14ac:dyDescent="0.25">
      <c r="A420">
        <v>542</v>
      </c>
      <c r="B420">
        <v>1329</v>
      </c>
      <c r="C420">
        <v>747</v>
      </c>
      <c r="D420">
        <v>14.54</v>
      </c>
      <c r="E420">
        <v>21065</v>
      </c>
      <c r="F420">
        <v>0</v>
      </c>
      <c r="G420">
        <v>21065000</v>
      </c>
      <c r="H420">
        <v>17</v>
      </c>
      <c r="I420">
        <v>3000</v>
      </c>
      <c r="J420" s="2">
        <f t="shared" si="20"/>
        <v>43620</v>
      </c>
      <c r="K420">
        <v>419</v>
      </c>
      <c r="L420" s="3">
        <f>SUM($I$2:$I420)</f>
        <v>5368150</v>
      </c>
      <c r="M420" s="3">
        <f>SUM($J$2:$J420)</f>
        <v>18147889.5</v>
      </c>
      <c r="N420" s="2">
        <f>SUM($D$2:$D420)</f>
        <v>1657.4800000000007</v>
      </c>
      <c r="O420" s="2">
        <f t="shared" si="21"/>
        <v>9.877487875721537E-2</v>
      </c>
      <c r="P420" s="2" cm="1">
        <f t="array" ref="P420">SUMPRODUCT((O420&gt;$T$9:$T$14)*(O420&lt;=$U$9:$U$14),$S$9:$S$14)</f>
        <v>2</v>
      </c>
    </row>
    <row r="421" spans="1:16" x14ac:dyDescent="0.25">
      <c r="A421">
        <v>1045</v>
      </c>
      <c r="B421">
        <v>671</v>
      </c>
      <c r="C421">
        <v>355</v>
      </c>
      <c r="D421">
        <v>8.66</v>
      </c>
      <c r="E421">
        <v>19415</v>
      </c>
      <c r="F421">
        <v>0.8</v>
      </c>
      <c r="G421">
        <v>19415008</v>
      </c>
      <c r="H421">
        <v>12</v>
      </c>
      <c r="I421">
        <v>2900</v>
      </c>
      <c r="J421" s="2">
        <f t="shared" si="20"/>
        <v>25114</v>
      </c>
      <c r="K421">
        <v>420</v>
      </c>
      <c r="L421" s="3">
        <f>SUM($I$2:$I421)</f>
        <v>5371050</v>
      </c>
      <c r="M421" s="3">
        <f>SUM($J$2:$J421)</f>
        <v>18173003.5</v>
      </c>
      <c r="N421" s="2">
        <f>SUM($D$2:$D421)</f>
        <v>1666.1400000000008</v>
      </c>
      <c r="O421" s="2">
        <f t="shared" si="21"/>
        <v>9.9290957654117593E-2</v>
      </c>
      <c r="P421" s="2" cm="1">
        <f t="array" ref="P421">SUMPRODUCT((O421&gt;$T$9:$T$14)*(O421&lt;=$U$9:$U$14),$S$9:$S$14)</f>
        <v>2</v>
      </c>
    </row>
    <row r="422" spans="1:16" x14ac:dyDescent="0.25">
      <c r="A422">
        <v>15</v>
      </c>
      <c r="B422">
        <v>811</v>
      </c>
      <c r="C422">
        <v>1562</v>
      </c>
      <c r="D422">
        <v>7.16</v>
      </c>
      <c r="E422">
        <v>49290</v>
      </c>
      <c r="F422">
        <v>0</v>
      </c>
      <c r="G422">
        <v>49290000</v>
      </c>
      <c r="H422">
        <v>417</v>
      </c>
      <c r="I422">
        <v>2900</v>
      </c>
      <c r="J422" s="2">
        <f t="shared" si="20"/>
        <v>20764</v>
      </c>
      <c r="K422">
        <v>421</v>
      </c>
      <c r="L422" s="3">
        <f>SUM($I$2:$I422)</f>
        <v>5373950</v>
      </c>
      <c r="M422" s="3">
        <f>SUM($J$2:$J422)</f>
        <v>18193767.5</v>
      </c>
      <c r="N422" s="2">
        <f>SUM($D$2:$D422)</f>
        <v>1673.3000000000009</v>
      </c>
      <c r="O422" s="2">
        <f t="shared" si="21"/>
        <v>9.9717646441856614E-2</v>
      </c>
      <c r="P422" s="2" cm="1">
        <f t="array" ref="P422">SUMPRODUCT((O422&gt;$T$9:$T$14)*(O422&lt;=$U$9:$U$14),$S$9:$S$14)</f>
        <v>2</v>
      </c>
    </row>
    <row r="423" spans="1:16" x14ac:dyDescent="0.25">
      <c r="A423">
        <v>672</v>
      </c>
      <c r="B423">
        <v>1459</v>
      </c>
      <c r="C423">
        <v>906</v>
      </c>
      <c r="D423">
        <v>3.9</v>
      </c>
      <c r="E423">
        <v>17050</v>
      </c>
      <c r="F423">
        <v>0</v>
      </c>
      <c r="G423">
        <v>17050000</v>
      </c>
      <c r="H423">
        <v>11</v>
      </c>
      <c r="I423">
        <v>2900</v>
      </c>
      <c r="J423" s="2">
        <f t="shared" si="20"/>
        <v>11310</v>
      </c>
      <c r="K423">
        <v>422</v>
      </c>
      <c r="L423" s="3">
        <f>SUM($I$2:$I423)</f>
        <v>5376850</v>
      </c>
      <c r="M423" s="3">
        <f>SUM($J$2:$J423)</f>
        <v>18205077.5</v>
      </c>
      <c r="N423" s="2">
        <f>SUM($D$2:$D423)</f>
        <v>1677.200000000001</v>
      </c>
      <c r="O423" s="2">
        <f t="shared" si="21"/>
        <v>9.9950060725680939E-2</v>
      </c>
      <c r="P423" s="2" cm="1">
        <f t="array" ref="P423">SUMPRODUCT((O423&gt;$T$9:$T$14)*(O423&lt;=$U$9:$U$14),$S$9:$S$14)</f>
        <v>2</v>
      </c>
    </row>
    <row r="424" spans="1:16" x14ac:dyDescent="0.25">
      <c r="A424">
        <v>1243</v>
      </c>
      <c r="B424">
        <v>75</v>
      </c>
      <c r="C424">
        <v>1139</v>
      </c>
      <c r="D424">
        <v>0.52</v>
      </c>
      <c r="E424">
        <v>27816</v>
      </c>
      <c r="F424">
        <v>0</v>
      </c>
      <c r="G424">
        <v>27816000</v>
      </c>
      <c r="H424">
        <v>35</v>
      </c>
      <c r="I424">
        <v>2900</v>
      </c>
      <c r="J424" s="2">
        <f t="shared" si="20"/>
        <v>1508</v>
      </c>
      <c r="K424">
        <v>423</v>
      </c>
      <c r="L424" s="3">
        <f>SUM($I$2:$I424)</f>
        <v>5379750</v>
      </c>
      <c r="M424" s="3">
        <f>SUM($J$2:$J424)</f>
        <v>18206585.5</v>
      </c>
      <c r="N424" s="2">
        <f>SUM($D$2:$D424)</f>
        <v>1677.7200000000009</v>
      </c>
      <c r="O424" s="2">
        <f t="shared" si="21"/>
        <v>9.9981049296857513E-2</v>
      </c>
      <c r="P424" s="2" cm="1">
        <f t="array" ref="P424">SUMPRODUCT((O424&gt;$T$9:$T$14)*(O424&lt;=$U$9:$U$14),$S$9:$S$14)</f>
        <v>2</v>
      </c>
    </row>
    <row r="425" spans="1:16" x14ac:dyDescent="0.25">
      <c r="A425">
        <v>698</v>
      </c>
      <c r="B425">
        <v>1485</v>
      </c>
      <c r="C425">
        <v>937</v>
      </c>
      <c r="D425">
        <v>5.08</v>
      </c>
      <c r="E425">
        <v>21057</v>
      </c>
      <c r="F425">
        <v>0</v>
      </c>
      <c r="G425">
        <v>21057000</v>
      </c>
      <c r="H425">
        <v>17</v>
      </c>
      <c r="I425">
        <v>2850</v>
      </c>
      <c r="J425" s="2">
        <f t="shared" si="20"/>
        <v>14478</v>
      </c>
      <c r="K425">
        <v>424</v>
      </c>
      <c r="L425" s="3">
        <f>SUM($I$2:$I425)</f>
        <v>5382600</v>
      </c>
      <c r="M425" s="3">
        <f>SUM($J$2:$J425)</f>
        <v>18221063.5</v>
      </c>
      <c r="N425" s="2">
        <f>SUM($D$2:$D425)</f>
        <v>1682.8000000000009</v>
      </c>
      <c r="O425" s="2">
        <f t="shared" si="21"/>
        <v>0.10028378379989022</v>
      </c>
      <c r="P425" s="2" cm="1">
        <f t="array" ref="P425">SUMPRODUCT((O425&gt;$T$9:$T$14)*(O425&lt;=$U$9:$U$14),$S$9:$S$14)</f>
        <v>3</v>
      </c>
    </row>
    <row r="426" spans="1:16" x14ac:dyDescent="0.25">
      <c r="A426">
        <v>953</v>
      </c>
      <c r="B426">
        <v>579</v>
      </c>
      <c r="C426">
        <v>237</v>
      </c>
      <c r="D426">
        <v>3.09</v>
      </c>
      <c r="E426">
        <v>13599</v>
      </c>
      <c r="F426">
        <v>0</v>
      </c>
      <c r="G426">
        <v>13599000</v>
      </c>
      <c r="H426">
        <v>6</v>
      </c>
      <c r="I426">
        <v>2850</v>
      </c>
      <c r="J426" s="2">
        <f t="shared" si="20"/>
        <v>8806.5</v>
      </c>
      <c r="K426">
        <v>425</v>
      </c>
      <c r="L426" s="3">
        <f>SUM($I$2:$I426)</f>
        <v>5385450</v>
      </c>
      <c r="M426" s="3">
        <f>SUM($J$2:$J426)</f>
        <v>18229870</v>
      </c>
      <c r="N426" s="2">
        <f>SUM($D$2:$D426)</f>
        <v>1685.8900000000008</v>
      </c>
      <c r="O426" s="2">
        <f t="shared" si="21"/>
        <v>0.10046792742476642</v>
      </c>
      <c r="P426" s="2" cm="1">
        <f t="array" ref="P426">SUMPRODUCT((O426&gt;$T$9:$T$14)*(O426&lt;=$U$9:$U$14),$S$9:$S$14)</f>
        <v>3</v>
      </c>
    </row>
    <row r="427" spans="1:16" x14ac:dyDescent="0.25">
      <c r="A427">
        <v>1828</v>
      </c>
      <c r="B427">
        <v>1828</v>
      </c>
      <c r="C427">
        <v>0</v>
      </c>
      <c r="D427">
        <v>1.72</v>
      </c>
      <c r="E427">
        <v>73811</v>
      </c>
      <c r="F427">
        <v>1</v>
      </c>
      <c r="G427">
        <v>73811010</v>
      </c>
      <c r="H427">
        <v>7087</v>
      </c>
      <c r="I427">
        <v>2850</v>
      </c>
      <c r="J427" s="2">
        <f t="shared" si="20"/>
        <v>4902</v>
      </c>
      <c r="K427">
        <v>426</v>
      </c>
      <c r="L427" s="3">
        <f>SUM($I$2:$I427)</f>
        <v>5388300</v>
      </c>
      <c r="M427" s="3">
        <f>SUM($J$2:$J427)</f>
        <v>18234772</v>
      </c>
      <c r="N427" s="2">
        <f>SUM($D$2:$D427)</f>
        <v>1687.6100000000008</v>
      </c>
      <c r="O427" s="2">
        <f t="shared" si="21"/>
        <v>0.10057042808327354</v>
      </c>
      <c r="P427" s="2" cm="1">
        <f t="array" ref="P427">SUMPRODUCT((O427&gt;$T$9:$T$14)*(O427&lt;=$U$9:$U$14),$S$9:$S$14)</f>
        <v>3</v>
      </c>
    </row>
    <row r="428" spans="1:16" x14ac:dyDescent="0.25">
      <c r="A428">
        <v>1579</v>
      </c>
      <c r="B428">
        <v>1579</v>
      </c>
      <c r="C428">
        <v>2068</v>
      </c>
      <c r="D428">
        <v>6.51</v>
      </c>
      <c r="E428">
        <v>49185</v>
      </c>
      <c r="F428">
        <v>0</v>
      </c>
      <c r="G428">
        <v>49185000</v>
      </c>
      <c r="H428">
        <v>416</v>
      </c>
      <c r="I428">
        <v>2800</v>
      </c>
      <c r="J428" s="2">
        <f t="shared" si="20"/>
        <v>18228</v>
      </c>
      <c r="K428">
        <v>427</v>
      </c>
      <c r="L428" s="3">
        <f>SUM($I$2:$I428)</f>
        <v>5391100</v>
      </c>
      <c r="M428" s="3">
        <f>SUM($J$2:$J428)</f>
        <v>18253000</v>
      </c>
      <c r="N428" s="2">
        <f>SUM($D$2:$D428)</f>
        <v>1694.1200000000008</v>
      </c>
      <c r="O428" s="2">
        <f t="shared" si="21"/>
        <v>0.10095838115704184</v>
      </c>
      <c r="P428" s="2" cm="1">
        <f t="array" ref="P428">SUMPRODUCT((O428&gt;$T$9:$T$14)*(O428&lt;=$U$9:$U$14),$S$9:$S$14)</f>
        <v>3</v>
      </c>
    </row>
    <row r="429" spans="1:16" x14ac:dyDescent="0.25">
      <c r="A429">
        <v>1528</v>
      </c>
      <c r="B429">
        <v>360</v>
      </c>
      <c r="C429">
        <v>1502</v>
      </c>
      <c r="D429">
        <v>2.44</v>
      </c>
      <c r="E429">
        <v>42245</v>
      </c>
      <c r="F429">
        <v>0</v>
      </c>
      <c r="G429">
        <v>42245000</v>
      </c>
      <c r="H429">
        <v>115</v>
      </c>
      <c r="I429">
        <v>2800</v>
      </c>
      <c r="J429" s="2">
        <f t="shared" si="20"/>
        <v>6832</v>
      </c>
      <c r="K429">
        <v>428</v>
      </c>
      <c r="L429" s="3">
        <f>SUM($I$2:$I429)</f>
        <v>5393900</v>
      </c>
      <c r="M429" s="3">
        <f>SUM($J$2:$J429)</f>
        <v>18259832</v>
      </c>
      <c r="N429" s="2">
        <f>SUM($D$2:$D429)</f>
        <v>1696.5600000000009</v>
      </c>
      <c r="O429" s="2">
        <f t="shared" si="21"/>
        <v>0.10110378906794731</v>
      </c>
      <c r="P429" s="2" cm="1">
        <f t="array" ref="P429">SUMPRODUCT((O429&gt;$T$9:$T$14)*(O429&lt;=$U$9:$U$14),$S$9:$S$14)</f>
        <v>3</v>
      </c>
    </row>
    <row r="430" spans="1:16" x14ac:dyDescent="0.25">
      <c r="A430">
        <v>783</v>
      </c>
      <c r="B430">
        <v>410</v>
      </c>
      <c r="C430">
        <v>8</v>
      </c>
      <c r="D430">
        <v>1.59</v>
      </c>
      <c r="E430">
        <v>13420</v>
      </c>
      <c r="F430">
        <v>7.7</v>
      </c>
      <c r="G430">
        <v>13420077</v>
      </c>
      <c r="H430">
        <v>6</v>
      </c>
      <c r="I430">
        <v>2800</v>
      </c>
      <c r="J430" s="2">
        <f t="shared" si="20"/>
        <v>4452</v>
      </c>
      <c r="K430">
        <v>429</v>
      </c>
      <c r="L430" s="3">
        <f>SUM($I$2:$I430)</f>
        <v>5396700</v>
      </c>
      <c r="M430" s="3">
        <f>SUM($J$2:$J430)</f>
        <v>18264284</v>
      </c>
      <c r="N430" s="2">
        <f>SUM($D$2:$D430)</f>
        <v>1698.1500000000008</v>
      </c>
      <c r="O430" s="2">
        <f t="shared" si="21"/>
        <v>0.1011985425836603</v>
      </c>
      <c r="P430" s="2" cm="1">
        <f t="array" ref="P430">SUMPRODUCT((O430&gt;$T$9:$T$14)*(O430&lt;=$U$9:$U$14),$S$9:$S$14)</f>
        <v>3</v>
      </c>
    </row>
    <row r="431" spans="1:16" x14ac:dyDescent="0.25">
      <c r="A431">
        <v>1011</v>
      </c>
      <c r="B431">
        <v>637</v>
      </c>
      <c r="C431">
        <v>312</v>
      </c>
      <c r="D431">
        <v>1.55</v>
      </c>
      <c r="E431">
        <v>18082</v>
      </c>
      <c r="F431">
        <v>0</v>
      </c>
      <c r="G431">
        <v>18082000</v>
      </c>
      <c r="H431">
        <v>11</v>
      </c>
      <c r="I431">
        <v>2800</v>
      </c>
      <c r="J431" s="2">
        <f t="shared" si="20"/>
        <v>4340</v>
      </c>
      <c r="K431">
        <v>430</v>
      </c>
      <c r="L431" s="3">
        <f>SUM($I$2:$I431)</f>
        <v>5399500</v>
      </c>
      <c r="M431" s="3">
        <f>SUM($J$2:$J431)</f>
        <v>18268624</v>
      </c>
      <c r="N431" s="2">
        <f>SUM($D$2:$D431)</f>
        <v>1699.7000000000007</v>
      </c>
      <c r="O431" s="2">
        <f t="shared" si="21"/>
        <v>0.10129091236312895</v>
      </c>
      <c r="P431" s="2" cm="1">
        <f t="array" ref="P431">SUMPRODUCT((O431&gt;$T$9:$T$14)*(O431&lt;=$U$9:$U$14),$S$9:$S$14)</f>
        <v>3</v>
      </c>
    </row>
    <row r="432" spans="1:16" x14ac:dyDescent="0.25">
      <c r="A432">
        <v>1414</v>
      </c>
      <c r="B432">
        <v>246</v>
      </c>
      <c r="C432">
        <v>1369</v>
      </c>
      <c r="D432">
        <v>18.37</v>
      </c>
      <c r="E432">
        <v>47000</v>
      </c>
      <c r="F432">
        <v>0</v>
      </c>
      <c r="G432">
        <v>47000000</v>
      </c>
      <c r="H432">
        <v>400</v>
      </c>
      <c r="I432">
        <v>2750</v>
      </c>
      <c r="J432" s="2">
        <f t="shared" si="20"/>
        <v>50517.5</v>
      </c>
      <c r="K432">
        <v>431</v>
      </c>
      <c r="L432" s="3">
        <f>SUM($I$2:$I432)</f>
        <v>5402250</v>
      </c>
      <c r="M432" s="3">
        <f>SUM($J$2:$J432)</f>
        <v>18319141.5</v>
      </c>
      <c r="N432" s="2">
        <f>SUM($D$2:$D432)</f>
        <v>1718.0700000000006</v>
      </c>
      <c r="O432" s="2">
        <f t="shared" si="21"/>
        <v>0.10238564323334762</v>
      </c>
      <c r="P432" s="2" cm="1">
        <f t="array" ref="P432">SUMPRODUCT((O432&gt;$T$9:$T$14)*(O432&lt;=$U$9:$U$14),$S$9:$S$14)</f>
        <v>3</v>
      </c>
    </row>
    <row r="433" spans="1:16" x14ac:dyDescent="0.25">
      <c r="A433">
        <v>392</v>
      </c>
      <c r="B433">
        <v>1187</v>
      </c>
      <c r="C433">
        <v>554</v>
      </c>
      <c r="D433">
        <v>12.55</v>
      </c>
      <c r="E433">
        <v>17073</v>
      </c>
      <c r="F433">
        <v>0</v>
      </c>
      <c r="G433">
        <v>17073000</v>
      </c>
      <c r="H433">
        <v>11</v>
      </c>
      <c r="I433">
        <v>2750</v>
      </c>
      <c r="J433" s="2">
        <f t="shared" si="20"/>
        <v>34512.5</v>
      </c>
      <c r="K433">
        <v>432</v>
      </c>
      <c r="L433" s="3">
        <f>SUM($I$2:$I433)</f>
        <v>5405000</v>
      </c>
      <c r="M433" s="3">
        <f>SUM($J$2:$J433)</f>
        <v>18353654</v>
      </c>
      <c r="N433" s="2">
        <f>SUM($D$2:$D433)</f>
        <v>1730.6200000000006</v>
      </c>
      <c r="O433" s="2">
        <f t="shared" si="21"/>
        <v>0.10313354048001307</v>
      </c>
      <c r="P433" s="2" cm="1">
        <f t="array" ref="P433">SUMPRODUCT((O433&gt;$T$9:$T$14)*(O433&lt;=$U$9:$U$14),$S$9:$S$14)</f>
        <v>3</v>
      </c>
    </row>
    <row r="434" spans="1:16" x14ac:dyDescent="0.25">
      <c r="A434">
        <v>1337</v>
      </c>
      <c r="B434">
        <v>169</v>
      </c>
      <c r="C434">
        <v>1556</v>
      </c>
      <c r="D434">
        <v>12.32</v>
      </c>
      <c r="E434">
        <v>49160</v>
      </c>
      <c r="F434">
        <v>0</v>
      </c>
      <c r="G434">
        <v>49160000</v>
      </c>
      <c r="H434">
        <v>416</v>
      </c>
      <c r="I434">
        <v>2750</v>
      </c>
      <c r="J434" s="2">
        <f t="shared" si="20"/>
        <v>33880</v>
      </c>
      <c r="K434">
        <v>433</v>
      </c>
      <c r="L434" s="3">
        <f>SUM($I$2:$I434)</f>
        <v>5407750</v>
      </c>
      <c r="M434" s="3">
        <f>SUM($J$2:$J434)</f>
        <v>18387534</v>
      </c>
      <c r="N434" s="2">
        <f>SUM($D$2:$D434)</f>
        <v>1742.9400000000005</v>
      </c>
      <c r="O434" s="2">
        <f t="shared" si="21"/>
        <v>0.10386773124327349</v>
      </c>
      <c r="P434" s="2" cm="1">
        <f t="array" ref="P434">SUMPRODUCT((O434&gt;$T$9:$T$14)*(O434&lt;=$U$9:$U$14),$S$9:$S$14)</f>
        <v>3</v>
      </c>
    </row>
    <row r="435" spans="1:16" x14ac:dyDescent="0.25">
      <c r="A435">
        <v>1428</v>
      </c>
      <c r="B435">
        <v>260</v>
      </c>
      <c r="C435">
        <v>1383</v>
      </c>
      <c r="D435">
        <v>3.47</v>
      </c>
      <c r="E435">
        <v>46925</v>
      </c>
      <c r="F435">
        <v>0</v>
      </c>
      <c r="G435">
        <v>46925000</v>
      </c>
      <c r="H435">
        <v>400</v>
      </c>
      <c r="I435">
        <v>2750</v>
      </c>
      <c r="J435" s="2">
        <f t="shared" si="20"/>
        <v>9542.5</v>
      </c>
      <c r="K435">
        <v>434</v>
      </c>
      <c r="L435" s="3">
        <f>SUM($I$2:$I435)</f>
        <v>5410500</v>
      </c>
      <c r="M435" s="3">
        <f>SUM($J$2:$J435)</f>
        <v>18397076.5</v>
      </c>
      <c r="N435" s="2">
        <f>SUM($D$2:$D435)</f>
        <v>1746.4100000000005</v>
      </c>
      <c r="O435" s="2">
        <f t="shared" si="21"/>
        <v>0.10407452036247103</v>
      </c>
      <c r="P435" s="2" cm="1">
        <f t="array" ref="P435">SUMPRODUCT((O435&gt;$T$9:$T$14)*(O435&lt;=$U$9:$U$14),$S$9:$S$14)</f>
        <v>3</v>
      </c>
    </row>
    <row r="436" spans="1:16" x14ac:dyDescent="0.25">
      <c r="A436">
        <v>362</v>
      </c>
      <c r="B436">
        <v>1157</v>
      </c>
      <c r="C436">
        <v>2041</v>
      </c>
      <c r="D436">
        <v>2.08</v>
      </c>
      <c r="E436">
        <v>48680</v>
      </c>
      <c r="F436">
        <v>0</v>
      </c>
      <c r="G436">
        <v>48680000</v>
      </c>
      <c r="H436">
        <v>406</v>
      </c>
      <c r="I436">
        <v>2750</v>
      </c>
      <c r="J436" s="2">
        <f t="shared" si="20"/>
        <v>5720</v>
      </c>
      <c r="K436">
        <v>435</v>
      </c>
      <c r="L436" s="3">
        <f>SUM($I$2:$I436)</f>
        <v>5413250</v>
      </c>
      <c r="M436" s="3">
        <f>SUM($J$2:$J436)</f>
        <v>18402796.5</v>
      </c>
      <c r="N436" s="2">
        <f>SUM($D$2:$D436)</f>
        <v>1748.4900000000005</v>
      </c>
      <c r="O436" s="2">
        <f t="shared" si="21"/>
        <v>0.10419847464717732</v>
      </c>
      <c r="P436" s="2" cm="1">
        <f t="array" ref="P436">SUMPRODUCT((O436&gt;$T$9:$T$14)*(O436&lt;=$U$9:$U$14),$S$9:$S$14)</f>
        <v>3</v>
      </c>
    </row>
    <row r="437" spans="1:16" x14ac:dyDescent="0.25">
      <c r="A437">
        <v>27</v>
      </c>
      <c r="B437">
        <v>823</v>
      </c>
      <c r="C437">
        <v>1577</v>
      </c>
      <c r="D437">
        <v>8.6</v>
      </c>
      <c r="E437">
        <v>49200</v>
      </c>
      <c r="F437">
        <v>0</v>
      </c>
      <c r="G437">
        <v>49200000</v>
      </c>
      <c r="H437">
        <v>416</v>
      </c>
      <c r="I437">
        <v>2650</v>
      </c>
      <c r="J437" s="2">
        <f t="shared" si="20"/>
        <v>22790</v>
      </c>
      <c r="K437">
        <v>436</v>
      </c>
      <c r="L437" s="3">
        <f>SUM($I$2:$I437)</f>
        <v>5415900</v>
      </c>
      <c r="M437" s="3">
        <f>SUM($J$2:$J437)</f>
        <v>18425586.5</v>
      </c>
      <c r="N437" s="2">
        <f>SUM($D$2:$D437)</f>
        <v>1757.0900000000004</v>
      </c>
      <c r="O437" s="2">
        <f t="shared" si="21"/>
        <v>0.10471097793971301</v>
      </c>
      <c r="P437" s="2" cm="1">
        <f t="array" ref="P437">SUMPRODUCT((O437&gt;$T$9:$T$14)*(O437&lt;=$U$9:$U$14),$S$9:$S$14)</f>
        <v>3</v>
      </c>
    </row>
    <row r="438" spans="1:16" x14ac:dyDescent="0.25">
      <c r="A438">
        <v>96</v>
      </c>
      <c r="B438">
        <v>892</v>
      </c>
      <c r="C438">
        <v>1650</v>
      </c>
      <c r="D438">
        <v>4.43</v>
      </c>
      <c r="E438">
        <v>49240</v>
      </c>
      <c r="F438">
        <v>0</v>
      </c>
      <c r="G438">
        <v>49240000</v>
      </c>
      <c r="H438">
        <v>417</v>
      </c>
      <c r="I438">
        <v>2650</v>
      </c>
      <c r="J438" s="2">
        <f t="shared" si="20"/>
        <v>11739.5</v>
      </c>
      <c r="K438">
        <v>437</v>
      </c>
      <c r="L438" s="3">
        <f>SUM($I$2:$I438)</f>
        <v>5418550</v>
      </c>
      <c r="M438" s="3">
        <f>SUM($J$2:$J438)</f>
        <v>18437326</v>
      </c>
      <c r="N438" s="2">
        <f>SUM($D$2:$D438)</f>
        <v>1761.5200000000004</v>
      </c>
      <c r="O438" s="2">
        <f t="shared" si="21"/>
        <v>0.104974976728775</v>
      </c>
      <c r="P438" s="2" cm="1">
        <f t="array" ref="P438">SUMPRODUCT((O438&gt;$T$9:$T$14)*(O438&lt;=$U$9:$U$14),$S$9:$S$14)</f>
        <v>3</v>
      </c>
    </row>
    <row r="439" spans="1:16" x14ac:dyDescent="0.25">
      <c r="A439">
        <v>490</v>
      </c>
      <c r="B439">
        <v>1277</v>
      </c>
      <c r="C439">
        <v>674</v>
      </c>
      <c r="D439">
        <v>1.9</v>
      </c>
      <c r="E439">
        <v>13599</v>
      </c>
      <c r="F439">
        <v>2.5</v>
      </c>
      <c r="G439">
        <v>13599025</v>
      </c>
      <c r="H439">
        <v>6</v>
      </c>
      <c r="I439">
        <v>2650</v>
      </c>
      <c r="J439" s="2">
        <f t="shared" si="20"/>
        <v>5035</v>
      </c>
      <c r="K439">
        <v>438</v>
      </c>
      <c r="L439" s="3">
        <f>SUM($I$2:$I439)</f>
        <v>5421200</v>
      </c>
      <c r="M439" s="3">
        <f>SUM($J$2:$J439)</f>
        <v>18442361</v>
      </c>
      <c r="N439" s="2">
        <f>SUM($D$2:$D439)</f>
        <v>1763.4200000000005</v>
      </c>
      <c r="O439" s="2">
        <f t="shared" si="21"/>
        <v>0.10508820420038173</v>
      </c>
      <c r="P439" s="2" cm="1">
        <f t="array" ref="P439">SUMPRODUCT((O439&gt;$T$9:$T$14)*(O439&lt;=$U$9:$U$14),$S$9:$S$14)</f>
        <v>3</v>
      </c>
    </row>
    <row r="440" spans="1:16" x14ac:dyDescent="0.25">
      <c r="A440">
        <v>1455</v>
      </c>
      <c r="B440">
        <v>287</v>
      </c>
      <c r="C440">
        <v>1410</v>
      </c>
      <c r="D440">
        <v>1.2</v>
      </c>
      <c r="E440">
        <v>46800</v>
      </c>
      <c r="F440">
        <v>0</v>
      </c>
      <c r="G440">
        <v>46800000</v>
      </c>
      <c r="H440">
        <v>400</v>
      </c>
      <c r="I440">
        <v>2650</v>
      </c>
      <c r="J440" s="2">
        <f t="shared" si="20"/>
        <v>3180</v>
      </c>
      <c r="K440">
        <v>439</v>
      </c>
      <c r="L440" s="3">
        <f>SUM($I$2:$I440)</f>
        <v>5423850</v>
      </c>
      <c r="M440" s="3">
        <f>SUM($J$2:$J440)</f>
        <v>18445541</v>
      </c>
      <c r="N440" s="2">
        <f>SUM($D$2:$D440)</f>
        <v>1764.6200000000006</v>
      </c>
      <c r="O440" s="2">
        <f t="shared" si="21"/>
        <v>0.1051597162877123</v>
      </c>
      <c r="P440" s="2" cm="1">
        <f t="array" ref="P440">SUMPRODUCT((O440&gt;$T$9:$T$14)*(O440&lt;=$U$9:$U$14),$S$9:$S$14)</f>
        <v>3</v>
      </c>
    </row>
    <row r="441" spans="1:16" x14ac:dyDescent="0.25">
      <c r="A441">
        <v>404</v>
      </c>
      <c r="B441">
        <v>1199</v>
      </c>
      <c r="C441">
        <v>572</v>
      </c>
      <c r="D441">
        <v>0.92</v>
      </c>
      <c r="E441">
        <v>25800</v>
      </c>
      <c r="F441">
        <v>0</v>
      </c>
      <c r="G441">
        <v>25800000</v>
      </c>
      <c r="H441">
        <v>27</v>
      </c>
      <c r="I441">
        <v>2650</v>
      </c>
      <c r="J441" s="2">
        <f t="shared" si="20"/>
        <v>2438</v>
      </c>
      <c r="K441">
        <v>440</v>
      </c>
      <c r="L441" s="3">
        <f>SUM($I$2:$I441)</f>
        <v>5426500</v>
      </c>
      <c r="M441" s="3">
        <f>SUM($J$2:$J441)</f>
        <v>18447979</v>
      </c>
      <c r="N441" s="2">
        <f>SUM($D$2:$D441)</f>
        <v>1765.5400000000006</v>
      </c>
      <c r="O441" s="2">
        <f t="shared" si="21"/>
        <v>0.10521454222133239</v>
      </c>
      <c r="P441" s="2" cm="1">
        <f t="array" ref="P441">SUMPRODUCT((O441&gt;$T$9:$T$14)*(O441&lt;=$U$9:$U$14),$S$9:$S$14)</f>
        <v>3</v>
      </c>
    </row>
    <row r="442" spans="1:16" x14ac:dyDescent="0.25">
      <c r="A442">
        <v>928</v>
      </c>
      <c r="B442">
        <v>554</v>
      </c>
      <c r="C442">
        <v>204</v>
      </c>
      <c r="D442">
        <v>5.61</v>
      </c>
      <c r="E442">
        <v>17220</v>
      </c>
      <c r="F442">
        <v>0</v>
      </c>
      <c r="G442">
        <v>17220000</v>
      </c>
      <c r="H442">
        <v>11</v>
      </c>
      <c r="I442">
        <v>2600</v>
      </c>
      <c r="J442" s="2">
        <f t="shared" si="20"/>
        <v>14586</v>
      </c>
      <c r="K442">
        <v>441</v>
      </c>
      <c r="L442" s="3">
        <f>SUM($I$2:$I442)</f>
        <v>5429100</v>
      </c>
      <c r="M442" s="3">
        <f>SUM($J$2:$J442)</f>
        <v>18462565</v>
      </c>
      <c r="N442" s="2">
        <f>SUM($D$2:$D442)</f>
        <v>1771.1500000000005</v>
      </c>
      <c r="O442" s="2">
        <f t="shared" si="21"/>
        <v>0.10554886122960276</v>
      </c>
      <c r="P442" s="2" cm="1">
        <f t="array" ref="P442">SUMPRODUCT((O442&gt;$T$9:$T$14)*(O442&lt;=$U$9:$U$14),$S$9:$S$14)</f>
        <v>3</v>
      </c>
    </row>
    <row r="443" spans="1:16" x14ac:dyDescent="0.25">
      <c r="A443">
        <v>1426</v>
      </c>
      <c r="B443">
        <v>258</v>
      </c>
      <c r="C443">
        <v>1381</v>
      </c>
      <c r="D443">
        <v>4.2300000000000004</v>
      </c>
      <c r="E443">
        <v>46937</v>
      </c>
      <c r="F443">
        <v>0</v>
      </c>
      <c r="G443">
        <v>46937000</v>
      </c>
      <c r="H443">
        <v>400</v>
      </c>
      <c r="I443">
        <v>2600</v>
      </c>
      <c r="J443" s="2">
        <f t="shared" si="20"/>
        <v>10998.000000000002</v>
      </c>
      <c r="K443">
        <v>442</v>
      </c>
      <c r="L443" s="3">
        <f>SUM($I$2:$I443)</f>
        <v>5431700</v>
      </c>
      <c r="M443" s="3">
        <f>SUM($J$2:$J443)</f>
        <v>18473563</v>
      </c>
      <c r="N443" s="2">
        <f>SUM($D$2:$D443)</f>
        <v>1775.3800000000006</v>
      </c>
      <c r="O443" s="2">
        <f t="shared" si="21"/>
        <v>0.10580094133744299</v>
      </c>
      <c r="P443" s="2" cm="1">
        <f t="array" ref="P443">SUMPRODUCT((O443&gt;$T$9:$T$14)*(O443&lt;=$U$9:$U$14),$S$9:$S$14)</f>
        <v>3</v>
      </c>
    </row>
    <row r="444" spans="1:16" x14ac:dyDescent="0.25">
      <c r="A444">
        <v>73</v>
      </c>
      <c r="B444">
        <v>869</v>
      </c>
      <c r="C444">
        <v>1625</v>
      </c>
      <c r="D444">
        <v>3.17</v>
      </c>
      <c r="E444">
        <v>48660</v>
      </c>
      <c r="F444">
        <v>0</v>
      </c>
      <c r="G444">
        <v>48660000</v>
      </c>
      <c r="H444">
        <v>406</v>
      </c>
      <c r="I444">
        <v>2600</v>
      </c>
      <c r="J444" s="2">
        <f t="shared" si="20"/>
        <v>8242</v>
      </c>
      <c r="K444">
        <v>443</v>
      </c>
      <c r="L444" s="3">
        <f>SUM($I$2:$I444)</f>
        <v>5434300</v>
      </c>
      <c r="M444" s="3">
        <f>SUM($J$2:$J444)</f>
        <v>18481805</v>
      </c>
      <c r="N444" s="2">
        <f>SUM($D$2:$D444)</f>
        <v>1778.5500000000006</v>
      </c>
      <c r="O444" s="2">
        <f t="shared" si="21"/>
        <v>0.10598985243480789</v>
      </c>
      <c r="P444" s="2" cm="1">
        <f t="array" ref="P444">SUMPRODUCT((O444&gt;$T$9:$T$14)*(O444&lt;=$U$9:$U$14),$S$9:$S$14)</f>
        <v>3</v>
      </c>
    </row>
    <row r="445" spans="1:16" x14ac:dyDescent="0.25">
      <c r="A445">
        <v>834</v>
      </c>
      <c r="B445">
        <v>460</v>
      </c>
      <c r="C445">
        <v>71</v>
      </c>
      <c r="D445">
        <v>2.62</v>
      </c>
      <c r="E445">
        <v>13890</v>
      </c>
      <c r="F445">
        <v>3.9</v>
      </c>
      <c r="G445">
        <v>13890039</v>
      </c>
      <c r="H445">
        <v>6</v>
      </c>
      <c r="I445">
        <v>2600</v>
      </c>
      <c r="J445" s="2">
        <f t="shared" si="20"/>
        <v>6812</v>
      </c>
      <c r="K445">
        <v>444</v>
      </c>
      <c r="L445" s="3">
        <f>SUM($I$2:$I445)</f>
        <v>5436900</v>
      </c>
      <c r="M445" s="3">
        <f>SUM($J$2:$J445)</f>
        <v>18488617</v>
      </c>
      <c r="N445" s="2">
        <f>SUM($D$2:$D445)</f>
        <v>1781.1700000000005</v>
      </c>
      <c r="O445" s="2">
        <f t="shared" si="21"/>
        <v>0.10614598715881295</v>
      </c>
      <c r="P445" s="2" cm="1">
        <f t="array" ref="P445">SUMPRODUCT((O445&gt;$T$9:$T$14)*(O445&lt;=$U$9:$U$14),$S$9:$S$14)</f>
        <v>3</v>
      </c>
    </row>
    <row r="446" spans="1:16" x14ac:dyDescent="0.25">
      <c r="A446">
        <v>579</v>
      </c>
      <c r="B446">
        <v>1366</v>
      </c>
      <c r="C446">
        <v>792</v>
      </c>
      <c r="D446">
        <v>0.91</v>
      </c>
      <c r="E446">
        <v>13605</v>
      </c>
      <c r="F446">
        <v>1.8</v>
      </c>
      <c r="G446">
        <v>13605018</v>
      </c>
      <c r="H446">
        <v>6</v>
      </c>
      <c r="I446">
        <v>2600</v>
      </c>
      <c r="J446" s="2">
        <f t="shared" si="20"/>
        <v>2366</v>
      </c>
      <c r="K446">
        <v>445</v>
      </c>
      <c r="L446" s="3">
        <f>SUM($I$2:$I446)</f>
        <v>5439500</v>
      </c>
      <c r="M446" s="3">
        <f>SUM($J$2:$J446)</f>
        <v>18490983</v>
      </c>
      <c r="N446" s="2">
        <f>SUM($D$2:$D446)</f>
        <v>1782.0800000000006</v>
      </c>
      <c r="O446" s="2">
        <f t="shared" si="21"/>
        <v>0.10620021715837195</v>
      </c>
      <c r="P446" s="2" cm="1">
        <f t="array" ref="P446">SUMPRODUCT((O446&gt;$T$9:$T$14)*(O446&lt;=$U$9:$U$14),$S$9:$S$14)</f>
        <v>3</v>
      </c>
    </row>
    <row r="447" spans="1:16" x14ac:dyDescent="0.25">
      <c r="A447">
        <v>367</v>
      </c>
      <c r="B447">
        <v>1162</v>
      </c>
      <c r="C447">
        <v>2046</v>
      </c>
      <c r="D447">
        <v>17.059999999999999</v>
      </c>
      <c r="E447">
        <v>49280</v>
      </c>
      <c r="F447">
        <v>0</v>
      </c>
      <c r="G447">
        <v>49280000</v>
      </c>
      <c r="H447">
        <v>417</v>
      </c>
      <c r="I447">
        <v>2550</v>
      </c>
      <c r="J447" s="2">
        <f t="shared" si="20"/>
        <v>43503</v>
      </c>
      <c r="K447">
        <v>446</v>
      </c>
      <c r="L447" s="3">
        <f>SUM($I$2:$I447)</f>
        <v>5442050</v>
      </c>
      <c r="M447" s="3">
        <f>SUM($J$2:$J447)</f>
        <v>18534486</v>
      </c>
      <c r="N447" s="2">
        <f>SUM($D$2:$D447)</f>
        <v>1799.1400000000006</v>
      </c>
      <c r="O447" s="2">
        <f t="shared" si="21"/>
        <v>0.1072168806665881</v>
      </c>
      <c r="P447" s="2" cm="1">
        <f t="array" ref="P447">SUMPRODUCT((O447&gt;$T$9:$T$14)*(O447&lt;=$U$9:$U$14),$S$9:$S$14)</f>
        <v>3</v>
      </c>
    </row>
    <row r="448" spans="1:16" x14ac:dyDescent="0.25">
      <c r="A448">
        <v>55</v>
      </c>
      <c r="B448">
        <v>851</v>
      </c>
      <c r="C448">
        <v>1606</v>
      </c>
      <c r="D448">
        <v>10.31</v>
      </c>
      <c r="E448">
        <v>49155</v>
      </c>
      <c r="F448">
        <v>0</v>
      </c>
      <c r="G448">
        <v>49155000</v>
      </c>
      <c r="H448">
        <v>416</v>
      </c>
      <c r="I448">
        <v>2550</v>
      </c>
      <c r="J448" s="2">
        <f t="shared" si="20"/>
        <v>26290.5</v>
      </c>
      <c r="K448">
        <v>447</v>
      </c>
      <c r="L448" s="3">
        <f>SUM($I$2:$I448)</f>
        <v>5444600</v>
      </c>
      <c r="M448" s="3">
        <f>SUM($J$2:$J448)</f>
        <v>18560776.5</v>
      </c>
      <c r="N448" s="2">
        <f>SUM($D$2:$D448)</f>
        <v>1809.4500000000005</v>
      </c>
      <c r="O448" s="2">
        <f t="shared" si="21"/>
        <v>0.10783128868356984</v>
      </c>
      <c r="P448" s="2" cm="1">
        <f t="array" ref="P448">SUMPRODUCT((O448&gt;$T$9:$T$14)*(O448&lt;=$U$9:$U$14),$S$9:$S$14)</f>
        <v>3</v>
      </c>
    </row>
    <row r="449" spans="1:16" x14ac:dyDescent="0.25">
      <c r="A449">
        <v>1573</v>
      </c>
      <c r="B449">
        <v>1573</v>
      </c>
      <c r="C449">
        <v>2062</v>
      </c>
      <c r="D449">
        <v>6.34</v>
      </c>
      <c r="E449">
        <v>49270</v>
      </c>
      <c r="F449">
        <v>0</v>
      </c>
      <c r="G449">
        <v>49270000</v>
      </c>
      <c r="H449">
        <v>417</v>
      </c>
      <c r="I449">
        <v>2550</v>
      </c>
      <c r="J449" s="2">
        <f t="shared" si="20"/>
        <v>16167</v>
      </c>
      <c r="K449">
        <v>448</v>
      </c>
      <c r="L449" s="3">
        <f>SUM($I$2:$I449)</f>
        <v>5447150</v>
      </c>
      <c r="M449" s="3">
        <f>SUM($J$2:$J449)</f>
        <v>18576943.5</v>
      </c>
      <c r="N449" s="2">
        <f>SUM($D$2:$D449)</f>
        <v>1815.7900000000004</v>
      </c>
      <c r="O449" s="2">
        <f t="shared" si="21"/>
        <v>0.10820911087829962</v>
      </c>
      <c r="P449" s="2" cm="1">
        <f t="array" ref="P449">SUMPRODUCT((O449&gt;$T$9:$T$14)*(O449&lt;=$U$9:$U$14),$S$9:$S$14)</f>
        <v>3</v>
      </c>
    </row>
    <row r="450" spans="1:16" x14ac:dyDescent="0.25">
      <c r="A450">
        <v>383</v>
      </c>
      <c r="B450">
        <v>1178</v>
      </c>
      <c r="C450">
        <v>544</v>
      </c>
      <c r="D450">
        <v>5.98</v>
      </c>
      <c r="E450">
        <v>19390</v>
      </c>
      <c r="F450">
        <v>0</v>
      </c>
      <c r="G450">
        <v>19390000</v>
      </c>
      <c r="H450">
        <v>12</v>
      </c>
      <c r="I450">
        <v>2550</v>
      </c>
      <c r="J450" s="2">
        <f t="shared" ref="J450:J513" si="22">I450*D450</f>
        <v>15249.000000000002</v>
      </c>
      <c r="K450">
        <v>449</v>
      </c>
      <c r="L450" s="3">
        <f>SUM($I$2:$I450)</f>
        <v>5449700</v>
      </c>
      <c r="M450" s="3">
        <f>SUM($J$2:$J450)</f>
        <v>18592192.5</v>
      </c>
      <c r="N450" s="2">
        <f>SUM($D$2:$D450)</f>
        <v>1821.7700000000004</v>
      </c>
      <c r="O450" s="2">
        <f t="shared" ref="O450:O513" si="23">N450/$T$4</f>
        <v>0.10856547944683026</v>
      </c>
      <c r="P450" s="2" cm="1">
        <f t="array" ref="P450">SUMPRODUCT((O450&gt;$T$9:$T$14)*(O450&lt;=$U$9:$U$14),$S$9:$S$14)</f>
        <v>3</v>
      </c>
    </row>
    <row r="451" spans="1:16" x14ac:dyDescent="0.25">
      <c r="A451">
        <v>434</v>
      </c>
      <c r="B451">
        <v>1221</v>
      </c>
      <c r="C451">
        <v>604</v>
      </c>
      <c r="D451">
        <v>5.05</v>
      </c>
      <c r="E451">
        <v>16460</v>
      </c>
      <c r="F451">
        <v>7.4</v>
      </c>
      <c r="G451">
        <v>16460074</v>
      </c>
      <c r="H451">
        <v>10</v>
      </c>
      <c r="I451">
        <v>2550</v>
      </c>
      <c r="J451" s="2">
        <f t="shared" si="22"/>
        <v>12877.5</v>
      </c>
      <c r="K451">
        <v>450</v>
      </c>
      <c r="L451" s="3">
        <f>SUM($I$2:$I451)</f>
        <v>5452250</v>
      </c>
      <c r="M451" s="3">
        <f>SUM($J$2:$J451)</f>
        <v>18605070</v>
      </c>
      <c r="N451" s="2">
        <f>SUM($D$2:$D451)</f>
        <v>1826.8200000000004</v>
      </c>
      <c r="O451" s="2">
        <f t="shared" si="23"/>
        <v>0.1088664261476797</v>
      </c>
      <c r="P451" s="2" cm="1">
        <f t="array" ref="P451">SUMPRODUCT((O451&gt;$T$9:$T$14)*(O451&lt;=$U$9:$U$14),$S$9:$S$14)</f>
        <v>3</v>
      </c>
    </row>
    <row r="452" spans="1:16" x14ac:dyDescent="0.25">
      <c r="A452">
        <v>917</v>
      </c>
      <c r="B452">
        <v>543</v>
      </c>
      <c r="C452">
        <v>191</v>
      </c>
      <c r="D452">
        <v>4.99</v>
      </c>
      <c r="E452">
        <v>14610</v>
      </c>
      <c r="F452">
        <v>0</v>
      </c>
      <c r="G452">
        <v>14610000</v>
      </c>
      <c r="H452">
        <v>7</v>
      </c>
      <c r="I452">
        <v>2550</v>
      </c>
      <c r="J452" s="2">
        <f t="shared" si="22"/>
        <v>12724.5</v>
      </c>
      <c r="K452">
        <v>451</v>
      </c>
      <c r="L452" s="3">
        <f>SUM($I$2:$I452)</f>
        <v>5454800</v>
      </c>
      <c r="M452" s="3">
        <f>SUM($J$2:$J452)</f>
        <v>18617794.5</v>
      </c>
      <c r="N452" s="2">
        <f>SUM($D$2:$D452)</f>
        <v>1831.8100000000004</v>
      </c>
      <c r="O452" s="2">
        <f t="shared" si="23"/>
        <v>0.10916379724416261</v>
      </c>
      <c r="P452" s="2" cm="1">
        <f t="array" ref="P452">SUMPRODUCT((O452&gt;$T$9:$T$14)*(O452&lt;=$U$9:$U$14),$S$9:$S$14)</f>
        <v>3</v>
      </c>
    </row>
    <row r="453" spans="1:16" x14ac:dyDescent="0.25">
      <c r="A453">
        <v>1531</v>
      </c>
      <c r="B453">
        <v>363</v>
      </c>
      <c r="C453">
        <v>1505</v>
      </c>
      <c r="D453">
        <v>3.46</v>
      </c>
      <c r="E453">
        <v>42235</v>
      </c>
      <c r="F453">
        <v>0</v>
      </c>
      <c r="G453">
        <v>42235000</v>
      </c>
      <c r="H453">
        <v>115</v>
      </c>
      <c r="I453">
        <v>2550</v>
      </c>
      <c r="J453" s="2">
        <f t="shared" si="22"/>
        <v>8823</v>
      </c>
      <c r="K453">
        <v>452</v>
      </c>
      <c r="L453" s="3">
        <f>SUM($I$2:$I453)</f>
        <v>5457350</v>
      </c>
      <c r="M453" s="3">
        <f>SUM($J$2:$J453)</f>
        <v>18626617.5</v>
      </c>
      <c r="N453" s="2">
        <f>SUM($D$2:$D453)</f>
        <v>1835.2700000000004</v>
      </c>
      <c r="O453" s="2">
        <f t="shared" si="23"/>
        <v>0.10936999042929907</v>
      </c>
      <c r="P453" s="2" cm="1">
        <f t="array" ref="P453">SUMPRODUCT((O453&gt;$T$9:$T$14)*(O453&lt;=$U$9:$U$14),$S$9:$S$14)</f>
        <v>3</v>
      </c>
    </row>
    <row r="454" spans="1:16" x14ac:dyDescent="0.25">
      <c r="A454">
        <v>566</v>
      </c>
      <c r="B454">
        <v>1353</v>
      </c>
      <c r="C454">
        <v>776</v>
      </c>
      <c r="D454">
        <v>11.13</v>
      </c>
      <c r="E454">
        <v>21036</v>
      </c>
      <c r="F454">
        <v>0</v>
      </c>
      <c r="G454">
        <v>21036000</v>
      </c>
      <c r="H454">
        <v>17</v>
      </c>
      <c r="I454">
        <v>2500</v>
      </c>
      <c r="J454" s="2">
        <f t="shared" si="22"/>
        <v>27825.000000000004</v>
      </c>
      <c r="K454">
        <v>453</v>
      </c>
      <c r="L454" s="3">
        <f>SUM($I$2:$I454)</f>
        <v>5459850</v>
      </c>
      <c r="M454" s="3">
        <f>SUM($J$2:$J454)</f>
        <v>18654442.5</v>
      </c>
      <c r="N454" s="2">
        <f>SUM($D$2:$D454)</f>
        <v>1846.4000000000005</v>
      </c>
      <c r="O454" s="2">
        <f t="shared" si="23"/>
        <v>0.11003326503929003</v>
      </c>
      <c r="P454" s="2" cm="1">
        <f t="array" ref="P454">SUMPRODUCT((O454&gt;$T$9:$T$14)*(O454&lt;=$U$9:$U$14),$S$9:$S$14)</f>
        <v>3</v>
      </c>
    </row>
    <row r="455" spans="1:16" x14ac:dyDescent="0.25">
      <c r="A455">
        <v>582</v>
      </c>
      <c r="B455">
        <v>1369</v>
      </c>
      <c r="C455">
        <v>797</v>
      </c>
      <c r="D455">
        <v>9.01</v>
      </c>
      <c r="E455">
        <v>16140</v>
      </c>
      <c r="F455">
        <v>0</v>
      </c>
      <c r="G455">
        <v>16140000</v>
      </c>
      <c r="H455">
        <v>9</v>
      </c>
      <c r="I455">
        <v>2500</v>
      </c>
      <c r="J455" s="2">
        <f t="shared" si="22"/>
        <v>22525</v>
      </c>
      <c r="K455">
        <v>454</v>
      </c>
      <c r="L455" s="3">
        <f>SUM($I$2:$I455)</f>
        <v>5462350</v>
      </c>
      <c r="M455" s="3">
        <f>SUM($J$2:$J455)</f>
        <v>18676967.5</v>
      </c>
      <c r="N455" s="2">
        <f>SUM($D$2:$D455)</f>
        <v>1855.4100000000005</v>
      </c>
      <c r="O455" s="2">
        <f t="shared" si="23"/>
        <v>0.11057020162833033</v>
      </c>
      <c r="P455" s="2" cm="1">
        <f t="array" ref="P455">SUMPRODUCT((O455&gt;$T$9:$T$14)*(O455&lt;=$U$9:$U$14),$S$9:$S$14)</f>
        <v>3</v>
      </c>
    </row>
    <row r="456" spans="1:16" x14ac:dyDescent="0.25">
      <c r="A456">
        <v>31</v>
      </c>
      <c r="B456">
        <v>827</v>
      </c>
      <c r="C456">
        <v>1581</v>
      </c>
      <c r="D456">
        <v>5.61</v>
      </c>
      <c r="E456">
        <v>49170</v>
      </c>
      <c r="F456">
        <v>0</v>
      </c>
      <c r="G456">
        <v>49170000</v>
      </c>
      <c r="H456">
        <v>416</v>
      </c>
      <c r="I456">
        <v>2500</v>
      </c>
      <c r="J456" s="2">
        <f t="shared" si="22"/>
        <v>14025</v>
      </c>
      <c r="K456">
        <v>455</v>
      </c>
      <c r="L456" s="3">
        <f>SUM($I$2:$I456)</f>
        <v>5464850</v>
      </c>
      <c r="M456" s="3">
        <f>SUM($J$2:$J456)</f>
        <v>18690992.5</v>
      </c>
      <c r="N456" s="2">
        <f>SUM($D$2:$D456)</f>
        <v>1861.0200000000004</v>
      </c>
      <c r="O456" s="2">
        <f t="shared" si="23"/>
        <v>0.1109045206366007</v>
      </c>
      <c r="P456" s="2" cm="1">
        <f t="array" ref="P456">SUMPRODUCT((O456&gt;$T$9:$T$14)*(O456&lt;=$U$9:$U$14),$S$9:$S$14)</f>
        <v>3</v>
      </c>
    </row>
    <row r="457" spans="1:16" x14ac:dyDescent="0.25">
      <c r="A457">
        <v>1314</v>
      </c>
      <c r="B457">
        <v>146</v>
      </c>
      <c r="C457">
        <v>1235</v>
      </c>
      <c r="D457">
        <v>2.82</v>
      </c>
      <c r="E457">
        <v>47030</v>
      </c>
      <c r="F457">
        <v>0</v>
      </c>
      <c r="G457">
        <v>47030000</v>
      </c>
      <c r="H457">
        <v>69</v>
      </c>
      <c r="I457">
        <v>2500</v>
      </c>
      <c r="J457" s="2">
        <f t="shared" si="22"/>
        <v>7050</v>
      </c>
      <c r="K457">
        <v>456</v>
      </c>
      <c r="L457" s="3">
        <f>SUM($I$2:$I457)</f>
        <v>5467350</v>
      </c>
      <c r="M457" s="3">
        <f>SUM($J$2:$J457)</f>
        <v>18698042.5</v>
      </c>
      <c r="N457" s="2">
        <f>SUM($D$2:$D457)</f>
        <v>1863.8400000000004</v>
      </c>
      <c r="O457" s="2">
        <f t="shared" si="23"/>
        <v>0.11107257404182751</v>
      </c>
      <c r="P457" s="2" cm="1">
        <f t="array" ref="P457">SUMPRODUCT((O457&gt;$T$9:$T$14)*(O457&lt;=$U$9:$U$14),$S$9:$S$14)</f>
        <v>3</v>
      </c>
    </row>
    <row r="458" spans="1:16" x14ac:dyDescent="0.25">
      <c r="A458">
        <v>731</v>
      </c>
      <c r="B458">
        <v>1518</v>
      </c>
      <c r="C458">
        <v>981</v>
      </c>
      <c r="D458">
        <v>2.4300000000000002</v>
      </c>
      <c r="E458">
        <v>33560</v>
      </c>
      <c r="F458">
        <v>1.7</v>
      </c>
      <c r="G458">
        <v>33560017</v>
      </c>
      <c r="H458">
        <v>61</v>
      </c>
      <c r="I458">
        <v>2500</v>
      </c>
      <c r="J458" s="2">
        <f t="shared" si="22"/>
        <v>6075</v>
      </c>
      <c r="K458">
        <v>457</v>
      </c>
      <c r="L458" s="3">
        <f>SUM($I$2:$I458)</f>
        <v>5469850</v>
      </c>
      <c r="M458" s="3">
        <f>SUM($J$2:$J458)</f>
        <v>18704117.5</v>
      </c>
      <c r="N458" s="2">
        <f>SUM($D$2:$D458)</f>
        <v>1866.2700000000004</v>
      </c>
      <c r="O458" s="2">
        <f t="shared" si="23"/>
        <v>0.1112173860186719</v>
      </c>
      <c r="P458" s="2" cm="1">
        <f t="array" ref="P458">SUMPRODUCT((O458&gt;$T$9:$T$14)*(O458&lt;=$U$9:$U$14),$S$9:$S$14)</f>
        <v>3</v>
      </c>
    </row>
    <row r="459" spans="1:16" x14ac:dyDescent="0.25">
      <c r="A459">
        <v>847</v>
      </c>
      <c r="B459">
        <v>473</v>
      </c>
      <c r="C459">
        <v>92</v>
      </c>
      <c r="D459">
        <v>7.07</v>
      </c>
      <c r="E459">
        <v>17000</v>
      </c>
      <c r="F459">
        <v>0</v>
      </c>
      <c r="G459">
        <v>17000000</v>
      </c>
      <c r="H459">
        <v>11</v>
      </c>
      <c r="I459">
        <v>2450</v>
      </c>
      <c r="J459" s="2">
        <f t="shared" si="22"/>
        <v>17321.5</v>
      </c>
      <c r="K459">
        <v>458</v>
      </c>
      <c r="L459" s="3">
        <f>SUM($I$2:$I459)</f>
        <v>5472300</v>
      </c>
      <c r="M459" s="3">
        <f>SUM($J$2:$J459)</f>
        <v>18721439</v>
      </c>
      <c r="N459" s="2">
        <f>SUM($D$2:$D459)</f>
        <v>1873.3400000000004</v>
      </c>
      <c r="O459" s="2">
        <f t="shared" si="23"/>
        <v>0.11163871139986112</v>
      </c>
      <c r="P459" s="2" cm="1">
        <f t="array" ref="P459">SUMPRODUCT((O459&gt;$T$9:$T$14)*(O459&lt;=$U$9:$U$14),$S$9:$S$14)</f>
        <v>3</v>
      </c>
    </row>
    <row r="460" spans="1:16" x14ac:dyDescent="0.25">
      <c r="A460">
        <v>1530</v>
      </c>
      <c r="B460">
        <v>362</v>
      </c>
      <c r="C460">
        <v>1504</v>
      </c>
      <c r="D460">
        <v>4.6100000000000003</v>
      </c>
      <c r="E460">
        <v>42235</v>
      </c>
      <c r="F460">
        <v>3.5</v>
      </c>
      <c r="G460">
        <v>42235035</v>
      </c>
      <c r="H460">
        <v>115</v>
      </c>
      <c r="I460">
        <v>2450</v>
      </c>
      <c r="J460" s="2">
        <f t="shared" si="22"/>
        <v>11294.5</v>
      </c>
      <c r="K460">
        <v>459</v>
      </c>
      <c r="L460" s="3">
        <f>SUM($I$2:$I460)</f>
        <v>5474750</v>
      </c>
      <c r="M460" s="3">
        <f>SUM($J$2:$J460)</f>
        <v>18732733.5</v>
      </c>
      <c r="N460" s="2">
        <f>SUM($D$2:$D460)</f>
        <v>1877.9500000000003</v>
      </c>
      <c r="O460" s="2">
        <f t="shared" si="23"/>
        <v>0.11191343700202268</v>
      </c>
      <c r="P460" s="2" cm="1">
        <f t="array" ref="P460">SUMPRODUCT((O460&gt;$T$9:$T$14)*(O460&lt;=$U$9:$U$14),$S$9:$S$14)</f>
        <v>3</v>
      </c>
    </row>
    <row r="461" spans="1:16" x14ac:dyDescent="0.25">
      <c r="A461">
        <v>1026</v>
      </c>
      <c r="B461">
        <v>652</v>
      </c>
      <c r="C461">
        <v>333</v>
      </c>
      <c r="D461">
        <v>3.14</v>
      </c>
      <c r="E461">
        <v>17090</v>
      </c>
      <c r="F461">
        <v>0</v>
      </c>
      <c r="G461">
        <v>17090000</v>
      </c>
      <c r="H461">
        <v>11</v>
      </c>
      <c r="I461">
        <v>2450</v>
      </c>
      <c r="J461" s="2">
        <f t="shared" si="22"/>
        <v>7693</v>
      </c>
      <c r="K461">
        <v>460</v>
      </c>
      <c r="L461" s="3">
        <f>SUM($I$2:$I461)</f>
        <v>5477200</v>
      </c>
      <c r="M461" s="3">
        <f>SUM($J$2:$J461)</f>
        <v>18740426.5</v>
      </c>
      <c r="N461" s="2">
        <f>SUM($D$2:$D461)</f>
        <v>1881.0900000000004</v>
      </c>
      <c r="O461" s="2">
        <f t="shared" si="23"/>
        <v>0.11210056029720432</v>
      </c>
      <c r="P461" s="2" cm="1">
        <f t="array" ref="P461">SUMPRODUCT((O461&gt;$T$9:$T$14)*(O461&lt;=$U$9:$U$14),$S$9:$S$14)</f>
        <v>3</v>
      </c>
    </row>
    <row r="462" spans="1:16" x14ac:dyDescent="0.25">
      <c r="A462">
        <v>601</v>
      </c>
      <c r="B462">
        <v>1388</v>
      </c>
      <c r="C462">
        <v>2256</v>
      </c>
      <c r="D462">
        <v>3.08</v>
      </c>
      <c r="E462">
        <v>49605</v>
      </c>
      <c r="F462">
        <v>0</v>
      </c>
      <c r="G462">
        <v>49605000</v>
      </c>
      <c r="H462">
        <v>17</v>
      </c>
      <c r="I462">
        <v>2450</v>
      </c>
      <c r="J462" s="2">
        <f t="shared" si="22"/>
        <v>7546</v>
      </c>
      <c r="K462">
        <v>461</v>
      </c>
      <c r="L462" s="3">
        <f>SUM($I$2:$I462)</f>
        <v>5479650</v>
      </c>
      <c r="M462" s="3">
        <f>SUM($J$2:$J462)</f>
        <v>18747972.5</v>
      </c>
      <c r="N462" s="2">
        <f>SUM($D$2:$D462)</f>
        <v>1884.1700000000003</v>
      </c>
      <c r="O462" s="2">
        <f t="shared" si="23"/>
        <v>0.11228410798801942</v>
      </c>
      <c r="P462" s="2" cm="1">
        <f t="array" ref="P462">SUMPRODUCT((O462&gt;$T$9:$T$14)*(O462&lt;=$U$9:$U$14),$S$9:$S$14)</f>
        <v>3</v>
      </c>
    </row>
    <row r="463" spans="1:16" x14ac:dyDescent="0.25">
      <c r="A463">
        <v>1424</v>
      </c>
      <c r="B463">
        <v>256</v>
      </c>
      <c r="C463">
        <v>1379</v>
      </c>
      <c r="D463">
        <v>2.73</v>
      </c>
      <c r="E463">
        <v>46950</v>
      </c>
      <c r="F463">
        <v>0</v>
      </c>
      <c r="G463">
        <v>46950000</v>
      </c>
      <c r="H463">
        <v>400</v>
      </c>
      <c r="I463">
        <v>2450</v>
      </c>
      <c r="J463" s="2">
        <f t="shared" si="22"/>
        <v>6688.5</v>
      </c>
      <c r="K463">
        <v>462</v>
      </c>
      <c r="L463" s="3">
        <f>SUM($I$2:$I463)</f>
        <v>5482100</v>
      </c>
      <c r="M463" s="3">
        <f>SUM($J$2:$J463)</f>
        <v>18754661</v>
      </c>
      <c r="N463" s="2">
        <f>SUM($D$2:$D463)</f>
        <v>1886.9000000000003</v>
      </c>
      <c r="O463" s="2">
        <f t="shared" si="23"/>
        <v>0.11244679798669645</v>
      </c>
      <c r="P463" s="2" cm="1">
        <f t="array" ref="P463">SUMPRODUCT((O463&gt;$T$9:$T$14)*(O463&lt;=$U$9:$U$14),$S$9:$S$14)</f>
        <v>3</v>
      </c>
    </row>
    <row r="464" spans="1:16" x14ac:dyDescent="0.25">
      <c r="A464">
        <v>730</v>
      </c>
      <c r="B464">
        <v>1517</v>
      </c>
      <c r="C464">
        <v>980</v>
      </c>
      <c r="D464">
        <v>1.1100000000000001</v>
      </c>
      <c r="E464">
        <v>33560</v>
      </c>
      <c r="F464">
        <v>4.0999999999999996</v>
      </c>
      <c r="G464">
        <v>33560041</v>
      </c>
      <c r="H464">
        <v>61</v>
      </c>
      <c r="I464">
        <v>2450</v>
      </c>
      <c r="J464" s="2">
        <f t="shared" si="22"/>
        <v>2719.5000000000005</v>
      </c>
      <c r="K464">
        <v>463</v>
      </c>
      <c r="L464" s="3">
        <f>SUM($I$2:$I464)</f>
        <v>5484550</v>
      </c>
      <c r="M464" s="3">
        <f>SUM($J$2:$J464)</f>
        <v>18757380.5</v>
      </c>
      <c r="N464" s="2">
        <f>SUM($D$2:$D464)</f>
        <v>1888.0100000000002</v>
      </c>
      <c r="O464" s="2">
        <f t="shared" si="23"/>
        <v>0.11251294666747721</v>
      </c>
      <c r="P464" s="2" cm="1">
        <f t="array" ref="P464">SUMPRODUCT((O464&gt;$T$9:$T$14)*(O464&lt;=$U$9:$U$14),$S$9:$S$14)</f>
        <v>3</v>
      </c>
    </row>
    <row r="465" spans="1:16" x14ac:dyDescent="0.25">
      <c r="A465">
        <v>1144</v>
      </c>
      <c r="B465">
        <v>770</v>
      </c>
      <c r="C465">
        <v>488</v>
      </c>
      <c r="D465">
        <v>0.81</v>
      </c>
      <c r="E465">
        <v>14620</v>
      </c>
      <c r="F465">
        <v>1.5</v>
      </c>
      <c r="G465">
        <v>14620015</v>
      </c>
      <c r="H465">
        <v>7</v>
      </c>
      <c r="I465">
        <v>2450</v>
      </c>
      <c r="J465" s="2">
        <f t="shared" si="22"/>
        <v>1984.5000000000002</v>
      </c>
      <c r="K465">
        <v>464</v>
      </c>
      <c r="L465" s="3">
        <f>SUM($I$2:$I465)</f>
        <v>5487000</v>
      </c>
      <c r="M465" s="3">
        <f>SUM($J$2:$J465)</f>
        <v>18759365</v>
      </c>
      <c r="N465" s="2">
        <f>SUM($D$2:$D465)</f>
        <v>1888.8200000000002</v>
      </c>
      <c r="O465" s="2">
        <f t="shared" si="23"/>
        <v>0.11256121732642534</v>
      </c>
      <c r="P465" s="2" cm="1">
        <f t="array" ref="P465">SUMPRODUCT((O465&gt;$T$9:$T$14)*(O465&lt;=$U$9:$U$14),$S$9:$S$14)</f>
        <v>3</v>
      </c>
    </row>
    <row r="466" spans="1:16" x14ac:dyDescent="0.25">
      <c r="A466">
        <v>626</v>
      </c>
      <c r="B466">
        <v>1413</v>
      </c>
      <c r="C466">
        <v>851</v>
      </c>
      <c r="D466">
        <v>0.61</v>
      </c>
      <c r="E466">
        <v>17230</v>
      </c>
      <c r="F466">
        <v>0</v>
      </c>
      <c r="G466">
        <v>17230000</v>
      </c>
      <c r="H466">
        <v>11</v>
      </c>
      <c r="I466">
        <v>2450</v>
      </c>
      <c r="J466" s="2">
        <f t="shared" si="22"/>
        <v>1494.5</v>
      </c>
      <c r="K466">
        <v>465</v>
      </c>
      <c r="L466" s="3">
        <f>SUM($I$2:$I466)</f>
        <v>5489450</v>
      </c>
      <c r="M466" s="3">
        <f>SUM($J$2:$J466)</f>
        <v>18760859.5</v>
      </c>
      <c r="N466" s="2">
        <f>SUM($D$2:$D466)</f>
        <v>1889.43</v>
      </c>
      <c r="O466" s="2">
        <f t="shared" si="23"/>
        <v>0.1125975693041517</v>
      </c>
      <c r="P466" s="2" cm="1">
        <f t="array" ref="P466">SUMPRODUCT((O466&gt;$T$9:$T$14)*(O466&lt;=$U$9:$U$14),$S$9:$S$14)</f>
        <v>3</v>
      </c>
    </row>
    <row r="467" spans="1:16" x14ac:dyDescent="0.25">
      <c r="A467">
        <v>561</v>
      </c>
      <c r="B467">
        <v>1348</v>
      </c>
      <c r="C467">
        <v>768</v>
      </c>
      <c r="D467">
        <v>0.6</v>
      </c>
      <c r="E467">
        <v>25795</v>
      </c>
      <c r="F467">
        <v>0</v>
      </c>
      <c r="G467">
        <v>25795000</v>
      </c>
      <c r="H467">
        <v>27</v>
      </c>
      <c r="I467">
        <v>2450</v>
      </c>
      <c r="J467" s="2">
        <f t="shared" si="22"/>
        <v>1470</v>
      </c>
      <c r="K467">
        <v>466</v>
      </c>
      <c r="L467" s="3">
        <f>SUM($I$2:$I467)</f>
        <v>5491900</v>
      </c>
      <c r="M467" s="3">
        <f>SUM($J$2:$J467)</f>
        <v>18762329.5</v>
      </c>
      <c r="N467" s="2">
        <f>SUM($D$2:$D467)</f>
        <v>1890.03</v>
      </c>
      <c r="O467" s="2">
        <f t="shared" si="23"/>
        <v>0.11263332534781698</v>
      </c>
      <c r="P467" s="2" cm="1">
        <f t="array" ref="P467">SUMPRODUCT((O467&gt;$T$9:$T$14)*(O467&lt;=$U$9:$U$14),$S$9:$S$14)</f>
        <v>3</v>
      </c>
    </row>
    <row r="468" spans="1:16" x14ac:dyDescent="0.25">
      <c r="A468">
        <v>1368</v>
      </c>
      <c r="B468">
        <v>200</v>
      </c>
      <c r="C468">
        <v>1306</v>
      </c>
      <c r="D468">
        <v>0.2</v>
      </c>
      <c r="E468">
        <v>40610</v>
      </c>
      <c r="F468">
        <v>0</v>
      </c>
      <c r="G468">
        <v>40610000</v>
      </c>
      <c r="H468">
        <v>102</v>
      </c>
      <c r="I468">
        <v>2450</v>
      </c>
      <c r="J468" s="2">
        <f t="shared" si="22"/>
        <v>490</v>
      </c>
      <c r="K468">
        <v>467</v>
      </c>
      <c r="L468" s="3">
        <f>SUM($I$2:$I468)</f>
        <v>5494350</v>
      </c>
      <c r="M468" s="3">
        <f>SUM($J$2:$J468)</f>
        <v>18762819.5</v>
      </c>
      <c r="N468" s="2">
        <f>SUM($D$2:$D468)</f>
        <v>1890.23</v>
      </c>
      <c r="O468" s="2">
        <f t="shared" si="23"/>
        <v>0.11264524402903875</v>
      </c>
      <c r="P468" s="2" cm="1">
        <f t="array" ref="P468">SUMPRODUCT((O468&gt;$T$9:$T$14)*(O468&lt;=$U$9:$U$14),$S$9:$S$14)</f>
        <v>3</v>
      </c>
    </row>
    <row r="469" spans="1:16" x14ac:dyDescent="0.25">
      <c r="A469">
        <v>1802</v>
      </c>
      <c r="B469">
        <v>1802</v>
      </c>
      <c r="C469">
        <v>1370</v>
      </c>
      <c r="D469">
        <v>7.07</v>
      </c>
      <c r="E469">
        <v>46986</v>
      </c>
      <c r="F469">
        <v>0</v>
      </c>
      <c r="G469">
        <v>46986000</v>
      </c>
      <c r="H469">
        <v>400</v>
      </c>
      <c r="I469">
        <v>2400</v>
      </c>
      <c r="J469" s="2">
        <f t="shared" si="22"/>
        <v>16968</v>
      </c>
      <c r="K469">
        <v>468</v>
      </c>
      <c r="L469" s="3">
        <f>SUM($I$2:$I469)</f>
        <v>5496750</v>
      </c>
      <c r="M469" s="3">
        <f>SUM($J$2:$J469)</f>
        <v>18779787.5</v>
      </c>
      <c r="N469" s="2">
        <f>SUM($D$2:$D469)</f>
        <v>1897.3</v>
      </c>
      <c r="O469" s="2">
        <f t="shared" si="23"/>
        <v>0.11306656941022795</v>
      </c>
      <c r="P469" s="2" cm="1">
        <f t="array" ref="P469">SUMPRODUCT((O469&gt;$T$9:$T$14)*(O469&lt;=$U$9:$U$14),$S$9:$S$14)</f>
        <v>3</v>
      </c>
    </row>
    <row r="470" spans="1:16" x14ac:dyDescent="0.25">
      <c r="A470">
        <v>1423</v>
      </c>
      <c r="B470">
        <v>255</v>
      </c>
      <c r="C470">
        <v>1378</v>
      </c>
      <c r="D470">
        <v>5.87</v>
      </c>
      <c r="E470">
        <v>46954</v>
      </c>
      <c r="F470">
        <v>0</v>
      </c>
      <c r="G470">
        <v>46954000</v>
      </c>
      <c r="H470">
        <v>400</v>
      </c>
      <c r="I470">
        <v>2400</v>
      </c>
      <c r="J470" s="2">
        <f t="shared" si="22"/>
        <v>14088</v>
      </c>
      <c r="K470">
        <v>469</v>
      </c>
      <c r="L470" s="3">
        <f>SUM($I$2:$I470)</f>
        <v>5499150</v>
      </c>
      <c r="M470" s="3">
        <f>SUM($J$2:$J470)</f>
        <v>18793875.5</v>
      </c>
      <c r="N470" s="2">
        <f>SUM($D$2:$D470)</f>
        <v>1903.1699999999998</v>
      </c>
      <c r="O470" s="2">
        <f t="shared" si="23"/>
        <v>0.11341638270408662</v>
      </c>
      <c r="P470" s="2" cm="1">
        <f t="array" ref="P470">SUMPRODUCT((O470&gt;$T$9:$T$14)*(O470&lt;=$U$9:$U$14),$S$9:$S$14)</f>
        <v>3</v>
      </c>
    </row>
    <row r="471" spans="1:16" x14ac:dyDescent="0.25">
      <c r="A471">
        <v>1032</v>
      </c>
      <c r="B471">
        <v>658</v>
      </c>
      <c r="C471">
        <v>341</v>
      </c>
      <c r="D471">
        <v>3.96</v>
      </c>
      <c r="E471">
        <v>14608</v>
      </c>
      <c r="F471">
        <v>0</v>
      </c>
      <c r="G471">
        <v>14608000</v>
      </c>
      <c r="H471">
        <v>7</v>
      </c>
      <c r="I471">
        <v>2400</v>
      </c>
      <c r="J471" s="2">
        <f t="shared" si="22"/>
        <v>9504</v>
      </c>
      <c r="K471">
        <v>470</v>
      </c>
      <c r="L471" s="3">
        <f>SUM($I$2:$I471)</f>
        <v>5501550</v>
      </c>
      <c r="M471" s="3">
        <f>SUM($J$2:$J471)</f>
        <v>18803379.5</v>
      </c>
      <c r="N471" s="2">
        <f>SUM($D$2:$D471)</f>
        <v>1907.1299999999999</v>
      </c>
      <c r="O471" s="2">
        <f t="shared" si="23"/>
        <v>0.11365237259227746</v>
      </c>
      <c r="P471" s="2" cm="1">
        <f t="array" ref="P471">SUMPRODUCT((O471&gt;$T$9:$T$14)*(O471&lt;=$U$9:$U$14),$S$9:$S$14)</f>
        <v>3</v>
      </c>
    </row>
    <row r="472" spans="1:16" x14ac:dyDescent="0.25">
      <c r="A472">
        <v>697</v>
      </c>
      <c r="B472">
        <v>1484</v>
      </c>
      <c r="C472">
        <v>936</v>
      </c>
      <c r="D472">
        <v>3.28</v>
      </c>
      <c r="E472">
        <v>21020</v>
      </c>
      <c r="F472">
        <v>4.8</v>
      </c>
      <c r="G472">
        <v>21020048</v>
      </c>
      <c r="H472">
        <v>17</v>
      </c>
      <c r="I472">
        <v>2400</v>
      </c>
      <c r="J472" s="2">
        <f t="shared" si="22"/>
        <v>7871.9999999999991</v>
      </c>
      <c r="K472">
        <v>471</v>
      </c>
      <c r="L472" s="3">
        <f>SUM($I$2:$I472)</f>
        <v>5503950</v>
      </c>
      <c r="M472" s="3">
        <f>SUM($J$2:$J472)</f>
        <v>18811251.5</v>
      </c>
      <c r="N472" s="2">
        <f>SUM($D$2:$D472)</f>
        <v>1910.4099999999999</v>
      </c>
      <c r="O472" s="2">
        <f t="shared" si="23"/>
        <v>0.11384783896431433</v>
      </c>
      <c r="P472" s="2" cm="1">
        <f t="array" ref="P472">SUMPRODUCT((O472&gt;$T$9:$T$14)*(O472&lt;=$U$9:$U$14),$S$9:$S$14)</f>
        <v>3</v>
      </c>
    </row>
    <row r="473" spans="1:16" x14ac:dyDescent="0.25">
      <c r="A473">
        <v>63</v>
      </c>
      <c r="B473">
        <v>859</v>
      </c>
      <c r="C473">
        <v>1615</v>
      </c>
      <c r="D473">
        <v>3.21</v>
      </c>
      <c r="E473">
        <v>48600</v>
      </c>
      <c r="F473">
        <v>0</v>
      </c>
      <c r="G473">
        <v>48600000</v>
      </c>
      <c r="H473">
        <v>405</v>
      </c>
      <c r="I473">
        <v>2400</v>
      </c>
      <c r="J473" s="2">
        <f t="shared" si="22"/>
        <v>7704</v>
      </c>
      <c r="K473">
        <v>472</v>
      </c>
      <c r="L473" s="3">
        <f>SUM($I$2:$I473)</f>
        <v>5506350</v>
      </c>
      <c r="M473" s="3">
        <f>SUM($J$2:$J473)</f>
        <v>18818955.5</v>
      </c>
      <c r="N473" s="2">
        <f>SUM($D$2:$D473)</f>
        <v>1913.62</v>
      </c>
      <c r="O473" s="2">
        <f t="shared" si="23"/>
        <v>0.11403913379792359</v>
      </c>
      <c r="P473" s="2" cm="1">
        <f t="array" ref="P473">SUMPRODUCT((O473&gt;$T$9:$T$14)*(O473&lt;=$U$9:$U$14),$S$9:$S$14)</f>
        <v>3</v>
      </c>
    </row>
    <row r="474" spans="1:16" x14ac:dyDescent="0.25">
      <c r="A474">
        <v>486</v>
      </c>
      <c r="B474">
        <v>1273</v>
      </c>
      <c r="C474">
        <v>670</v>
      </c>
      <c r="D474">
        <v>2.73</v>
      </c>
      <c r="E474">
        <v>14946</v>
      </c>
      <c r="F474">
        <v>5.5</v>
      </c>
      <c r="G474">
        <v>14946055</v>
      </c>
      <c r="H474" t="s">
        <v>8</v>
      </c>
      <c r="I474">
        <v>2400</v>
      </c>
      <c r="J474" s="2">
        <f t="shared" si="22"/>
        <v>6552</v>
      </c>
      <c r="K474">
        <v>473</v>
      </c>
      <c r="L474" s="3">
        <f>SUM($I$2:$I474)</f>
        <v>5508750</v>
      </c>
      <c r="M474" s="3">
        <f>SUM($J$2:$J474)</f>
        <v>18825507.5</v>
      </c>
      <c r="N474" s="2">
        <f>SUM($D$2:$D474)</f>
        <v>1916.35</v>
      </c>
      <c r="O474" s="2">
        <f t="shared" si="23"/>
        <v>0.11420182379660061</v>
      </c>
      <c r="P474" s="2" cm="1">
        <f t="array" ref="P474">SUMPRODUCT((O474&gt;$T$9:$T$14)*(O474&lt;=$U$9:$U$14),$S$9:$S$14)</f>
        <v>3</v>
      </c>
    </row>
    <row r="475" spans="1:16" x14ac:dyDescent="0.25">
      <c r="A475">
        <v>1532</v>
      </c>
      <c r="B475">
        <v>364</v>
      </c>
      <c r="C475">
        <v>1506</v>
      </c>
      <c r="D475">
        <v>2.52</v>
      </c>
      <c r="E475">
        <v>42230</v>
      </c>
      <c r="F475">
        <v>0</v>
      </c>
      <c r="G475">
        <v>42230000</v>
      </c>
      <c r="H475">
        <v>115</v>
      </c>
      <c r="I475">
        <v>2400</v>
      </c>
      <c r="J475" s="2">
        <f t="shared" si="22"/>
        <v>6048</v>
      </c>
      <c r="K475">
        <v>474</v>
      </c>
      <c r="L475" s="3">
        <f>SUM($I$2:$I475)</f>
        <v>5511150</v>
      </c>
      <c r="M475" s="3">
        <f>SUM($J$2:$J475)</f>
        <v>18831555.5</v>
      </c>
      <c r="N475" s="2">
        <f>SUM($D$2:$D475)</f>
        <v>1918.87</v>
      </c>
      <c r="O475" s="2">
        <f t="shared" si="23"/>
        <v>0.11435199917999479</v>
      </c>
      <c r="P475" s="2" cm="1">
        <f t="array" ref="P475">SUMPRODUCT((O475&gt;$T$9:$T$14)*(O475&lt;=$U$9:$U$14),$S$9:$S$14)</f>
        <v>3</v>
      </c>
    </row>
    <row r="476" spans="1:16" x14ac:dyDescent="0.25">
      <c r="A476">
        <v>614</v>
      </c>
      <c r="B476">
        <v>1401</v>
      </c>
      <c r="C476">
        <v>837</v>
      </c>
      <c r="D476">
        <v>2.25</v>
      </c>
      <c r="E476">
        <v>14612</v>
      </c>
      <c r="F476">
        <v>0</v>
      </c>
      <c r="G476">
        <v>14612000</v>
      </c>
      <c r="H476">
        <v>7</v>
      </c>
      <c r="I476">
        <v>2400</v>
      </c>
      <c r="J476" s="2">
        <f t="shared" si="22"/>
        <v>5400</v>
      </c>
      <c r="K476">
        <v>475</v>
      </c>
      <c r="L476" s="3">
        <f>SUM($I$2:$I476)</f>
        <v>5513550</v>
      </c>
      <c r="M476" s="3">
        <f>SUM($J$2:$J476)</f>
        <v>18836955.5</v>
      </c>
      <c r="N476" s="2">
        <f>SUM($D$2:$D476)</f>
        <v>1921.12</v>
      </c>
      <c r="O476" s="2">
        <f t="shared" si="23"/>
        <v>0.11448608434373959</v>
      </c>
      <c r="P476" s="2" cm="1">
        <f t="array" ref="P476">SUMPRODUCT((O476&gt;$T$9:$T$14)*(O476&lt;=$U$9:$U$14),$S$9:$S$14)</f>
        <v>3</v>
      </c>
    </row>
    <row r="477" spans="1:16" x14ac:dyDescent="0.25">
      <c r="A477">
        <v>1572</v>
      </c>
      <c r="B477">
        <v>1572</v>
      </c>
      <c r="C477">
        <v>2061</v>
      </c>
      <c r="D477">
        <v>1.98</v>
      </c>
      <c r="E477">
        <v>48540</v>
      </c>
      <c r="F477">
        <v>0</v>
      </c>
      <c r="G477">
        <v>48540000</v>
      </c>
      <c r="H477">
        <v>404</v>
      </c>
      <c r="I477">
        <v>2400</v>
      </c>
      <c r="J477" s="2">
        <f t="shared" si="22"/>
        <v>4752</v>
      </c>
      <c r="K477">
        <v>476</v>
      </c>
      <c r="L477" s="3">
        <f>SUM($I$2:$I477)</f>
        <v>5515950</v>
      </c>
      <c r="M477" s="3">
        <f>SUM($J$2:$J477)</f>
        <v>18841707.5</v>
      </c>
      <c r="N477" s="2">
        <f>SUM($D$2:$D477)</f>
        <v>1923.1</v>
      </c>
      <c r="O477" s="2">
        <f t="shared" si="23"/>
        <v>0.11460407928783502</v>
      </c>
      <c r="P477" s="2" cm="1">
        <f t="array" ref="P477">SUMPRODUCT((O477&gt;$T$9:$T$14)*(O477&lt;=$U$9:$U$14),$S$9:$S$14)</f>
        <v>3</v>
      </c>
    </row>
    <row r="478" spans="1:16" x14ac:dyDescent="0.25">
      <c r="A478">
        <v>1529</v>
      </c>
      <c r="B478">
        <v>361</v>
      </c>
      <c r="C478">
        <v>1503</v>
      </c>
      <c r="D478">
        <v>8.43</v>
      </c>
      <c r="E478">
        <v>42240</v>
      </c>
      <c r="F478">
        <v>0</v>
      </c>
      <c r="G478">
        <v>42240000</v>
      </c>
      <c r="H478">
        <v>115</v>
      </c>
      <c r="I478">
        <v>2350</v>
      </c>
      <c r="J478" s="2">
        <f t="shared" si="22"/>
        <v>19810.5</v>
      </c>
      <c r="K478">
        <v>477</v>
      </c>
      <c r="L478" s="3">
        <f>SUM($I$2:$I478)</f>
        <v>5518300</v>
      </c>
      <c r="M478" s="3">
        <f>SUM($J$2:$J478)</f>
        <v>18861518</v>
      </c>
      <c r="N478" s="2">
        <f>SUM($D$2:$D478)</f>
        <v>1931.53</v>
      </c>
      <c r="O478" s="2">
        <f t="shared" si="23"/>
        <v>0.11510645170133221</v>
      </c>
      <c r="P478" s="2" cm="1">
        <f t="array" ref="P478">SUMPRODUCT((O478&gt;$T$9:$T$14)*(O478&lt;=$U$9:$U$14),$S$9:$S$14)</f>
        <v>3</v>
      </c>
    </row>
    <row r="479" spans="1:16" x14ac:dyDescent="0.25">
      <c r="A479">
        <v>1242</v>
      </c>
      <c r="B479">
        <v>74</v>
      </c>
      <c r="C479">
        <v>1138</v>
      </c>
      <c r="D479">
        <v>2.2599999999999998</v>
      </c>
      <c r="E479">
        <v>27817</v>
      </c>
      <c r="F479">
        <v>0</v>
      </c>
      <c r="G479">
        <v>27817000</v>
      </c>
      <c r="H479">
        <v>35</v>
      </c>
      <c r="I479">
        <v>2350</v>
      </c>
      <c r="J479" s="2">
        <f t="shared" si="22"/>
        <v>5310.9999999999991</v>
      </c>
      <c r="K479">
        <v>478</v>
      </c>
      <c r="L479" s="3">
        <f>SUM($I$2:$I479)</f>
        <v>5520650</v>
      </c>
      <c r="M479" s="3">
        <f>SUM($J$2:$J479)</f>
        <v>18866829</v>
      </c>
      <c r="N479" s="2">
        <f>SUM($D$2:$D479)</f>
        <v>1933.79</v>
      </c>
      <c r="O479" s="2">
        <f t="shared" si="23"/>
        <v>0.11524113279913811</v>
      </c>
      <c r="P479" s="2" cm="1">
        <f t="array" ref="P479">SUMPRODUCT((O479&gt;$T$9:$T$14)*(O479&lt;=$U$9:$U$14),$S$9:$S$14)</f>
        <v>3</v>
      </c>
    </row>
    <row r="480" spans="1:16" x14ac:dyDescent="0.25">
      <c r="A480">
        <v>588</v>
      </c>
      <c r="B480">
        <v>1375</v>
      </c>
      <c r="C480">
        <v>803</v>
      </c>
      <c r="D480">
        <v>73.14</v>
      </c>
      <c r="E480">
        <v>22120</v>
      </c>
      <c r="F480">
        <v>0</v>
      </c>
      <c r="G480">
        <v>22120000</v>
      </c>
      <c r="H480">
        <v>17</v>
      </c>
      <c r="I480">
        <v>2300</v>
      </c>
      <c r="J480" s="2">
        <f t="shared" si="22"/>
        <v>168222</v>
      </c>
      <c r="K480">
        <v>479</v>
      </c>
      <c r="L480" s="3">
        <f>SUM($I$2:$I480)</f>
        <v>5522950</v>
      </c>
      <c r="M480" s="3">
        <f>SUM($J$2:$J480)</f>
        <v>19035051</v>
      </c>
      <c r="N480" s="2">
        <f>SUM($D$2:$D480)</f>
        <v>2006.93</v>
      </c>
      <c r="O480" s="2">
        <f t="shared" si="23"/>
        <v>0.11959979452193581</v>
      </c>
      <c r="P480" s="2" cm="1">
        <f t="array" ref="P480">SUMPRODUCT((O480&gt;$T$9:$T$14)*(O480&lt;=$U$9:$U$14),$S$9:$S$14)</f>
        <v>3</v>
      </c>
    </row>
    <row r="481" spans="1:16" x14ac:dyDescent="0.25">
      <c r="A481">
        <v>585</v>
      </c>
      <c r="B481">
        <v>1372</v>
      </c>
      <c r="C481">
        <v>800</v>
      </c>
      <c r="D481">
        <v>5.46</v>
      </c>
      <c r="E481">
        <v>14225</v>
      </c>
      <c r="F481">
        <v>0</v>
      </c>
      <c r="G481">
        <v>14225000</v>
      </c>
      <c r="H481">
        <v>7</v>
      </c>
      <c r="I481">
        <v>2300</v>
      </c>
      <c r="J481" s="2">
        <f t="shared" si="22"/>
        <v>12558</v>
      </c>
      <c r="K481">
        <v>480</v>
      </c>
      <c r="L481" s="3">
        <f>SUM($I$2:$I481)</f>
        <v>5525250</v>
      </c>
      <c r="M481" s="3">
        <f>SUM($J$2:$J481)</f>
        <v>19047609</v>
      </c>
      <c r="N481" s="2">
        <f>SUM($D$2:$D481)</f>
        <v>2012.39</v>
      </c>
      <c r="O481" s="2">
        <f t="shared" si="23"/>
        <v>0.11992517451928987</v>
      </c>
      <c r="P481" s="2" cm="1">
        <f t="array" ref="P481">SUMPRODUCT((O481&gt;$T$9:$T$14)*(O481&lt;=$U$9:$U$14),$S$9:$S$14)</f>
        <v>3</v>
      </c>
    </row>
    <row r="482" spans="1:16" x14ac:dyDescent="0.25">
      <c r="A482">
        <v>1081</v>
      </c>
      <c r="B482">
        <v>707</v>
      </c>
      <c r="C482">
        <v>403</v>
      </c>
      <c r="D482">
        <v>4.1900000000000004</v>
      </c>
      <c r="E482">
        <v>19390</v>
      </c>
      <c r="F482">
        <v>6</v>
      </c>
      <c r="G482">
        <v>19390060</v>
      </c>
      <c r="H482">
        <v>12</v>
      </c>
      <c r="I482">
        <v>2300</v>
      </c>
      <c r="J482" s="2">
        <f t="shared" si="22"/>
        <v>9637</v>
      </c>
      <c r="K482">
        <v>481</v>
      </c>
      <c r="L482" s="3">
        <f>SUM($I$2:$I482)</f>
        <v>5527550</v>
      </c>
      <c r="M482" s="3">
        <f>SUM($J$2:$J482)</f>
        <v>19057246</v>
      </c>
      <c r="N482" s="2">
        <f>SUM($D$2:$D482)</f>
        <v>2016.5800000000002</v>
      </c>
      <c r="O482" s="2">
        <f t="shared" si="23"/>
        <v>0.12017487089088574</v>
      </c>
      <c r="P482" s="2" cm="1">
        <f t="array" ref="P482">SUMPRODUCT((O482&gt;$T$9:$T$14)*(O482&lt;=$U$9:$U$14),$S$9:$S$14)</f>
        <v>3</v>
      </c>
    </row>
    <row r="483" spans="1:16" x14ac:dyDescent="0.25">
      <c r="A483">
        <v>1425</v>
      </c>
      <c r="B483">
        <v>257</v>
      </c>
      <c r="C483">
        <v>1380</v>
      </c>
      <c r="D483">
        <v>2.62</v>
      </c>
      <c r="E483">
        <v>46941</v>
      </c>
      <c r="F483">
        <v>0</v>
      </c>
      <c r="G483">
        <v>46941000</v>
      </c>
      <c r="H483">
        <v>400</v>
      </c>
      <c r="I483">
        <v>2300</v>
      </c>
      <c r="J483" s="2">
        <f t="shared" si="22"/>
        <v>6026</v>
      </c>
      <c r="K483">
        <v>482</v>
      </c>
      <c r="L483" s="3">
        <f>SUM($I$2:$I483)</f>
        <v>5529850</v>
      </c>
      <c r="M483" s="3">
        <f>SUM($J$2:$J483)</f>
        <v>19063272</v>
      </c>
      <c r="N483" s="2">
        <f>SUM($D$2:$D483)</f>
        <v>2019.2</v>
      </c>
      <c r="O483" s="2">
        <f t="shared" si="23"/>
        <v>0.1203310056148908</v>
      </c>
      <c r="P483" s="2" cm="1">
        <f t="array" ref="P483">SUMPRODUCT((O483&gt;$T$9:$T$14)*(O483&lt;=$U$9:$U$14),$S$9:$S$14)</f>
        <v>3</v>
      </c>
    </row>
    <row r="484" spans="1:16" x14ac:dyDescent="0.25">
      <c r="A484">
        <v>483</v>
      </c>
      <c r="B484">
        <v>1270</v>
      </c>
      <c r="C484">
        <v>667</v>
      </c>
      <c r="D484">
        <v>2.2999999999999998</v>
      </c>
      <c r="E484">
        <v>17080</v>
      </c>
      <c r="F484">
        <v>0</v>
      </c>
      <c r="G484">
        <v>17080000</v>
      </c>
      <c r="H484">
        <v>11</v>
      </c>
      <c r="I484">
        <v>2300</v>
      </c>
      <c r="J484" s="2">
        <f t="shared" si="22"/>
        <v>5290</v>
      </c>
      <c r="K484">
        <v>483</v>
      </c>
      <c r="L484" s="3">
        <f>SUM($I$2:$I484)</f>
        <v>5532150</v>
      </c>
      <c r="M484" s="3">
        <f>SUM($J$2:$J484)</f>
        <v>19068562</v>
      </c>
      <c r="N484" s="2">
        <f>SUM($D$2:$D484)</f>
        <v>2021.5</v>
      </c>
      <c r="O484" s="2">
        <f t="shared" si="23"/>
        <v>0.12046807044894103</v>
      </c>
      <c r="P484" s="2" cm="1">
        <f t="array" ref="P484">SUMPRODUCT((O484&gt;$T$9:$T$14)*(O484&lt;=$U$9:$U$14),$S$9:$S$14)</f>
        <v>3</v>
      </c>
    </row>
    <row r="485" spans="1:16" x14ac:dyDescent="0.25">
      <c r="A485">
        <v>437</v>
      </c>
      <c r="B485">
        <v>1224</v>
      </c>
      <c r="C485">
        <v>607</v>
      </c>
      <c r="D485">
        <v>2.27</v>
      </c>
      <c r="E485">
        <v>14243</v>
      </c>
      <c r="F485">
        <v>0</v>
      </c>
      <c r="G485">
        <v>14243000</v>
      </c>
      <c r="H485">
        <v>7</v>
      </c>
      <c r="I485">
        <v>2300</v>
      </c>
      <c r="J485" s="2">
        <f t="shared" si="22"/>
        <v>5221</v>
      </c>
      <c r="K485">
        <v>484</v>
      </c>
      <c r="L485" s="3">
        <f>SUM($I$2:$I485)</f>
        <v>5534450</v>
      </c>
      <c r="M485" s="3">
        <f>SUM($J$2:$J485)</f>
        <v>19073783</v>
      </c>
      <c r="N485" s="2">
        <f>SUM($D$2:$D485)</f>
        <v>2023.77</v>
      </c>
      <c r="O485" s="2">
        <f t="shared" si="23"/>
        <v>0.12060334748080802</v>
      </c>
      <c r="P485" s="2" cm="1">
        <f t="array" ref="P485">SUMPRODUCT((O485&gt;$T$9:$T$14)*(O485&lt;=$U$9:$U$14),$S$9:$S$14)</f>
        <v>3</v>
      </c>
    </row>
    <row r="486" spans="1:16" x14ac:dyDescent="0.25">
      <c r="A486">
        <v>1084</v>
      </c>
      <c r="B486">
        <v>710</v>
      </c>
      <c r="C486">
        <v>411</v>
      </c>
      <c r="D486">
        <v>2</v>
      </c>
      <c r="E486">
        <v>17040</v>
      </c>
      <c r="F486">
        <v>0</v>
      </c>
      <c r="G486">
        <v>17040000</v>
      </c>
      <c r="H486">
        <v>11</v>
      </c>
      <c r="I486">
        <v>2300</v>
      </c>
      <c r="J486" s="2">
        <f t="shared" si="22"/>
        <v>4600</v>
      </c>
      <c r="K486">
        <v>485</v>
      </c>
      <c r="L486" s="3">
        <f>SUM($I$2:$I486)</f>
        <v>5536750</v>
      </c>
      <c r="M486" s="3">
        <f>SUM($J$2:$J486)</f>
        <v>19078383</v>
      </c>
      <c r="N486" s="2">
        <f>SUM($D$2:$D486)</f>
        <v>2025.77</v>
      </c>
      <c r="O486" s="2">
        <f t="shared" si="23"/>
        <v>0.12072253429302561</v>
      </c>
      <c r="P486" s="2" cm="1">
        <f t="array" ref="P486">SUMPRODUCT((O486&gt;$T$9:$T$14)*(O486&lt;=$U$9:$U$14),$S$9:$S$14)</f>
        <v>3</v>
      </c>
    </row>
    <row r="487" spans="1:16" x14ac:dyDescent="0.25">
      <c r="A487">
        <v>465</v>
      </c>
      <c r="B487">
        <v>1252</v>
      </c>
      <c r="C487">
        <v>646</v>
      </c>
      <c r="D487">
        <v>1.21</v>
      </c>
      <c r="E487">
        <v>18070</v>
      </c>
      <c r="F487">
        <v>0</v>
      </c>
      <c r="G487">
        <v>18070000</v>
      </c>
      <c r="H487">
        <v>11</v>
      </c>
      <c r="I487">
        <v>2300</v>
      </c>
      <c r="J487" s="2">
        <f t="shared" si="22"/>
        <v>2783</v>
      </c>
      <c r="K487">
        <v>486</v>
      </c>
      <c r="L487" s="3">
        <f>SUM($I$2:$I487)</f>
        <v>5539050</v>
      </c>
      <c r="M487" s="3">
        <f>SUM($J$2:$J487)</f>
        <v>19081166</v>
      </c>
      <c r="N487" s="2">
        <f>SUM($D$2:$D487)</f>
        <v>2026.98</v>
      </c>
      <c r="O487" s="2">
        <f t="shared" si="23"/>
        <v>0.12079464231441726</v>
      </c>
      <c r="P487" s="2" cm="1">
        <f t="array" ref="P487">SUMPRODUCT((O487&gt;$T$9:$T$14)*(O487&lt;=$U$9:$U$14),$S$9:$S$14)</f>
        <v>3</v>
      </c>
    </row>
    <row r="488" spans="1:16" x14ac:dyDescent="0.25">
      <c r="A488">
        <v>667</v>
      </c>
      <c r="B488">
        <v>1454</v>
      </c>
      <c r="C488">
        <v>901</v>
      </c>
      <c r="D488">
        <v>1.19</v>
      </c>
      <c r="E488">
        <v>16460</v>
      </c>
      <c r="F488">
        <v>12.5</v>
      </c>
      <c r="G488">
        <v>16460125</v>
      </c>
      <c r="H488">
        <v>10</v>
      </c>
      <c r="I488">
        <v>2300</v>
      </c>
      <c r="J488" s="2">
        <f t="shared" si="22"/>
        <v>2737</v>
      </c>
      <c r="K488">
        <v>487</v>
      </c>
      <c r="L488" s="3">
        <f>SUM($I$2:$I488)</f>
        <v>5541350</v>
      </c>
      <c r="M488" s="3">
        <f>SUM($J$2:$J488)</f>
        <v>19083903</v>
      </c>
      <c r="N488" s="2">
        <f>SUM($D$2:$D488)</f>
        <v>2028.17</v>
      </c>
      <c r="O488" s="2">
        <f t="shared" si="23"/>
        <v>0.12086555846768675</v>
      </c>
      <c r="P488" s="2" cm="1">
        <f t="array" ref="P488">SUMPRODUCT((O488&gt;$T$9:$T$14)*(O488&lt;=$U$9:$U$14),$S$9:$S$14)</f>
        <v>3</v>
      </c>
    </row>
    <row r="489" spans="1:16" x14ac:dyDescent="0.25">
      <c r="A489">
        <v>671</v>
      </c>
      <c r="B489">
        <v>1458</v>
      </c>
      <c r="C489">
        <v>905</v>
      </c>
      <c r="D489">
        <v>15.87</v>
      </c>
      <c r="E489">
        <v>17025</v>
      </c>
      <c r="F489">
        <v>0</v>
      </c>
      <c r="G489">
        <v>17025000</v>
      </c>
      <c r="H489">
        <v>11</v>
      </c>
      <c r="I489">
        <v>2250</v>
      </c>
      <c r="J489" s="2">
        <f t="shared" si="22"/>
        <v>35707.5</v>
      </c>
      <c r="K489">
        <v>488</v>
      </c>
      <c r="L489" s="3">
        <f>SUM($I$2:$I489)</f>
        <v>5543600</v>
      </c>
      <c r="M489" s="3">
        <f>SUM($J$2:$J489)</f>
        <v>19119610.5</v>
      </c>
      <c r="N489" s="2">
        <f>SUM($D$2:$D489)</f>
        <v>2044.04</v>
      </c>
      <c r="O489" s="2">
        <f t="shared" si="23"/>
        <v>0.1218113058226334</v>
      </c>
      <c r="P489" s="2" cm="1">
        <f t="array" ref="P489">SUMPRODUCT((O489&gt;$T$9:$T$14)*(O489&lt;=$U$9:$U$14),$S$9:$S$14)</f>
        <v>3</v>
      </c>
    </row>
    <row r="490" spans="1:16" x14ac:dyDescent="0.25">
      <c r="A490">
        <v>20</v>
      </c>
      <c r="B490">
        <v>816</v>
      </c>
      <c r="C490">
        <v>1568</v>
      </c>
      <c r="D490">
        <v>6.73</v>
      </c>
      <c r="E490">
        <v>49595</v>
      </c>
      <c r="F490">
        <v>0</v>
      </c>
      <c r="G490">
        <v>49595000</v>
      </c>
      <c r="H490">
        <v>417</v>
      </c>
      <c r="I490">
        <v>2250</v>
      </c>
      <c r="J490" s="2">
        <f t="shared" si="22"/>
        <v>15142.500000000002</v>
      </c>
      <c r="K490">
        <v>489</v>
      </c>
      <c r="L490" s="3">
        <f>SUM($I$2:$I490)</f>
        <v>5545850</v>
      </c>
      <c r="M490" s="3">
        <f>SUM($J$2:$J490)</f>
        <v>19134753</v>
      </c>
      <c r="N490" s="2">
        <f>SUM($D$2:$D490)</f>
        <v>2050.77</v>
      </c>
      <c r="O490" s="2">
        <f t="shared" si="23"/>
        <v>0.12221236944574564</v>
      </c>
      <c r="P490" s="2" cm="1">
        <f t="array" ref="P490">SUMPRODUCT((O490&gt;$T$9:$T$14)*(O490&lt;=$U$9:$U$14),$S$9:$S$14)</f>
        <v>3</v>
      </c>
    </row>
    <row r="491" spans="1:16" x14ac:dyDescent="0.25">
      <c r="A491">
        <v>978</v>
      </c>
      <c r="B491">
        <v>604</v>
      </c>
      <c r="C491">
        <v>270</v>
      </c>
      <c r="D491">
        <v>2.29</v>
      </c>
      <c r="E491">
        <v>17020</v>
      </c>
      <c r="F491">
        <v>0</v>
      </c>
      <c r="G491">
        <v>17020000</v>
      </c>
      <c r="H491">
        <v>11</v>
      </c>
      <c r="I491">
        <v>2250</v>
      </c>
      <c r="J491" s="2">
        <f t="shared" si="22"/>
        <v>5152.5</v>
      </c>
      <c r="K491">
        <v>490</v>
      </c>
      <c r="L491" s="3">
        <f>SUM($I$2:$I491)</f>
        <v>5548100</v>
      </c>
      <c r="M491" s="3">
        <f>SUM($J$2:$J491)</f>
        <v>19139905.5</v>
      </c>
      <c r="N491" s="2">
        <f>SUM($D$2:$D491)</f>
        <v>2053.06</v>
      </c>
      <c r="O491" s="2">
        <f t="shared" si="23"/>
        <v>0.12234883834573479</v>
      </c>
      <c r="P491" s="2" cm="1">
        <f t="array" ref="P491">SUMPRODUCT((O491&gt;$T$9:$T$14)*(O491&lt;=$U$9:$U$14),$S$9:$S$14)</f>
        <v>3</v>
      </c>
    </row>
    <row r="492" spans="1:16" x14ac:dyDescent="0.25">
      <c r="A492">
        <v>1033</v>
      </c>
      <c r="B492">
        <v>659</v>
      </c>
      <c r="C492">
        <v>342</v>
      </c>
      <c r="D492">
        <v>3.23</v>
      </c>
      <c r="E492">
        <v>14620</v>
      </c>
      <c r="F492">
        <v>2.2999999999999998</v>
      </c>
      <c r="G492">
        <v>14620023</v>
      </c>
      <c r="H492">
        <v>7</v>
      </c>
      <c r="I492">
        <v>2200</v>
      </c>
      <c r="J492" s="2">
        <f t="shared" si="22"/>
        <v>7106</v>
      </c>
      <c r="K492">
        <v>491</v>
      </c>
      <c r="L492" s="3">
        <f>SUM($I$2:$I492)</f>
        <v>5550300</v>
      </c>
      <c r="M492" s="3">
        <f>SUM($J$2:$J492)</f>
        <v>19147011.5</v>
      </c>
      <c r="N492" s="2">
        <f>SUM($D$2:$D492)</f>
        <v>2056.29</v>
      </c>
      <c r="O492" s="2">
        <f t="shared" si="23"/>
        <v>0.12254132504746622</v>
      </c>
      <c r="P492" s="2" cm="1">
        <f t="array" ref="P492">SUMPRODUCT((O492&gt;$T$9:$T$14)*(O492&lt;=$U$9:$U$14),$S$9:$S$14)</f>
        <v>3</v>
      </c>
    </row>
    <row r="493" spans="1:16" x14ac:dyDescent="0.25">
      <c r="A493">
        <v>1798</v>
      </c>
      <c r="B493">
        <v>1798</v>
      </c>
      <c r="C493">
        <v>596</v>
      </c>
      <c r="D493">
        <v>3.01</v>
      </c>
      <c r="E493">
        <v>17140</v>
      </c>
      <c r="F493">
        <v>0</v>
      </c>
      <c r="G493">
        <v>17140000</v>
      </c>
      <c r="H493">
        <v>11</v>
      </c>
      <c r="I493">
        <v>2200</v>
      </c>
      <c r="J493" s="2">
        <f t="shared" si="22"/>
        <v>6621.9999999999991</v>
      </c>
      <c r="K493">
        <v>492</v>
      </c>
      <c r="L493" s="3">
        <f>SUM($I$2:$I493)</f>
        <v>5552500</v>
      </c>
      <c r="M493" s="3">
        <f>SUM($J$2:$J493)</f>
        <v>19153633.5</v>
      </c>
      <c r="N493" s="2">
        <f>SUM($D$2:$D493)</f>
        <v>2059.3000000000002</v>
      </c>
      <c r="O493" s="2">
        <f t="shared" si="23"/>
        <v>0.12272070119985372</v>
      </c>
      <c r="P493" s="2" cm="1">
        <f t="array" ref="P493">SUMPRODUCT((O493&gt;$T$9:$T$14)*(O493&lt;=$U$9:$U$14),$S$9:$S$14)</f>
        <v>3</v>
      </c>
    </row>
    <row r="494" spans="1:16" x14ac:dyDescent="0.25">
      <c r="A494">
        <v>545</v>
      </c>
      <c r="B494">
        <v>1332</v>
      </c>
      <c r="C494">
        <v>750</v>
      </c>
      <c r="D494">
        <v>1.82</v>
      </c>
      <c r="E494">
        <v>13605</v>
      </c>
      <c r="F494">
        <v>0</v>
      </c>
      <c r="G494">
        <v>13605000</v>
      </c>
      <c r="H494">
        <v>6</v>
      </c>
      <c r="I494">
        <v>2200</v>
      </c>
      <c r="J494" s="2">
        <f t="shared" si="22"/>
        <v>4004</v>
      </c>
      <c r="K494">
        <v>493</v>
      </c>
      <c r="L494" s="3">
        <f>SUM($I$2:$I494)</f>
        <v>5554700</v>
      </c>
      <c r="M494" s="3">
        <f>SUM($J$2:$J494)</f>
        <v>19157637.5</v>
      </c>
      <c r="N494" s="2">
        <f>SUM($D$2:$D494)</f>
        <v>2061.1200000000003</v>
      </c>
      <c r="O494" s="2">
        <f t="shared" si="23"/>
        <v>0.12282916119897175</v>
      </c>
      <c r="P494" s="2" cm="1">
        <f t="array" ref="P494">SUMPRODUCT((O494&gt;$T$9:$T$14)*(O494&lt;=$U$9:$U$14),$S$9:$S$14)</f>
        <v>3</v>
      </c>
    </row>
    <row r="495" spans="1:16" x14ac:dyDescent="0.25">
      <c r="A495">
        <v>967</v>
      </c>
      <c r="B495">
        <v>593</v>
      </c>
      <c r="C495">
        <v>255</v>
      </c>
      <c r="D495">
        <v>1.6</v>
      </c>
      <c r="E495">
        <v>17250</v>
      </c>
      <c r="F495">
        <v>0</v>
      </c>
      <c r="G495">
        <v>17250000</v>
      </c>
      <c r="H495">
        <v>11</v>
      </c>
      <c r="I495">
        <v>2200</v>
      </c>
      <c r="J495" s="2">
        <f t="shared" si="22"/>
        <v>3520</v>
      </c>
      <c r="K495">
        <v>494</v>
      </c>
      <c r="L495" s="3">
        <f>SUM($I$2:$I495)</f>
        <v>5556900</v>
      </c>
      <c r="M495" s="3">
        <f>SUM($J$2:$J495)</f>
        <v>19161157.5</v>
      </c>
      <c r="N495" s="2">
        <f>SUM($D$2:$D495)</f>
        <v>2062.7200000000003</v>
      </c>
      <c r="O495" s="2">
        <f t="shared" si="23"/>
        <v>0.12292451064874582</v>
      </c>
      <c r="P495" s="2" cm="1">
        <f t="array" ref="P495">SUMPRODUCT((O495&gt;$T$9:$T$14)*(O495&lt;=$U$9:$U$14),$S$9:$S$14)</f>
        <v>3</v>
      </c>
    </row>
    <row r="496" spans="1:16" x14ac:dyDescent="0.25">
      <c r="A496">
        <v>975</v>
      </c>
      <c r="B496">
        <v>601</v>
      </c>
      <c r="C496">
        <v>265</v>
      </c>
      <c r="D496">
        <v>1.44</v>
      </c>
      <c r="E496">
        <v>19433</v>
      </c>
      <c r="F496">
        <v>0</v>
      </c>
      <c r="G496">
        <v>19433000</v>
      </c>
      <c r="H496">
        <v>12</v>
      </c>
      <c r="I496">
        <v>2200</v>
      </c>
      <c r="J496" s="2">
        <f t="shared" si="22"/>
        <v>3168</v>
      </c>
      <c r="K496">
        <v>495</v>
      </c>
      <c r="L496" s="3">
        <f>SUM($I$2:$I496)</f>
        <v>5559100</v>
      </c>
      <c r="M496" s="3">
        <f>SUM($J$2:$J496)</f>
        <v>19164325.5</v>
      </c>
      <c r="N496" s="2">
        <f>SUM($D$2:$D496)</f>
        <v>2064.1600000000003</v>
      </c>
      <c r="O496" s="2">
        <f t="shared" si="23"/>
        <v>0.1230103251535425</v>
      </c>
      <c r="P496" s="2" cm="1">
        <f t="array" ref="P496">SUMPRODUCT((O496&gt;$T$9:$T$14)*(O496&lt;=$U$9:$U$14),$S$9:$S$14)</f>
        <v>3</v>
      </c>
    </row>
    <row r="497" spans="1:16" x14ac:dyDescent="0.25">
      <c r="A497">
        <v>918</v>
      </c>
      <c r="B497">
        <v>544</v>
      </c>
      <c r="C497">
        <v>192</v>
      </c>
      <c r="D497">
        <v>1.43</v>
      </c>
      <c r="E497">
        <v>16490</v>
      </c>
      <c r="F497">
        <v>1.9</v>
      </c>
      <c r="G497">
        <v>16490019</v>
      </c>
      <c r="H497">
        <v>10</v>
      </c>
      <c r="I497">
        <v>2200</v>
      </c>
      <c r="J497" s="2">
        <f t="shared" si="22"/>
        <v>3146</v>
      </c>
      <c r="K497">
        <v>496</v>
      </c>
      <c r="L497" s="3">
        <f>SUM($I$2:$I497)</f>
        <v>5561300</v>
      </c>
      <c r="M497" s="3">
        <f>SUM($J$2:$J497)</f>
        <v>19167471.5</v>
      </c>
      <c r="N497" s="2">
        <f>SUM($D$2:$D497)</f>
        <v>2065.59</v>
      </c>
      <c r="O497" s="2">
        <f t="shared" si="23"/>
        <v>0.12309554372427808</v>
      </c>
      <c r="P497" s="2" cm="1">
        <f t="array" ref="P497">SUMPRODUCT((O497&gt;$T$9:$T$14)*(O497&lt;=$U$9:$U$14),$S$9:$S$14)</f>
        <v>3</v>
      </c>
    </row>
    <row r="498" spans="1:16" x14ac:dyDescent="0.25">
      <c r="A498">
        <v>1419</v>
      </c>
      <c r="B498">
        <v>251</v>
      </c>
      <c r="C498">
        <v>1374</v>
      </c>
      <c r="D498">
        <v>1.17</v>
      </c>
      <c r="E498">
        <v>46969</v>
      </c>
      <c r="F498">
        <v>0</v>
      </c>
      <c r="G498">
        <v>46969000</v>
      </c>
      <c r="H498">
        <v>400</v>
      </c>
      <c r="I498">
        <v>2200</v>
      </c>
      <c r="J498" s="2">
        <f t="shared" si="22"/>
        <v>2574</v>
      </c>
      <c r="K498">
        <v>497</v>
      </c>
      <c r="L498" s="3">
        <f>SUM($I$2:$I498)</f>
        <v>5563500</v>
      </c>
      <c r="M498" s="3">
        <f>SUM($J$2:$J498)</f>
        <v>19170045.5</v>
      </c>
      <c r="N498" s="2">
        <f>SUM($D$2:$D498)</f>
        <v>2066.7600000000002</v>
      </c>
      <c r="O498" s="2">
        <f t="shared" si="23"/>
        <v>0.12316526800942539</v>
      </c>
      <c r="P498" s="2" cm="1">
        <f t="array" ref="P498">SUMPRODUCT((O498&gt;$T$9:$T$14)*(O498&lt;=$U$9:$U$14),$S$9:$S$14)</f>
        <v>3</v>
      </c>
    </row>
    <row r="499" spans="1:16" x14ac:dyDescent="0.25">
      <c r="A499">
        <v>1467</v>
      </c>
      <c r="B499">
        <v>299</v>
      </c>
      <c r="C499">
        <v>1427</v>
      </c>
      <c r="D499">
        <v>1.0900000000000001</v>
      </c>
      <c r="E499">
        <v>46030</v>
      </c>
      <c r="F499">
        <v>0</v>
      </c>
      <c r="G499">
        <v>46030000</v>
      </c>
      <c r="H499">
        <v>144</v>
      </c>
      <c r="I499">
        <v>2200</v>
      </c>
      <c r="J499" s="2">
        <f t="shared" si="22"/>
        <v>2398</v>
      </c>
      <c r="K499">
        <v>498</v>
      </c>
      <c r="L499" s="3">
        <f>SUM($I$2:$I499)</f>
        <v>5565700</v>
      </c>
      <c r="M499" s="3">
        <f>SUM($J$2:$J499)</f>
        <v>19172443.5</v>
      </c>
      <c r="N499" s="2">
        <f>SUM($D$2:$D499)</f>
        <v>2067.8500000000004</v>
      </c>
      <c r="O499" s="2">
        <f t="shared" si="23"/>
        <v>0.12323022482208398</v>
      </c>
      <c r="P499" s="2" cm="1">
        <f t="array" ref="P499">SUMPRODUCT((O499&gt;$T$9:$T$14)*(O499&lt;=$U$9:$U$14),$S$9:$S$14)</f>
        <v>3</v>
      </c>
    </row>
    <row r="500" spans="1:16" x14ac:dyDescent="0.25">
      <c r="A500">
        <v>1420</v>
      </c>
      <c r="B500">
        <v>252</v>
      </c>
      <c r="C500">
        <v>1375</v>
      </c>
      <c r="D500">
        <v>0.9</v>
      </c>
      <c r="E500">
        <v>46966</v>
      </c>
      <c r="F500">
        <v>0</v>
      </c>
      <c r="G500">
        <v>46966000</v>
      </c>
      <c r="H500">
        <v>400</v>
      </c>
      <c r="I500">
        <v>2200</v>
      </c>
      <c r="J500" s="2">
        <f t="shared" si="22"/>
        <v>1980</v>
      </c>
      <c r="K500">
        <v>499</v>
      </c>
      <c r="L500" s="3">
        <f>SUM($I$2:$I500)</f>
        <v>5567900</v>
      </c>
      <c r="M500" s="3">
        <f>SUM($J$2:$J500)</f>
        <v>19174423.5</v>
      </c>
      <c r="N500" s="2">
        <f>SUM($D$2:$D500)</f>
        <v>2068.7500000000005</v>
      </c>
      <c r="O500" s="2">
        <f t="shared" si="23"/>
        <v>0.12328385888758191</v>
      </c>
      <c r="P500" s="2" cm="1">
        <f t="array" ref="P500">SUMPRODUCT((O500&gt;$T$9:$T$14)*(O500&lt;=$U$9:$U$14),$S$9:$S$14)</f>
        <v>3</v>
      </c>
    </row>
    <row r="501" spans="1:16" x14ac:dyDescent="0.25">
      <c r="A501">
        <v>846</v>
      </c>
      <c r="B501">
        <v>472</v>
      </c>
      <c r="C501">
        <v>89</v>
      </c>
      <c r="D501">
        <v>0.32</v>
      </c>
      <c r="E501">
        <v>16530</v>
      </c>
      <c r="F501">
        <v>0</v>
      </c>
      <c r="G501">
        <v>16530000</v>
      </c>
      <c r="H501">
        <v>10</v>
      </c>
      <c r="I501">
        <v>2200</v>
      </c>
      <c r="J501" s="2">
        <f t="shared" si="22"/>
        <v>704</v>
      </c>
      <c r="K501">
        <v>500</v>
      </c>
      <c r="L501" s="3">
        <f>SUM($I$2:$I501)</f>
        <v>5570100</v>
      </c>
      <c r="M501" s="3">
        <f>SUM($J$2:$J501)</f>
        <v>19175127.5</v>
      </c>
      <c r="N501" s="2">
        <f>SUM($D$2:$D501)</f>
        <v>2069.0700000000006</v>
      </c>
      <c r="O501" s="2">
        <f t="shared" si="23"/>
        <v>0.12330292877753674</v>
      </c>
      <c r="P501" s="2" cm="1">
        <f t="array" ref="P501">SUMPRODUCT((O501&gt;$T$9:$T$14)*(O501&lt;=$U$9:$U$14),$S$9:$S$14)</f>
        <v>3</v>
      </c>
    </row>
    <row r="502" spans="1:16" x14ac:dyDescent="0.25">
      <c r="A502">
        <v>447</v>
      </c>
      <c r="B502">
        <v>1234</v>
      </c>
      <c r="C502">
        <v>620</v>
      </c>
      <c r="D502">
        <v>12.58</v>
      </c>
      <c r="E502">
        <v>14390</v>
      </c>
      <c r="F502">
        <v>0</v>
      </c>
      <c r="G502">
        <v>14390000</v>
      </c>
      <c r="H502">
        <v>7</v>
      </c>
      <c r="I502">
        <v>2150</v>
      </c>
      <c r="J502" s="2">
        <f t="shared" si="22"/>
        <v>27047</v>
      </c>
      <c r="K502">
        <v>501</v>
      </c>
      <c r="L502" s="3">
        <f>SUM($I$2:$I502)</f>
        <v>5572250</v>
      </c>
      <c r="M502" s="3">
        <f>SUM($J$2:$J502)</f>
        <v>19202174.5</v>
      </c>
      <c r="N502" s="2">
        <f>SUM($D$2:$D502)</f>
        <v>2081.6500000000005</v>
      </c>
      <c r="O502" s="2">
        <f t="shared" si="23"/>
        <v>0.12405261382638544</v>
      </c>
      <c r="P502" s="2" cm="1">
        <f t="array" ref="P502">SUMPRODUCT((O502&gt;$T$9:$T$14)*(O502&lt;=$U$9:$U$14),$S$9:$S$14)</f>
        <v>3</v>
      </c>
    </row>
    <row r="503" spans="1:16" x14ac:dyDescent="0.25">
      <c r="A503">
        <v>936</v>
      </c>
      <c r="B503">
        <v>562</v>
      </c>
      <c r="C503">
        <v>217</v>
      </c>
      <c r="D503">
        <v>7.1</v>
      </c>
      <c r="E503">
        <v>16110</v>
      </c>
      <c r="F503">
        <v>0</v>
      </c>
      <c r="G503">
        <v>16110000</v>
      </c>
      <c r="H503">
        <v>9</v>
      </c>
      <c r="I503">
        <v>2150</v>
      </c>
      <c r="J503" s="2">
        <f t="shared" si="22"/>
        <v>15265</v>
      </c>
      <c r="K503">
        <v>502</v>
      </c>
      <c r="L503" s="3">
        <f>SUM($I$2:$I503)</f>
        <v>5574400</v>
      </c>
      <c r="M503" s="3">
        <f>SUM($J$2:$J503)</f>
        <v>19217439.5</v>
      </c>
      <c r="N503" s="2">
        <f>SUM($D$2:$D503)</f>
        <v>2088.7500000000005</v>
      </c>
      <c r="O503" s="2">
        <f t="shared" si="23"/>
        <v>0.12447572700975792</v>
      </c>
      <c r="P503" s="2" cm="1">
        <f t="array" ref="P503">SUMPRODUCT((O503&gt;$T$9:$T$14)*(O503&lt;=$U$9:$U$14),$S$9:$S$14)</f>
        <v>3</v>
      </c>
    </row>
    <row r="504" spans="1:16" x14ac:dyDescent="0.25">
      <c r="A504">
        <v>1526</v>
      </c>
      <c r="B504">
        <v>358</v>
      </c>
      <c r="C504">
        <v>1499</v>
      </c>
      <c r="D504">
        <v>0.84</v>
      </c>
      <c r="E504">
        <v>42280</v>
      </c>
      <c r="F504">
        <v>0</v>
      </c>
      <c r="G504">
        <v>42280000</v>
      </c>
      <c r="H504">
        <v>115</v>
      </c>
      <c r="I504">
        <v>2150</v>
      </c>
      <c r="J504" s="2">
        <f t="shared" si="22"/>
        <v>1806</v>
      </c>
      <c r="K504">
        <v>503</v>
      </c>
      <c r="L504" s="3">
        <f>SUM($I$2:$I504)</f>
        <v>5576550</v>
      </c>
      <c r="M504" s="3">
        <f>SUM($J$2:$J504)</f>
        <v>19219245.5</v>
      </c>
      <c r="N504" s="2">
        <f>SUM($D$2:$D504)</f>
        <v>2089.5900000000006</v>
      </c>
      <c r="O504" s="2">
        <f t="shared" si="23"/>
        <v>0.12452578547088933</v>
      </c>
      <c r="P504" s="2" cm="1">
        <f t="array" ref="P504">SUMPRODUCT((O504&gt;$T$9:$T$14)*(O504&lt;=$U$9:$U$14),$S$9:$S$14)</f>
        <v>3</v>
      </c>
    </row>
    <row r="505" spans="1:16" x14ac:dyDescent="0.25">
      <c r="A505">
        <v>500</v>
      </c>
      <c r="B505">
        <v>1287</v>
      </c>
      <c r="C505">
        <v>687</v>
      </c>
      <c r="D505">
        <v>0.61</v>
      </c>
      <c r="E505">
        <v>17230</v>
      </c>
      <c r="F505">
        <v>0.6</v>
      </c>
      <c r="G505">
        <v>17230006</v>
      </c>
      <c r="H505">
        <v>11</v>
      </c>
      <c r="I505">
        <v>2150</v>
      </c>
      <c r="J505" s="2">
        <f t="shared" si="22"/>
        <v>1311.5</v>
      </c>
      <c r="K505">
        <v>504</v>
      </c>
      <c r="L505" s="3">
        <f>SUM($I$2:$I505)</f>
        <v>5578700</v>
      </c>
      <c r="M505" s="3">
        <f>SUM($J$2:$J505)</f>
        <v>19220557</v>
      </c>
      <c r="N505" s="2">
        <f>SUM($D$2:$D505)</f>
        <v>2090.2000000000007</v>
      </c>
      <c r="O505" s="2">
        <f t="shared" si="23"/>
        <v>0.1245621374486157</v>
      </c>
      <c r="P505" s="2" cm="1">
        <f t="array" ref="P505">SUMPRODUCT((O505&gt;$T$9:$T$14)*(O505&lt;=$U$9:$U$14),$S$9:$S$14)</f>
        <v>3</v>
      </c>
    </row>
    <row r="506" spans="1:16" x14ac:dyDescent="0.25">
      <c r="A506">
        <v>541</v>
      </c>
      <c r="B506">
        <v>1328</v>
      </c>
      <c r="C506">
        <v>746</v>
      </c>
      <c r="D506">
        <v>9.2899999999999991</v>
      </c>
      <c r="E506">
        <v>16470</v>
      </c>
      <c r="F506">
        <v>0</v>
      </c>
      <c r="G506">
        <v>16470000</v>
      </c>
      <c r="H506">
        <v>10</v>
      </c>
      <c r="I506">
        <v>2100</v>
      </c>
      <c r="J506" s="2">
        <f t="shared" si="22"/>
        <v>19509</v>
      </c>
      <c r="K506">
        <v>505</v>
      </c>
      <c r="L506" s="3">
        <f>SUM($I$2:$I506)</f>
        <v>5580800</v>
      </c>
      <c r="M506" s="3">
        <f>SUM($J$2:$J506)</f>
        <v>19240066</v>
      </c>
      <c r="N506" s="2">
        <f>SUM($D$2:$D506)</f>
        <v>2099.4900000000007</v>
      </c>
      <c r="O506" s="2">
        <f t="shared" si="23"/>
        <v>0.12511576019136647</v>
      </c>
      <c r="P506" s="2" cm="1">
        <f t="array" ref="P506">SUMPRODUCT((O506&gt;$T$9:$T$14)*(O506&lt;=$U$9:$U$14),$S$9:$S$14)</f>
        <v>3</v>
      </c>
    </row>
    <row r="507" spans="1:16" x14ac:dyDescent="0.25">
      <c r="A507">
        <v>696</v>
      </c>
      <c r="B507">
        <v>1483</v>
      </c>
      <c r="C507">
        <v>935</v>
      </c>
      <c r="D507">
        <v>8.3800000000000008</v>
      </c>
      <c r="E507">
        <v>17293</v>
      </c>
      <c r="F507">
        <v>0</v>
      </c>
      <c r="G507">
        <v>17293000</v>
      </c>
      <c r="H507">
        <v>11</v>
      </c>
      <c r="I507">
        <v>2100</v>
      </c>
      <c r="J507" s="2">
        <f t="shared" si="22"/>
        <v>17598</v>
      </c>
      <c r="K507">
        <v>506</v>
      </c>
      <c r="L507" s="3">
        <f>SUM($I$2:$I507)</f>
        <v>5582900</v>
      </c>
      <c r="M507" s="3">
        <f>SUM($J$2:$J507)</f>
        <v>19257664</v>
      </c>
      <c r="N507" s="2">
        <f>SUM($D$2:$D507)</f>
        <v>2107.8700000000008</v>
      </c>
      <c r="O507" s="2">
        <f t="shared" si="23"/>
        <v>0.12561515293455822</v>
      </c>
      <c r="P507" s="2" cm="1">
        <f t="array" ref="P507">SUMPRODUCT((O507&gt;$T$9:$T$14)*(O507&lt;=$U$9:$U$14),$S$9:$S$14)</f>
        <v>3</v>
      </c>
    </row>
    <row r="508" spans="1:16" x14ac:dyDescent="0.25">
      <c r="A508">
        <v>391</v>
      </c>
      <c r="B508">
        <v>1186</v>
      </c>
      <c r="C508">
        <v>553</v>
      </c>
      <c r="D508">
        <v>6.9</v>
      </c>
      <c r="E508">
        <v>17035</v>
      </c>
      <c r="F508">
        <v>0</v>
      </c>
      <c r="G508">
        <v>17035000</v>
      </c>
      <c r="H508">
        <v>11</v>
      </c>
      <c r="I508">
        <v>2100</v>
      </c>
      <c r="J508" s="2">
        <f t="shared" si="22"/>
        <v>14490</v>
      </c>
      <c r="K508">
        <v>507</v>
      </c>
      <c r="L508" s="3">
        <f>SUM($I$2:$I508)</f>
        <v>5585000</v>
      </c>
      <c r="M508" s="3">
        <f>SUM($J$2:$J508)</f>
        <v>19272154</v>
      </c>
      <c r="N508" s="2">
        <f>SUM($D$2:$D508)</f>
        <v>2114.7700000000009</v>
      </c>
      <c r="O508" s="2">
        <f t="shared" si="23"/>
        <v>0.12602634743670896</v>
      </c>
      <c r="P508" s="2" cm="1">
        <f t="array" ref="P508">SUMPRODUCT((O508&gt;$T$9:$T$14)*(O508&lt;=$U$9:$U$14),$S$9:$S$14)</f>
        <v>3</v>
      </c>
    </row>
    <row r="509" spans="1:16" x14ac:dyDescent="0.25">
      <c r="A509">
        <v>1364</v>
      </c>
      <c r="B509">
        <v>196</v>
      </c>
      <c r="C509">
        <v>1302</v>
      </c>
      <c r="D509">
        <v>6.06</v>
      </c>
      <c r="E509">
        <v>35560</v>
      </c>
      <c r="F509">
        <v>0</v>
      </c>
      <c r="G509">
        <v>35560000</v>
      </c>
      <c r="H509">
        <v>69</v>
      </c>
      <c r="I509">
        <v>2100</v>
      </c>
      <c r="J509" s="2">
        <f t="shared" si="22"/>
        <v>12726</v>
      </c>
      <c r="K509">
        <v>508</v>
      </c>
      <c r="L509" s="3">
        <f>SUM($I$2:$I509)</f>
        <v>5587100</v>
      </c>
      <c r="M509" s="3">
        <f>SUM($J$2:$J509)</f>
        <v>19284880</v>
      </c>
      <c r="N509" s="2">
        <f>SUM($D$2:$D509)</f>
        <v>2120.8300000000008</v>
      </c>
      <c r="O509" s="2">
        <f t="shared" si="23"/>
        <v>0.12638748347772827</v>
      </c>
      <c r="P509" s="2" cm="1">
        <f t="array" ref="P509">SUMPRODUCT((O509&gt;$T$9:$T$14)*(O509&lt;=$U$9:$U$14),$S$9:$S$14)</f>
        <v>3</v>
      </c>
    </row>
    <row r="510" spans="1:16" x14ac:dyDescent="0.25">
      <c r="A510">
        <v>607</v>
      </c>
      <c r="B510">
        <v>1394</v>
      </c>
      <c r="C510">
        <v>828</v>
      </c>
      <c r="D510">
        <v>4.76</v>
      </c>
      <c r="E510">
        <v>17092</v>
      </c>
      <c r="F510">
        <v>0</v>
      </c>
      <c r="G510">
        <v>17092000</v>
      </c>
      <c r="H510">
        <v>11</v>
      </c>
      <c r="I510">
        <v>2100</v>
      </c>
      <c r="J510" s="2">
        <f t="shared" si="22"/>
        <v>9996</v>
      </c>
      <c r="K510">
        <v>509</v>
      </c>
      <c r="L510" s="3">
        <f>SUM($I$2:$I510)</f>
        <v>5589200</v>
      </c>
      <c r="M510" s="3">
        <f>SUM($J$2:$J510)</f>
        <v>19294876</v>
      </c>
      <c r="N510" s="2">
        <f>SUM($D$2:$D510)</f>
        <v>2125.5900000000011</v>
      </c>
      <c r="O510" s="2">
        <f t="shared" si="23"/>
        <v>0.12667114809080618</v>
      </c>
      <c r="P510" s="2" cm="1">
        <f t="array" ref="P510">SUMPRODUCT((O510&gt;$T$9:$T$14)*(O510&lt;=$U$9:$U$14),$S$9:$S$14)</f>
        <v>3</v>
      </c>
    </row>
    <row r="511" spans="1:16" x14ac:dyDescent="0.25">
      <c r="A511">
        <v>929</v>
      </c>
      <c r="B511">
        <v>555</v>
      </c>
      <c r="C511">
        <v>205</v>
      </c>
      <c r="D511">
        <v>2.5299999999999998</v>
      </c>
      <c r="E511">
        <v>19400</v>
      </c>
      <c r="F511">
        <v>0</v>
      </c>
      <c r="G511">
        <v>19400000</v>
      </c>
      <c r="H511">
        <v>12</v>
      </c>
      <c r="I511">
        <v>2100</v>
      </c>
      <c r="J511" s="2">
        <f t="shared" si="22"/>
        <v>5313</v>
      </c>
      <c r="K511">
        <v>510</v>
      </c>
      <c r="L511" s="3">
        <f>SUM($I$2:$I511)</f>
        <v>5591300</v>
      </c>
      <c r="M511" s="3">
        <f>SUM($J$2:$J511)</f>
        <v>19300189</v>
      </c>
      <c r="N511" s="2">
        <f>SUM($D$2:$D511)</f>
        <v>2128.1200000000013</v>
      </c>
      <c r="O511" s="2">
        <f t="shared" si="23"/>
        <v>0.12682191940826146</v>
      </c>
      <c r="P511" s="2" cm="1">
        <f t="array" ref="P511">SUMPRODUCT((O511&gt;$T$9:$T$14)*(O511&lt;=$U$9:$U$14),$S$9:$S$14)</f>
        <v>3</v>
      </c>
    </row>
    <row r="512" spans="1:16" x14ac:dyDescent="0.25">
      <c r="A512">
        <v>1352</v>
      </c>
      <c r="B512">
        <v>184</v>
      </c>
      <c r="C512">
        <v>1283</v>
      </c>
      <c r="D512">
        <v>1.9</v>
      </c>
      <c r="E512">
        <v>38480</v>
      </c>
      <c r="F512">
        <v>0</v>
      </c>
      <c r="G512">
        <v>38480000</v>
      </c>
      <c r="H512">
        <v>85</v>
      </c>
      <c r="I512">
        <v>2100</v>
      </c>
      <c r="J512" s="2">
        <f t="shared" si="22"/>
        <v>3990</v>
      </c>
      <c r="K512">
        <v>511</v>
      </c>
      <c r="L512" s="3">
        <f>SUM($I$2:$I512)</f>
        <v>5593400</v>
      </c>
      <c r="M512" s="3">
        <f>SUM($J$2:$J512)</f>
        <v>19304179</v>
      </c>
      <c r="N512" s="2">
        <f>SUM($D$2:$D512)</f>
        <v>2130.0200000000013</v>
      </c>
      <c r="O512" s="2">
        <f t="shared" si="23"/>
        <v>0.1269351468798682</v>
      </c>
      <c r="P512" s="2" cm="1">
        <f t="array" ref="P512">SUMPRODUCT((O512&gt;$T$9:$T$14)*(O512&lt;=$U$9:$U$14),$S$9:$S$14)</f>
        <v>3</v>
      </c>
    </row>
    <row r="513" spans="1:16" x14ac:dyDescent="0.25">
      <c r="A513">
        <v>664</v>
      </c>
      <c r="B513">
        <v>1451</v>
      </c>
      <c r="C513">
        <v>898</v>
      </c>
      <c r="D513">
        <v>1.1100000000000001</v>
      </c>
      <c r="E513">
        <v>19410</v>
      </c>
      <c r="F513">
        <v>0</v>
      </c>
      <c r="G513">
        <v>19410000</v>
      </c>
      <c r="H513">
        <v>12</v>
      </c>
      <c r="I513">
        <v>2100</v>
      </c>
      <c r="J513" s="2">
        <f t="shared" si="22"/>
        <v>2331</v>
      </c>
      <c r="K513">
        <v>512</v>
      </c>
      <c r="L513" s="3">
        <f>SUM($I$2:$I513)</f>
        <v>5595500</v>
      </c>
      <c r="M513" s="3">
        <f>SUM($J$2:$J513)</f>
        <v>19306510</v>
      </c>
      <c r="N513" s="2">
        <f>SUM($D$2:$D513)</f>
        <v>2131.1300000000015</v>
      </c>
      <c r="O513" s="2">
        <f t="shared" si="23"/>
        <v>0.12700129556064896</v>
      </c>
      <c r="P513" s="2" cm="1">
        <f t="array" ref="P513">SUMPRODUCT((O513&gt;$T$9:$T$14)*(O513&lt;=$U$9:$U$14),$S$9:$S$14)</f>
        <v>3</v>
      </c>
    </row>
    <row r="514" spans="1:16" x14ac:dyDescent="0.25">
      <c r="A514">
        <v>1103</v>
      </c>
      <c r="B514">
        <v>729</v>
      </c>
      <c r="C514">
        <v>436</v>
      </c>
      <c r="D514">
        <v>7.96</v>
      </c>
      <c r="E514">
        <v>21041</v>
      </c>
      <c r="F514">
        <v>3.4</v>
      </c>
      <c r="G514">
        <v>21041034</v>
      </c>
      <c r="H514">
        <v>17</v>
      </c>
      <c r="I514">
        <v>2050</v>
      </c>
      <c r="J514" s="2">
        <f t="shared" ref="J514:J577" si="24">I514*D514</f>
        <v>16318</v>
      </c>
      <c r="K514">
        <v>513</v>
      </c>
      <c r="L514" s="3">
        <f>SUM($I$2:$I514)</f>
        <v>5597550</v>
      </c>
      <c r="M514" s="3">
        <f>SUM($J$2:$J514)</f>
        <v>19322828</v>
      </c>
      <c r="N514" s="2">
        <f>SUM($D$2:$D514)</f>
        <v>2139.0900000000015</v>
      </c>
      <c r="O514" s="2">
        <f t="shared" ref="O514:O577" si="25">N514/$T$4</f>
        <v>0.12747565907327502</v>
      </c>
      <c r="P514" s="2" cm="1">
        <f t="array" ref="P514">SUMPRODUCT((O514&gt;$T$9:$T$14)*(O514&lt;=$U$9:$U$14),$S$9:$S$14)</f>
        <v>3</v>
      </c>
    </row>
    <row r="515" spans="1:16" x14ac:dyDescent="0.25">
      <c r="A515">
        <v>965</v>
      </c>
      <c r="B515">
        <v>591</v>
      </c>
      <c r="C515">
        <v>253</v>
      </c>
      <c r="D515">
        <v>6.56</v>
      </c>
      <c r="E515">
        <v>24840</v>
      </c>
      <c r="F515">
        <v>0</v>
      </c>
      <c r="G515">
        <v>24840000</v>
      </c>
      <c r="H515">
        <v>24</v>
      </c>
      <c r="I515">
        <v>2050</v>
      </c>
      <c r="J515" s="2">
        <f t="shared" si="24"/>
        <v>13448</v>
      </c>
      <c r="K515">
        <v>514</v>
      </c>
      <c r="L515" s="3">
        <f>SUM($I$2:$I515)</f>
        <v>5599600</v>
      </c>
      <c r="M515" s="3">
        <f>SUM($J$2:$J515)</f>
        <v>19336276</v>
      </c>
      <c r="N515" s="2">
        <f>SUM($D$2:$D515)</f>
        <v>2145.6500000000015</v>
      </c>
      <c r="O515" s="2">
        <f t="shared" si="25"/>
        <v>0.12786659181734875</v>
      </c>
      <c r="P515" s="2" cm="1">
        <f t="array" ref="P515">SUMPRODUCT((O515&gt;$T$9:$T$14)*(O515&lt;=$U$9:$U$14),$S$9:$S$14)</f>
        <v>3</v>
      </c>
    </row>
    <row r="516" spans="1:16" x14ac:dyDescent="0.25">
      <c r="A516">
        <v>1527</v>
      </c>
      <c r="B516">
        <v>359</v>
      </c>
      <c r="C516">
        <v>1501</v>
      </c>
      <c r="D516">
        <v>4.6399999999999997</v>
      </c>
      <c r="E516">
        <v>42250</v>
      </c>
      <c r="F516">
        <v>0</v>
      </c>
      <c r="G516">
        <v>42250000</v>
      </c>
      <c r="H516">
        <v>115</v>
      </c>
      <c r="I516">
        <v>2050</v>
      </c>
      <c r="J516" s="2">
        <f t="shared" si="24"/>
        <v>9512</v>
      </c>
      <c r="K516">
        <v>515</v>
      </c>
      <c r="L516" s="3">
        <f>SUM($I$2:$I516)</f>
        <v>5601650</v>
      </c>
      <c r="M516" s="3">
        <f>SUM($J$2:$J516)</f>
        <v>19345788</v>
      </c>
      <c r="N516" s="2">
        <f>SUM($D$2:$D516)</f>
        <v>2150.2900000000013</v>
      </c>
      <c r="O516" s="2">
        <f t="shared" si="25"/>
        <v>0.12814310522169359</v>
      </c>
      <c r="P516" s="2" cm="1">
        <f t="array" ref="P516">SUMPRODUCT((O516&gt;$T$9:$T$14)*(O516&lt;=$U$9:$U$14),$S$9:$S$14)</f>
        <v>3</v>
      </c>
    </row>
    <row r="517" spans="1:16" x14ac:dyDescent="0.25">
      <c r="A517">
        <v>363</v>
      </c>
      <c r="B517">
        <v>1158</v>
      </c>
      <c r="C517">
        <v>2042</v>
      </c>
      <c r="D517">
        <v>3.09</v>
      </c>
      <c r="E517">
        <v>49150</v>
      </c>
      <c r="F517">
        <v>0</v>
      </c>
      <c r="G517">
        <v>49150000</v>
      </c>
      <c r="H517">
        <v>416</v>
      </c>
      <c r="I517">
        <v>2050</v>
      </c>
      <c r="J517" s="2">
        <f t="shared" si="24"/>
        <v>6334.5</v>
      </c>
      <c r="K517">
        <v>516</v>
      </c>
      <c r="L517" s="3">
        <f>SUM($I$2:$I517)</f>
        <v>5603700</v>
      </c>
      <c r="M517" s="3">
        <f>SUM($J$2:$J517)</f>
        <v>19352122.5</v>
      </c>
      <c r="N517" s="2">
        <f>SUM($D$2:$D517)</f>
        <v>2153.3800000000015</v>
      </c>
      <c r="O517" s="2">
        <f t="shared" si="25"/>
        <v>0.12832724884656979</v>
      </c>
      <c r="P517" s="2" cm="1">
        <f t="array" ref="P517">SUMPRODUCT((O517&gt;$T$9:$T$14)*(O517&lt;=$U$9:$U$14),$S$9:$S$14)</f>
        <v>3</v>
      </c>
    </row>
    <row r="518" spans="1:16" x14ac:dyDescent="0.25">
      <c r="A518">
        <v>790</v>
      </c>
      <c r="B518">
        <v>416</v>
      </c>
      <c r="C518">
        <v>16</v>
      </c>
      <c r="D518">
        <v>3.04</v>
      </c>
      <c r="E518">
        <v>13170</v>
      </c>
      <c r="F518">
        <v>0</v>
      </c>
      <c r="G518">
        <v>13170000</v>
      </c>
      <c r="H518">
        <v>5</v>
      </c>
      <c r="I518">
        <v>2050</v>
      </c>
      <c r="J518" s="2">
        <f t="shared" si="24"/>
        <v>6232</v>
      </c>
      <c r="K518">
        <v>517</v>
      </c>
      <c r="L518" s="3">
        <f>SUM($I$2:$I518)</f>
        <v>5605750</v>
      </c>
      <c r="M518" s="3">
        <f>SUM($J$2:$J518)</f>
        <v>19358354.5</v>
      </c>
      <c r="N518" s="2">
        <f>SUM($D$2:$D518)</f>
        <v>2156.4200000000014</v>
      </c>
      <c r="O518" s="2">
        <f t="shared" si="25"/>
        <v>0.12850841280114053</v>
      </c>
      <c r="P518" s="2" cm="1">
        <f t="array" ref="P518">SUMPRODUCT((O518&gt;$T$9:$T$14)*(O518&lt;=$U$9:$U$14),$S$9:$S$14)</f>
        <v>3</v>
      </c>
    </row>
    <row r="519" spans="1:16" x14ac:dyDescent="0.25">
      <c r="A519">
        <v>508</v>
      </c>
      <c r="B519">
        <v>1295</v>
      </c>
      <c r="C519">
        <v>705</v>
      </c>
      <c r="D519">
        <v>2.31</v>
      </c>
      <c r="E519">
        <v>18060</v>
      </c>
      <c r="F519">
        <v>4.0999999999999996</v>
      </c>
      <c r="G519">
        <v>18060041</v>
      </c>
      <c r="H519">
        <v>11</v>
      </c>
      <c r="I519">
        <v>2050</v>
      </c>
      <c r="J519" s="2">
        <f t="shared" si="24"/>
        <v>4735.5</v>
      </c>
      <c r="K519">
        <v>518</v>
      </c>
      <c r="L519" s="3">
        <f>SUM($I$2:$I519)</f>
        <v>5607800</v>
      </c>
      <c r="M519" s="3">
        <f>SUM($J$2:$J519)</f>
        <v>19363090</v>
      </c>
      <c r="N519" s="2">
        <f>SUM($D$2:$D519)</f>
        <v>2158.7300000000014</v>
      </c>
      <c r="O519" s="2">
        <f t="shared" si="25"/>
        <v>0.12864607356925187</v>
      </c>
      <c r="P519" s="2" cm="1">
        <f t="array" ref="P519">SUMPRODUCT((O519&gt;$T$9:$T$14)*(O519&lt;=$U$9:$U$14),$S$9:$S$14)</f>
        <v>3</v>
      </c>
    </row>
    <row r="520" spans="1:16" x14ac:dyDescent="0.25">
      <c r="A520">
        <v>1422</v>
      </c>
      <c r="B520">
        <v>254</v>
      </c>
      <c r="C520">
        <v>1377</v>
      </c>
      <c r="D520">
        <v>2.31</v>
      </c>
      <c r="E520">
        <v>46960</v>
      </c>
      <c r="F520">
        <v>0</v>
      </c>
      <c r="G520">
        <v>46960000</v>
      </c>
      <c r="H520">
        <v>400</v>
      </c>
      <c r="I520">
        <v>2050</v>
      </c>
      <c r="J520" s="2">
        <f t="shared" si="24"/>
        <v>4735.5</v>
      </c>
      <c r="K520">
        <v>519</v>
      </c>
      <c r="L520" s="3">
        <f>SUM($I$2:$I520)</f>
        <v>5609850</v>
      </c>
      <c r="M520" s="3">
        <f>SUM($J$2:$J520)</f>
        <v>19367825.5</v>
      </c>
      <c r="N520" s="2">
        <f>SUM($D$2:$D520)</f>
        <v>2161.0400000000013</v>
      </c>
      <c r="O520" s="2">
        <f t="shared" si="25"/>
        <v>0.1287837343373632</v>
      </c>
      <c r="P520" s="2" cm="1">
        <f t="array" ref="P520">SUMPRODUCT((O520&gt;$T$9:$T$14)*(O520&lt;=$U$9:$U$14),$S$9:$S$14)</f>
        <v>3</v>
      </c>
    </row>
    <row r="521" spans="1:16" x14ac:dyDescent="0.25">
      <c r="A521">
        <v>410</v>
      </c>
      <c r="B521">
        <v>1203</v>
      </c>
      <c r="C521">
        <v>576</v>
      </c>
      <c r="D521">
        <v>2.11</v>
      </c>
      <c r="E521">
        <v>13780</v>
      </c>
      <c r="F521">
        <v>3.9</v>
      </c>
      <c r="G521">
        <v>13780039</v>
      </c>
      <c r="H521">
        <v>6</v>
      </c>
      <c r="I521">
        <v>2050</v>
      </c>
      <c r="J521" s="2">
        <f t="shared" si="24"/>
        <v>4325.5</v>
      </c>
      <c r="K521">
        <v>520</v>
      </c>
      <c r="L521" s="3">
        <f>SUM($I$2:$I521)</f>
        <v>5611900</v>
      </c>
      <c r="M521" s="3">
        <f>SUM($J$2:$J521)</f>
        <v>19372151</v>
      </c>
      <c r="N521" s="2">
        <f>SUM($D$2:$D521)</f>
        <v>2163.1500000000015</v>
      </c>
      <c r="O521" s="2">
        <f t="shared" si="25"/>
        <v>0.12890947642425277</v>
      </c>
      <c r="P521" s="2" cm="1">
        <f t="array" ref="P521">SUMPRODUCT((O521&gt;$T$9:$T$14)*(O521&lt;=$U$9:$U$14),$S$9:$S$14)</f>
        <v>3</v>
      </c>
    </row>
    <row r="522" spans="1:16" x14ac:dyDescent="0.25">
      <c r="A522">
        <v>1317</v>
      </c>
      <c r="B522">
        <v>149</v>
      </c>
      <c r="C522">
        <v>1239</v>
      </c>
      <c r="D522">
        <v>6.75</v>
      </c>
      <c r="E522">
        <v>38630</v>
      </c>
      <c r="F522">
        <v>0</v>
      </c>
      <c r="G522">
        <v>38630000</v>
      </c>
      <c r="H522">
        <v>89</v>
      </c>
      <c r="I522">
        <v>2000</v>
      </c>
      <c r="J522" s="2">
        <f t="shared" si="24"/>
        <v>13500</v>
      </c>
      <c r="K522">
        <v>521</v>
      </c>
      <c r="L522" s="3">
        <f>SUM($I$2:$I522)</f>
        <v>5613900</v>
      </c>
      <c r="M522" s="3">
        <f>SUM($J$2:$J522)</f>
        <v>19385651</v>
      </c>
      <c r="N522" s="2">
        <f>SUM($D$2:$D522)</f>
        <v>2169.9000000000015</v>
      </c>
      <c r="O522" s="2">
        <f t="shared" si="25"/>
        <v>0.12931173191548717</v>
      </c>
      <c r="P522" s="2" cm="1">
        <f t="array" ref="P522">SUMPRODUCT((O522&gt;$T$9:$T$14)*(O522&lt;=$U$9:$U$14),$S$9:$S$14)</f>
        <v>3</v>
      </c>
    </row>
    <row r="523" spans="1:16" x14ac:dyDescent="0.25">
      <c r="A523">
        <v>1662</v>
      </c>
      <c r="B523">
        <v>1662</v>
      </c>
      <c r="C523">
        <v>2160</v>
      </c>
      <c r="D523">
        <v>6.17</v>
      </c>
      <c r="E523">
        <v>49260</v>
      </c>
      <c r="F523">
        <v>0</v>
      </c>
      <c r="G523">
        <v>49260000</v>
      </c>
      <c r="H523">
        <v>417</v>
      </c>
      <c r="I523">
        <v>2000</v>
      </c>
      <c r="J523" s="2">
        <f t="shared" si="24"/>
        <v>12340</v>
      </c>
      <c r="K523">
        <v>522</v>
      </c>
      <c r="L523" s="3">
        <f>SUM($I$2:$I523)</f>
        <v>5615900</v>
      </c>
      <c r="M523" s="3">
        <f>SUM($J$2:$J523)</f>
        <v>19397991</v>
      </c>
      <c r="N523" s="2">
        <f>SUM($D$2:$D523)</f>
        <v>2176.0700000000015</v>
      </c>
      <c r="O523" s="2">
        <f t="shared" si="25"/>
        <v>0.12967942323117848</v>
      </c>
      <c r="P523" s="2" cm="1">
        <f t="array" ref="P523">SUMPRODUCT((O523&gt;$T$9:$T$14)*(O523&lt;=$U$9:$U$14),$S$9:$S$14)</f>
        <v>3</v>
      </c>
    </row>
    <row r="524" spans="1:16" x14ac:dyDescent="0.25">
      <c r="A524">
        <v>1538</v>
      </c>
      <c r="B524">
        <v>370</v>
      </c>
      <c r="C524">
        <v>1514</v>
      </c>
      <c r="D524">
        <v>4.6500000000000004</v>
      </c>
      <c r="E524">
        <v>49260</v>
      </c>
      <c r="F524">
        <v>0</v>
      </c>
      <c r="G524">
        <v>49260000</v>
      </c>
      <c r="H524">
        <v>417</v>
      </c>
      <c r="I524">
        <v>2000</v>
      </c>
      <c r="J524" s="2">
        <f t="shared" si="24"/>
        <v>9300</v>
      </c>
      <c r="K524">
        <v>523</v>
      </c>
      <c r="L524" s="3">
        <f>SUM($I$2:$I524)</f>
        <v>5617900</v>
      </c>
      <c r="M524" s="3">
        <f>SUM($J$2:$J524)</f>
        <v>19407291</v>
      </c>
      <c r="N524" s="2">
        <f>SUM($D$2:$D524)</f>
        <v>2180.7200000000016</v>
      </c>
      <c r="O524" s="2">
        <f t="shared" si="25"/>
        <v>0.12995653256958442</v>
      </c>
      <c r="P524" s="2" cm="1">
        <f t="array" ref="P524">SUMPRODUCT((O524&gt;$T$9:$T$14)*(O524&lt;=$U$9:$U$14),$S$9:$S$14)</f>
        <v>3</v>
      </c>
    </row>
    <row r="525" spans="1:16" x14ac:dyDescent="0.25">
      <c r="A525">
        <v>964</v>
      </c>
      <c r="B525">
        <v>590</v>
      </c>
      <c r="C525">
        <v>252</v>
      </c>
      <c r="D525">
        <v>4.63</v>
      </c>
      <c r="E525">
        <v>24801</v>
      </c>
      <c r="F525">
        <v>0</v>
      </c>
      <c r="G525">
        <v>24801000</v>
      </c>
      <c r="H525">
        <v>24</v>
      </c>
      <c r="I525">
        <v>2000</v>
      </c>
      <c r="J525" s="2">
        <f t="shared" si="24"/>
        <v>9260</v>
      </c>
      <c r="K525">
        <v>524</v>
      </c>
      <c r="L525" s="3">
        <f>SUM($I$2:$I525)</f>
        <v>5619900</v>
      </c>
      <c r="M525" s="3">
        <f>SUM($J$2:$J525)</f>
        <v>19416551</v>
      </c>
      <c r="N525" s="2">
        <f>SUM($D$2:$D525)</f>
        <v>2185.3500000000017</v>
      </c>
      <c r="O525" s="2">
        <f t="shared" si="25"/>
        <v>0.13023245003986816</v>
      </c>
      <c r="P525" s="2" cm="1">
        <f t="array" ref="P525">SUMPRODUCT((O525&gt;$T$9:$T$14)*(O525&lt;=$U$9:$U$14),$S$9:$S$14)</f>
        <v>3</v>
      </c>
    </row>
    <row r="526" spans="1:16" x14ac:dyDescent="0.25">
      <c r="A526">
        <v>1149</v>
      </c>
      <c r="B526">
        <v>775</v>
      </c>
      <c r="C526">
        <v>493</v>
      </c>
      <c r="D526">
        <v>3.99</v>
      </c>
      <c r="E526">
        <v>13615</v>
      </c>
      <c r="F526">
        <v>2.2999999999999998</v>
      </c>
      <c r="G526">
        <v>13615023</v>
      </c>
      <c r="H526">
        <v>6</v>
      </c>
      <c r="I526">
        <v>2000</v>
      </c>
      <c r="J526" s="2">
        <f t="shared" si="24"/>
        <v>7980</v>
      </c>
      <c r="K526">
        <v>525</v>
      </c>
      <c r="L526" s="3">
        <f>SUM($I$2:$I526)</f>
        <v>5621900</v>
      </c>
      <c r="M526" s="3">
        <f>SUM($J$2:$J526)</f>
        <v>19424531</v>
      </c>
      <c r="N526" s="2">
        <f>SUM($D$2:$D526)</f>
        <v>2189.3400000000015</v>
      </c>
      <c r="O526" s="2">
        <f t="shared" si="25"/>
        <v>0.13047022773024228</v>
      </c>
      <c r="P526" s="2" cm="1">
        <f t="array" ref="P526">SUMPRODUCT((O526&gt;$T$9:$T$14)*(O526&lt;=$U$9:$U$14),$S$9:$S$14)</f>
        <v>3</v>
      </c>
    </row>
    <row r="527" spans="1:16" x14ac:dyDescent="0.25">
      <c r="A527">
        <v>942</v>
      </c>
      <c r="B527">
        <v>568</v>
      </c>
      <c r="C527">
        <v>224</v>
      </c>
      <c r="D527">
        <v>3.82</v>
      </c>
      <c r="E527">
        <v>18050</v>
      </c>
      <c r="F527">
        <v>0</v>
      </c>
      <c r="G527">
        <v>18050000</v>
      </c>
      <c r="H527">
        <v>11</v>
      </c>
      <c r="I527">
        <v>2000</v>
      </c>
      <c r="J527" s="2">
        <f t="shared" si="24"/>
        <v>7640</v>
      </c>
      <c r="K527">
        <v>526</v>
      </c>
      <c r="L527" s="3">
        <f>SUM($I$2:$I527)</f>
        <v>5623900</v>
      </c>
      <c r="M527" s="3">
        <f>SUM($J$2:$J527)</f>
        <v>19432171</v>
      </c>
      <c r="N527" s="2">
        <f>SUM($D$2:$D527)</f>
        <v>2193.1600000000017</v>
      </c>
      <c r="O527" s="2">
        <f t="shared" si="25"/>
        <v>0.13069787454157791</v>
      </c>
      <c r="P527" s="2" cm="1">
        <f t="array" ref="P527">SUMPRODUCT((O527&gt;$T$9:$T$14)*(O527&lt;=$U$9:$U$14),$S$9:$S$14)</f>
        <v>3</v>
      </c>
    </row>
    <row r="528" spans="1:16" x14ac:dyDescent="0.25">
      <c r="A528">
        <v>972</v>
      </c>
      <c r="B528">
        <v>598</v>
      </c>
      <c r="C528">
        <v>260</v>
      </c>
      <c r="D528">
        <v>11.39</v>
      </c>
      <c r="E528">
        <v>22080</v>
      </c>
      <c r="F528">
        <v>0</v>
      </c>
      <c r="G528">
        <v>22080000</v>
      </c>
      <c r="H528">
        <v>17</v>
      </c>
      <c r="I528">
        <v>1950</v>
      </c>
      <c r="J528" s="2">
        <f t="shared" si="24"/>
        <v>22210.5</v>
      </c>
      <c r="K528">
        <v>527</v>
      </c>
      <c r="L528" s="3">
        <f>SUM($I$2:$I528)</f>
        <v>5625850</v>
      </c>
      <c r="M528" s="3">
        <f>SUM($J$2:$J528)</f>
        <v>19454381.5</v>
      </c>
      <c r="N528" s="2">
        <f>SUM($D$2:$D528)</f>
        <v>2204.5500000000015</v>
      </c>
      <c r="O528" s="2">
        <f t="shared" si="25"/>
        <v>0.13137664343715713</v>
      </c>
      <c r="P528" s="2" cm="1">
        <f t="array" ref="P528">SUMPRODUCT((O528&gt;$T$9:$T$14)*(O528&lt;=$U$9:$U$14),$S$9:$S$14)</f>
        <v>3</v>
      </c>
    </row>
    <row r="529" spans="1:16" x14ac:dyDescent="0.25">
      <c r="A529">
        <v>690</v>
      </c>
      <c r="B529">
        <v>1477</v>
      </c>
      <c r="C529">
        <v>929</v>
      </c>
      <c r="D529">
        <v>11.2</v>
      </c>
      <c r="E529">
        <v>13770</v>
      </c>
      <c r="F529">
        <v>0</v>
      </c>
      <c r="G529">
        <v>13770000</v>
      </c>
      <c r="H529">
        <v>6</v>
      </c>
      <c r="I529">
        <v>1950</v>
      </c>
      <c r="J529" s="2">
        <f t="shared" si="24"/>
        <v>21840</v>
      </c>
      <c r="K529">
        <v>528</v>
      </c>
      <c r="L529" s="3">
        <f>SUM($I$2:$I529)</f>
        <v>5627800</v>
      </c>
      <c r="M529" s="3">
        <f>SUM($J$2:$J529)</f>
        <v>19476221.5</v>
      </c>
      <c r="N529" s="2">
        <f>SUM($D$2:$D529)</f>
        <v>2215.7500000000014</v>
      </c>
      <c r="O529" s="2">
        <f t="shared" si="25"/>
        <v>0.1320440895855757</v>
      </c>
      <c r="P529" s="2" cm="1">
        <f t="array" ref="P529">SUMPRODUCT((O529&gt;$T$9:$T$14)*(O529&lt;=$U$9:$U$14),$S$9:$S$14)</f>
        <v>3</v>
      </c>
    </row>
    <row r="530" spans="1:16" x14ac:dyDescent="0.25">
      <c r="A530">
        <v>616</v>
      </c>
      <c r="B530">
        <v>1403</v>
      </c>
      <c r="C530">
        <v>840</v>
      </c>
      <c r="D530">
        <v>9.16</v>
      </c>
      <c r="E530">
        <v>16505</v>
      </c>
      <c r="F530">
        <v>0</v>
      </c>
      <c r="G530">
        <v>16505000</v>
      </c>
      <c r="H530">
        <v>10</v>
      </c>
      <c r="I530">
        <v>1950</v>
      </c>
      <c r="J530" s="2">
        <f t="shared" si="24"/>
        <v>17862</v>
      </c>
      <c r="K530">
        <v>529</v>
      </c>
      <c r="L530" s="3">
        <f>SUM($I$2:$I530)</f>
        <v>5629750</v>
      </c>
      <c r="M530" s="3">
        <f>SUM($J$2:$J530)</f>
        <v>19494083.5</v>
      </c>
      <c r="N530" s="2">
        <f>SUM($D$2:$D530)</f>
        <v>2224.9100000000012</v>
      </c>
      <c r="O530" s="2">
        <f t="shared" si="25"/>
        <v>0.13258996518553232</v>
      </c>
      <c r="P530" s="2" cm="1">
        <f t="array" ref="P530">SUMPRODUCT((O530&gt;$T$9:$T$14)*(O530&lt;=$U$9:$U$14),$S$9:$S$14)</f>
        <v>3</v>
      </c>
    </row>
    <row r="531" spans="1:16" x14ac:dyDescent="0.25">
      <c r="A531">
        <v>41</v>
      </c>
      <c r="B531">
        <v>837</v>
      </c>
      <c r="C531">
        <v>1591</v>
      </c>
      <c r="D531">
        <v>7.37</v>
      </c>
      <c r="E531">
        <v>49250</v>
      </c>
      <c r="F531">
        <v>0</v>
      </c>
      <c r="G531">
        <v>49250000</v>
      </c>
      <c r="H531">
        <v>417</v>
      </c>
      <c r="I531">
        <v>1950</v>
      </c>
      <c r="J531" s="2">
        <f t="shared" si="24"/>
        <v>14371.5</v>
      </c>
      <c r="K531">
        <v>530</v>
      </c>
      <c r="L531" s="3">
        <f>SUM($I$2:$I531)</f>
        <v>5631700</v>
      </c>
      <c r="M531" s="3">
        <f>SUM($J$2:$J531)</f>
        <v>19508455</v>
      </c>
      <c r="N531" s="2">
        <f>SUM($D$2:$D531)</f>
        <v>2232.2800000000011</v>
      </c>
      <c r="O531" s="2">
        <f t="shared" si="25"/>
        <v>0.13302916858855415</v>
      </c>
      <c r="P531" s="2" cm="1">
        <f t="array" ref="P531">SUMPRODUCT((O531&gt;$T$9:$T$14)*(O531&lt;=$U$9:$U$14),$S$9:$S$14)</f>
        <v>3</v>
      </c>
    </row>
    <row r="532" spans="1:16" x14ac:dyDescent="0.25">
      <c r="A532">
        <v>681</v>
      </c>
      <c r="B532">
        <v>1468</v>
      </c>
      <c r="C532">
        <v>918</v>
      </c>
      <c r="D532">
        <v>4.12</v>
      </c>
      <c r="E532">
        <v>18060</v>
      </c>
      <c r="F532">
        <v>0</v>
      </c>
      <c r="G532">
        <v>18060000</v>
      </c>
      <c r="H532">
        <v>11</v>
      </c>
      <c r="I532">
        <v>1950</v>
      </c>
      <c r="J532" s="2">
        <f t="shared" si="24"/>
        <v>8034</v>
      </c>
      <c r="K532">
        <v>531</v>
      </c>
      <c r="L532" s="3">
        <f>SUM($I$2:$I532)</f>
        <v>5633650</v>
      </c>
      <c r="M532" s="3">
        <f>SUM($J$2:$J532)</f>
        <v>19516489</v>
      </c>
      <c r="N532" s="2">
        <f>SUM($D$2:$D532)</f>
        <v>2236.400000000001</v>
      </c>
      <c r="O532" s="2">
        <f t="shared" si="25"/>
        <v>0.13327469342172241</v>
      </c>
      <c r="P532" s="2" cm="1">
        <f t="array" ref="P532">SUMPRODUCT((O532&gt;$T$9:$T$14)*(O532&lt;=$U$9:$U$14),$S$9:$S$14)</f>
        <v>3</v>
      </c>
    </row>
    <row r="533" spans="1:16" x14ac:dyDescent="0.25">
      <c r="A533">
        <v>586</v>
      </c>
      <c r="B533">
        <v>1373</v>
      </c>
      <c r="C533">
        <v>801</v>
      </c>
      <c r="D533">
        <v>3.26</v>
      </c>
      <c r="E533">
        <v>14235</v>
      </c>
      <c r="F533">
        <v>0</v>
      </c>
      <c r="G533">
        <v>14235000</v>
      </c>
      <c r="H533">
        <v>7</v>
      </c>
      <c r="I533">
        <v>1950</v>
      </c>
      <c r="J533" s="2">
        <f t="shared" si="24"/>
        <v>6357</v>
      </c>
      <c r="K533">
        <v>532</v>
      </c>
      <c r="L533" s="3">
        <f>SUM($I$2:$I533)</f>
        <v>5635600</v>
      </c>
      <c r="M533" s="3">
        <f>SUM($J$2:$J533)</f>
        <v>19522846</v>
      </c>
      <c r="N533" s="2">
        <f>SUM($D$2:$D533)</f>
        <v>2239.6600000000012</v>
      </c>
      <c r="O533" s="2">
        <f t="shared" si="25"/>
        <v>0.13346896792563712</v>
      </c>
      <c r="P533" s="2" cm="1">
        <f t="array" ref="P533">SUMPRODUCT((O533&gt;$T$9:$T$14)*(O533&lt;=$U$9:$U$14),$S$9:$S$14)</f>
        <v>3</v>
      </c>
    </row>
    <row r="534" spans="1:16" x14ac:dyDescent="0.25">
      <c r="A534">
        <v>1043</v>
      </c>
      <c r="B534">
        <v>669</v>
      </c>
      <c r="C534">
        <v>353</v>
      </c>
      <c r="D534">
        <v>2.79</v>
      </c>
      <c r="E534">
        <v>14330</v>
      </c>
      <c r="F534">
        <v>0</v>
      </c>
      <c r="G534">
        <v>14330000</v>
      </c>
      <c r="H534">
        <v>7</v>
      </c>
      <c r="I534">
        <v>1950</v>
      </c>
      <c r="J534" s="2">
        <f t="shared" si="24"/>
        <v>5440.5</v>
      </c>
      <c r="K534">
        <v>533</v>
      </c>
      <c r="L534" s="3">
        <f>SUM($I$2:$I534)</f>
        <v>5637550</v>
      </c>
      <c r="M534" s="3">
        <f>SUM($J$2:$J534)</f>
        <v>19528286.5</v>
      </c>
      <c r="N534" s="2">
        <f>SUM($D$2:$D534)</f>
        <v>2242.4500000000012</v>
      </c>
      <c r="O534" s="2">
        <f t="shared" si="25"/>
        <v>0.13363523352868067</v>
      </c>
      <c r="P534" s="2" cm="1">
        <f t="array" ref="P534">SUMPRODUCT((O534&gt;$T$9:$T$14)*(O534&lt;=$U$9:$U$14),$S$9:$S$14)</f>
        <v>3</v>
      </c>
    </row>
    <row r="535" spans="1:16" x14ac:dyDescent="0.25">
      <c r="A535">
        <v>949</v>
      </c>
      <c r="B535">
        <v>575</v>
      </c>
      <c r="C535">
        <v>233</v>
      </c>
      <c r="D535">
        <v>1.3</v>
      </c>
      <c r="E535">
        <v>20860</v>
      </c>
      <c r="F535">
        <v>15.3</v>
      </c>
      <c r="G535">
        <v>20860153</v>
      </c>
      <c r="H535">
        <v>17</v>
      </c>
      <c r="I535">
        <v>1950</v>
      </c>
      <c r="J535" s="2">
        <f t="shared" si="24"/>
        <v>2535</v>
      </c>
      <c r="K535">
        <v>534</v>
      </c>
      <c r="L535" s="3">
        <f>SUM($I$2:$I535)</f>
        <v>5639500</v>
      </c>
      <c r="M535" s="3">
        <f>SUM($J$2:$J535)</f>
        <v>19530821.5</v>
      </c>
      <c r="N535" s="2">
        <f>SUM($D$2:$D535)</f>
        <v>2243.7500000000014</v>
      </c>
      <c r="O535" s="2">
        <f t="shared" si="25"/>
        <v>0.13371270495662213</v>
      </c>
      <c r="P535" s="2" cm="1">
        <f t="array" ref="P535">SUMPRODUCT((O535&gt;$T$9:$T$14)*(O535&lt;=$U$9:$U$14),$S$9:$S$14)</f>
        <v>3</v>
      </c>
    </row>
    <row r="536" spans="1:16" x14ac:dyDescent="0.25">
      <c r="A536">
        <v>399</v>
      </c>
      <c r="B536">
        <v>1194</v>
      </c>
      <c r="C536">
        <v>565</v>
      </c>
      <c r="D536">
        <v>0.65</v>
      </c>
      <c r="E536">
        <v>14038</v>
      </c>
      <c r="F536">
        <v>0</v>
      </c>
      <c r="G536">
        <v>14038000</v>
      </c>
      <c r="H536">
        <v>7</v>
      </c>
      <c r="I536">
        <v>1950</v>
      </c>
      <c r="J536" s="2">
        <f t="shared" si="24"/>
        <v>1267.5</v>
      </c>
      <c r="K536">
        <v>535</v>
      </c>
      <c r="L536" s="3">
        <f>SUM($I$2:$I536)</f>
        <v>5641450</v>
      </c>
      <c r="M536" s="3">
        <f>SUM($J$2:$J536)</f>
        <v>19532089</v>
      </c>
      <c r="N536" s="2">
        <f>SUM($D$2:$D536)</f>
        <v>2244.4000000000015</v>
      </c>
      <c r="O536" s="2">
        <f t="shared" si="25"/>
        <v>0.13375144067059286</v>
      </c>
      <c r="P536" s="2" cm="1">
        <f t="array" ref="P536">SUMPRODUCT((O536&gt;$T$9:$T$14)*(O536&lt;=$U$9:$U$14),$S$9:$S$14)</f>
        <v>3</v>
      </c>
    </row>
    <row r="537" spans="1:16" x14ac:dyDescent="0.25">
      <c r="A537">
        <v>546</v>
      </c>
      <c r="B537">
        <v>1333</v>
      </c>
      <c r="C537">
        <v>752</v>
      </c>
      <c r="D537">
        <v>5.04</v>
      </c>
      <c r="E537">
        <v>17030</v>
      </c>
      <c r="F537">
        <v>0</v>
      </c>
      <c r="G537">
        <v>17030000</v>
      </c>
      <c r="H537">
        <v>11</v>
      </c>
      <c r="I537">
        <v>1900</v>
      </c>
      <c r="J537" s="2">
        <f t="shared" si="24"/>
        <v>9576</v>
      </c>
      <c r="K537">
        <v>536</v>
      </c>
      <c r="L537" s="3">
        <f>SUM($I$2:$I537)</f>
        <v>5643350</v>
      </c>
      <c r="M537" s="3">
        <f>SUM($J$2:$J537)</f>
        <v>19541665</v>
      </c>
      <c r="N537" s="2">
        <f>SUM($D$2:$D537)</f>
        <v>2249.4400000000014</v>
      </c>
      <c r="O537" s="2">
        <f t="shared" si="25"/>
        <v>0.13405179143738119</v>
      </c>
      <c r="P537" s="2" cm="1">
        <f t="array" ref="P537">SUMPRODUCT((O537&gt;$T$9:$T$14)*(O537&lt;=$U$9:$U$14),$S$9:$S$14)</f>
        <v>3</v>
      </c>
    </row>
    <row r="538" spans="1:16" x14ac:dyDescent="0.25">
      <c r="A538">
        <v>435</v>
      </c>
      <c r="B538">
        <v>1222</v>
      </c>
      <c r="C538">
        <v>605</v>
      </c>
      <c r="D538">
        <v>1.89</v>
      </c>
      <c r="E538">
        <v>21072</v>
      </c>
      <c r="F538">
        <v>0</v>
      </c>
      <c r="G538">
        <v>21072000</v>
      </c>
      <c r="H538">
        <v>17</v>
      </c>
      <c r="I538">
        <v>1900</v>
      </c>
      <c r="J538" s="2">
        <f t="shared" si="24"/>
        <v>3591</v>
      </c>
      <c r="K538">
        <v>537</v>
      </c>
      <c r="L538" s="3">
        <f>SUM($I$2:$I538)</f>
        <v>5645250</v>
      </c>
      <c r="M538" s="3">
        <f>SUM($J$2:$J538)</f>
        <v>19545256</v>
      </c>
      <c r="N538" s="2">
        <f>SUM($D$2:$D538)</f>
        <v>2251.3300000000013</v>
      </c>
      <c r="O538" s="2">
        <f t="shared" si="25"/>
        <v>0.13416442297492684</v>
      </c>
      <c r="P538" s="2" cm="1">
        <f t="array" ref="P538">SUMPRODUCT((O538&gt;$T$9:$T$14)*(O538&lt;=$U$9:$U$14),$S$9:$S$14)</f>
        <v>3</v>
      </c>
    </row>
    <row r="539" spans="1:16" x14ac:dyDescent="0.25">
      <c r="A539">
        <v>981</v>
      </c>
      <c r="B539">
        <v>607</v>
      </c>
      <c r="C539">
        <v>275</v>
      </c>
      <c r="D539">
        <v>1.24</v>
      </c>
      <c r="E539">
        <v>22213</v>
      </c>
      <c r="F539">
        <v>0</v>
      </c>
      <c r="G539">
        <v>22213000</v>
      </c>
      <c r="H539">
        <v>17</v>
      </c>
      <c r="I539">
        <v>1900</v>
      </c>
      <c r="J539" s="2">
        <f t="shared" si="24"/>
        <v>2356</v>
      </c>
      <c r="K539">
        <v>538</v>
      </c>
      <c r="L539" s="3">
        <f>SUM($I$2:$I539)</f>
        <v>5647150</v>
      </c>
      <c r="M539" s="3">
        <f>SUM($J$2:$J539)</f>
        <v>19547612</v>
      </c>
      <c r="N539" s="2">
        <f>SUM($D$2:$D539)</f>
        <v>2252.5700000000011</v>
      </c>
      <c r="O539" s="2">
        <f t="shared" si="25"/>
        <v>0.13423831879850173</v>
      </c>
      <c r="P539" s="2" cm="1">
        <f t="array" ref="P539">SUMPRODUCT((O539&gt;$T$9:$T$14)*(O539&lt;=$U$9:$U$14),$S$9:$S$14)</f>
        <v>3</v>
      </c>
    </row>
    <row r="540" spans="1:16" x14ac:dyDescent="0.25">
      <c r="A540">
        <v>976</v>
      </c>
      <c r="B540">
        <v>602</v>
      </c>
      <c r="C540">
        <v>267</v>
      </c>
      <c r="D540">
        <v>18.12</v>
      </c>
      <c r="E540">
        <v>21080</v>
      </c>
      <c r="F540">
        <v>0</v>
      </c>
      <c r="G540">
        <v>21080000</v>
      </c>
      <c r="H540">
        <v>17</v>
      </c>
      <c r="I540">
        <v>1850</v>
      </c>
      <c r="J540" s="2">
        <f t="shared" si="24"/>
        <v>33522</v>
      </c>
      <c r="K540">
        <v>539</v>
      </c>
      <c r="L540" s="3">
        <f>SUM($I$2:$I540)</f>
        <v>5649000</v>
      </c>
      <c r="M540" s="3">
        <f>SUM($J$2:$J540)</f>
        <v>19581134</v>
      </c>
      <c r="N540" s="2">
        <f>SUM($D$2:$D540)</f>
        <v>2270.690000000001</v>
      </c>
      <c r="O540" s="2">
        <f t="shared" si="25"/>
        <v>0.13531815131719319</v>
      </c>
      <c r="P540" s="2" cm="1">
        <f t="array" ref="P540">SUMPRODUCT((O540&gt;$T$9:$T$14)*(O540&lt;=$U$9:$U$14),$S$9:$S$14)</f>
        <v>3</v>
      </c>
    </row>
    <row r="541" spans="1:16" x14ac:dyDescent="0.25">
      <c r="A541">
        <v>1279</v>
      </c>
      <c r="B541">
        <v>111</v>
      </c>
      <c r="C541">
        <v>1192</v>
      </c>
      <c r="D541">
        <v>13.11</v>
      </c>
      <c r="E541">
        <v>35510</v>
      </c>
      <c r="F541">
        <v>0</v>
      </c>
      <c r="G541">
        <v>35510000</v>
      </c>
      <c r="H541">
        <v>69</v>
      </c>
      <c r="I541">
        <v>1850</v>
      </c>
      <c r="J541" s="2">
        <f t="shared" si="24"/>
        <v>24253.5</v>
      </c>
      <c r="K541">
        <v>540</v>
      </c>
      <c r="L541" s="3">
        <f>SUM($I$2:$I541)</f>
        <v>5650850</v>
      </c>
      <c r="M541" s="3">
        <f>SUM($J$2:$J541)</f>
        <v>19605387.5</v>
      </c>
      <c r="N541" s="2">
        <f>SUM($D$2:$D541)</f>
        <v>2283.8000000000011</v>
      </c>
      <c r="O541" s="2">
        <f t="shared" si="25"/>
        <v>0.13609942087127957</v>
      </c>
      <c r="P541" s="2" cm="1">
        <f t="array" ref="P541">SUMPRODUCT((O541&gt;$T$9:$T$14)*(O541&lt;=$U$9:$U$14),$S$9:$S$14)</f>
        <v>3</v>
      </c>
    </row>
    <row r="542" spans="1:16" x14ac:dyDescent="0.25">
      <c r="A542">
        <v>927</v>
      </c>
      <c r="B542">
        <v>553</v>
      </c>
      <c r="C542">
        <v>203</v>
      </c>
      <c r="D542">
        <v>10.86</v>
      </c>
      <c r="E542">
        <v>17179</v>
      </c>
      <c r="F542">
        <v>0</v>
      </c>
      <c r="G542">
        <v>17179000</v>
      </c>
      <c r="H542">
        <v>11</v>
      </c>
      <c r="I542">
        <v>1850</v>
      </c>
      <c r="J542" s="2">
        <f t="shared" si="24"/>
        <v>20091</v>
      </c>
      <c r="K542">
        <v>541</v>
      </c>
      <c r="L542" s="3">
        <f>SUM($I$2:$I542)</f>
        <v>5652700</v>
      </c>
      <c r="M542" s="3">
        <f>SUM($J$2:$J542)</f>
        <v>19625478.5</v>
      </c>
      <c r="N542" s="2">
        <f>SUM($D$2:$D542)</f>
        <v>2294.6600000000012</v>
      </c>
      <c r="O542" s="2">
        <f t="shared" si="25"/>
        <v>0.13674660526162116</v>
      </c>
      <c r="P542" s="2" cm="1">
        <f t="array" ref="P542">SUMPRODUCT((O542&gt;$T$9:$T$14)*(O542&lt;=$U$9:$U$14),$S$9:$S$14)</f>
        <v>3</v>
      </c>
    </row>
    <row r="543" spans="1:16" x14ac:dyDescent="0.25">
      <c r="A543">
        <v>1413</v>
      </c>
      <c r="B543">
        <v>245</v>
      </c>
      <c r="C543">
        <v>1367</v>
      </c>
      <c r="D543">
        <v>9.2899999999999991</v>
      </c>
      <c r="E543">
        <v>47010</v>
      </c>
      <c r="F543">
        <v>0</v>
      </c>
      <c r="G543">
        <v>47010000</v>
      </c>
      <c r="H543">
        <v>400</v>
      </c>
      <c r="I543">
        <v>1850</v>
      </c>
      <c r="J543" s="2">
        <f t="shared" si="24"/>
        <v>17186.5</v>
      </c>
      <c r="K543">
        <v>542</v>
      </c>
      <c r="L543" s="3">
        <f>SUM($I$2:$I543)</f>
        <v>5654550</v>
      </c>
      <c r="M543" s="3">
        <f>SUM($J$2:$J543)</f>
        <v>19642665</v>
      </c>
      <c r="N543" s="2">
        <f>SUM($D$2:$D543)</f>
        <v>2303.9500000000012</v>
      </c>
      <c r="O543" s="2">
        <f t="shared" si="25"/>
        <v>0.13730022800437192</v>
      </c>
      <c r="P543" s="2" cm="1">
        <f t="array" ref="P543">SUMPRODUCT((O543&gt;$T$9:$T$14)*(O543&lt;=$U$9:$U$14),$S$9:$S$14)</f>
        <v>3</v>
      </c>
    </row>
    <row r="544" spans="1:16" x14ac:dyDescent="0.25">
      <c r="A544">
        <v>1116</v>
      </c>
      <c r="B544">
        <v>742</v>
      </c>
      <c r="C544">
        <v>456</v>
      </c>
      <c r="D544">
        <v>9.1999999999999993</v>
      </c>
      <c r="E544">
        <v>16150</v>
      </c>
      <c r="F544">
        <v>0</v>
      </c>
      <c r="G544">
        <v>16150000</v>
      </c>
      <c r="H544">
        <v>9</v>
      </c>
      <c r="I544">
        <v>1850</v>
      </c>
      <c r="J544" s="2">
        <f t="shared" si="24"/>
        <v>17020</v>
      </c>
      <c r="K544">
        <v>543</v>
      </c>
      <c r="L544" s="3">
        <f>SUM($I$2:$I544)</f>
        <v>5656400</v>
      </c>
      <c r="M544" s="3">
        <f>SUM($J$2:$J544)</f>
        <v>19659685</v>
      </c>
      <c r="N544" s="2">
        <f>SUM($D$2:$D544)</f>
        <v>2313.150000000001</v>
      </c>
      <c r="O544" s="2">
        <f t="shared" si="25"/>
        <v>0.13784848734057289</v>
      </c>
      <c r="P544" s="2" cm="1">
        <f t="array" ref="P544">SUMPRODUCT((O544&gt;$T$9:$T$14)*(O544&lt;=$U$9:$U$14),$S$9:$S$14)</f>
        <v>3</v>
      </c>
    </row>
    <row r="545" spans="1:16" x14ac:dyDescent="0.25">
      <c r="A545">
        <v>934</v>
      </c>
      <c r="B545">
        <v>560</v>
      </c>
      <c r="C545">
        <v>213</v>
      </c>
      <c r="D545">
        <v>4.8</v>
      </c>
      <c r="E545">
        <v>17045</v>
      </c>
      <c r="F545">
        <v>0</v>
      </c>
      <c r="G545">
        <v>17045000</v>
      </c>
      <c r="H545">
        <v>11</v>
      </c>
      <c r="I545">
        <v>1850</v>
      </c>
      <c r="J545" s="2">
        <f t="shared" si="24"/>
        <v>8880</v>
      </c>
      <c r="K545">
        <v>544</v>
      </c>
      <c r="L545" s="3">
        <f>SUM($I$2:$I545)</f>
        <v>5658250</v>
      </c>
      <c r="M545" s="3">
        <f>SUM($J$2:$J545)</f>
        <v>19668565</v>
      </c>
      <c r="N545" s="2">
        <f>SUM($D$2:$D545)</f>
        <v>2317.9500000000012</v>
      </c>
      <c r="O545" s="2">
        <f t="shared" si="25"/>
        <v>0.13813453568989514</v>
      </c>
      <c r="P545" s="2" cm="1">
        <f t="array" ref="P545">SUMPRODUCT((O545&gt;$T$9:$T$14)*(O545&lt;=$U$9:$U$14),$S$9:$S$14)</f>
        <v>3</v>
      </c>
    </row>
    <row r="546" spans="1:16" x14ac:dyDescent="0.25">
      <c r="A546">
        <v>1811</v>
      </c>
      <c r="B546">
        <v>1811</v>
      </c>
      <c r="C546">
        <v>0</v>
      </c>
      <c r="D546">
        <v>4.34</v>
      </c>
      <c r="E546">
        <v>48542</v>
      </c>
      <c r="F546">
        <v>0</v>
      </c>
      <c r="G546">
        <v>48542000</v>
      </c>
      <c r="H546">
        <v>404</v>
      </c>
      <c r="I546">
        <v>1850</v>
      </c>
      <c r="J546" s="2">
        <f t="shared" si="24"/>
        <v>8029</v>
      </c>
      <c r="K546">
        <v>545</v>
      </c>
      <c r="L546" s="3">
        <f>SUM($I$2:$I546)</f>
        <v>5660100</v>
      </c>
      <c r="M546" s="3">
        <f>SUM($J$2:$J546)</f>
        <v>19676594</v>
      </c>
      <c r="N546" s="2">
        <f>SUM($D$2:$D546)</f>
        <v>2322.2900000000013</v>
      </c>
      <c r="O546" s="2">
        <f t="shared" si="25"/>
        <v>0.13839317107240734</v>
      </c>
      <c r="P546" s="2" cm="1">
        <f t="array" ref="P546">SUMPRODUCT((O546&gt;$T$9:$T$14)*(O546&lt;=$U$9:$U$14),$S$9:$S$14)</f>
        <v>3</v>
      </c>
    </row>
    <row r="547" spans="1:16" x14ac:dyDescent="0.25">
      <c r="A547">
        <v>1678</v>
      </c>
      <c r="B547">
        <v>1678</v>
      </c>
      <c r="C547">
        <v>2177</v>
      </c>
      <c r="D547">
        <v>3.87</v>
      </c>
      <c r="E547">
        <v>48720</v>
      </c>
      <c r="F547">
        <v>0</v>
      </c>
      <c r="G547">
        <v>48720000</v>
      </c>
      <c r="H547">
        <v>406</v>
      </c>
      <c r="I547">
        <v>1850</v>
      </c>
      <c r="J547" s="2">
        <f t="shared" si="24"/>
        <v>7159.5</v>
      </c>
      <c r="K547">
        <v>546</v>
      </c>
      <c r="L547" s="3">
        <f>SUM($I$2:$I547)</f>
        <v>5661950</v>
      </c>
      <c r="M547" s="3">
        <f>SUM($J$2:$J547)</f>
        <v>19683753.5</v>
      </c>
      <c r="N547" s="2">
        <f>SUM($D$2:$D547)</f>
        <v>2326.1600000000012</v>
      </c>
      <c r="O547" s="2">
        <f t="shared" si="25"/>
        <v>0.13862379755404838</v>
      </c>
      <c r="P547" s="2" cm="1">
        <f t="array" ref="P547">SUMPRODUCT((O547&gt;$T$9:$T$14)*(O547&lt;=$U$9:$U$14),$S$9:$S$14)</f>
        <v>3</v>
      </c>
    </row>
    <row r="548" spans="1:16" x14ac:dyDescent="0.25">
      <c r="A548">
        <v>1547</v>
      </c>
      <c r="B548">
        <v>379</v>
      </c>
      <c r="C548">
        <v>1523</v>
      </c>
      <c r="D548">
        <v>3.56</v>
      </c>
      <c r="E548">
        <v>48642</v>
      </c>
      <c r="F548">
        <v>0</v>
      </c>
      <c r="G548">
        <v>48642000</v>
      </c>
      <c r="H548">
        <v>406</v>
      </c>
      <c r="I548">
        <v>1850</v>
      </c>
      <c r="J548" s="2">
        <f t="shared" si="24"/>
        <v>6586</v>
      </c>
      <c r="K548">
        <v>547</v>
      </c>
      <c r="L548" s="3">
        <f>SUM($I$2:$I548)</f>
        <v>5663800</v>
      </c>
      <c r="M548" s="3">
        <f>SUM($J$2:$J548)</f>
        <v>19690339.5</v>
      </c>
      <c r="N548" s="2">
        <f>SUM($D$2:$D548)</f>
        <v>2329.7200000000012</v>
      </c>
      <c r="O548" s="2">
        <f t="shared" si="25"/>
        <v>0.13883595007979571</v>
      </c>
      <c r="P548" s="2" cm="1">
        <f t="array" ref="P548">SUMPRODUCT((O548&gt;$T$9:$T$14)*(O548&lt;=$U$9:$U$14),$S$9:$S$14)</f>
        <v>3</v>
      </c>
    </row>
    <row r="549" spans="1:16" x14ac:dyDescent="0.25">
      <c r="A549">
        <v>349</v>
      </c>
      <c r="B549">
        <v>1144</v>
      </c>
      <c r="C549">
        <v>2004</v>
      </c>
      <c r="D549">
        <v>2.2400000000000002</v>
      </c>
      <c r="E549">
        <v>85145</v>
      </c>
      <c r="F549">
        <v>0</v>
      </c>
      <c r="G549">
        <v>85145000</v>
      </c>
      <c r="H549">
        <v>7279</v>
      </c>
      <c r="I549">
        <v>1850</v>
      </c>
      <c r="J549" s="2">
        <f t="shared" si="24"/>
        <v>4144</v>
      </c>
      <c r="K549">
        <v>548</v>
      </c>
      <c r="L549" s="3">
        <f>SUM($I$2:$I549)</f>
        <v>5665650</v>
      </c>
      <c r="M549" s="3">
        <f>SUM($J$2:$J549)</f>
        <v>19694483.5</v>
      </c>
      <c r="N549" s="2">
        <f>SUM($D$2:$D549)</f>
        <v>2331.9600000000009</v>
      </c>
      <c r="O549" s="2">
        <f t="shared" si="25"/>
        <v>0.13896943930947941</v>
      </c>
      <c r="P549" s="2" cm="1">
        <f t="array" ref="P549">SUMPRODUCT((O549&gt;$T$9:$T$14)*(O549&lt;=$U$9:$U$14),$S$9:$S$14)</f>
        <v>3</v>
      </c>
    </row>
    <row r="550" spans="1:16" x14ac:dyDescent="0.25">
      <c r="A550">
        <v>385</v>
      </c>
      <c r="B550">
        <v>1180</v>
      </c>
      <c r="C550">
        <v>546</v>
      </c>
      <c r="D550">
        <v>1.74</v>
      </c>
      <c r="E550">
        <v>19450</v>
      </c>
      <c r="F550">
        <v>0</v>
      </c>
      <c r="G550">
        <v>19450000</v>
      </c>
      <c r="H550">
        <v>12</v>
      </c>
      <c r="I550">
        <v>1850</v>
      </c>
      <c r="J550" s="2">
        <f t="shared" si="24"/>
        <v>3219</v>
      </c>
      <c r="K550">
        <v>549</v>
      </c>
      <c r="L550" s="3">
        <f>SUM($I$2:$I550)</f>
        <v>5667500</v>
      </c>
      <c r="M550" s="3">
        <f>SUM($J$2:$J550)</f>
        <v>19697702.5</v>
      </c>
      <c r="N550" s="2">
        <f>SUM($D$2:$D550)</f>
        <v>2333.7000000000007</v>
      </c>
      <c r="O550" s="2">
        <f t="shared" si="25"/>
        <v>0.13907313183610873</v>
      </c>
      <c r="P550" s="2" cm="1">
        <f t="array" ref="P550">SUMPRODUCT((O550&gt;$T$9:$T$14)*(O550&lt;=$U$9:$U$14),$S$9:$S$14)</f>
        <v>3</v>
      </c>
    </row>
    <row r="551" spans="1:16" x14ac:dyDescent="0.25">
      <c r="A551">
        <v>1114</v>
      </c>
      <c r="B551">
        <v>740</v>
      </c>
      <c r="C551">
        <v>454</v>
      </c>
      <c r="D551">
        <v>1.41</v>
      </c>
      <c r="E551">
        <v>22070</v>
      </c>
      <c r="F551">
        <v>3.1</v>
      </c>
      <c r="G551">
        <v>22070031</v>
      </c>
      <c r="H551">
        <v>17</v>
      </c>
      <c r="I551">
        <v>1850</v>
      </c>
      <c r="J551" s="2">
        <f t="shared" si="24"/>
        <v>2608.5</v>
      </c>
      <c r="K551">
        <v>550</v>
      </c>
      <c r="L551" s="3">
        <f>SUM($I$2:$I551)</f>
        <v>5669350</v>
      </c>
      <c r="M551" s="3">
        <f>SUM($J$2:$J551)</f>
        <v>19700311</v>
      </c>
      <c r="N551" s="2">
        <f>SUM($D$2:$D551)</f>
        <v>2335.1100000000006</v>
      </c>
      <c r="O551" s="2">
        <f t="shared" si="25"/>
        <v>0.13915715853872213</v>
      </c>
      <c r="P551" s="2" cm="1">
        <f t="array" ref="P551">SUMPRODUCT((O551&gt;$T$9:$T$14)*(O551&lt;=$U$9:$U$14),$S$9:$S$14)</f>
        <v>3</v>
      </c>
    </row>
    <row r="552" spans="1:16" x14ac:dyDescent="0.25">
      <c r="A552">
        <v>1052</v>
      </c>
      <c r="B552">
        <v>678</v>
      </c>
      <c r="C552">
        <v>366</v>
      </c>
      <c r="D552">
        <v>1.2</v>
      </c>
      <c r="E552">
        <v>17320</v>
      </c>
      <c r="F552">
        <v>0</v>
      </c>
      <c r="G552">
        <v>17320000</v>
      </c>
      <c r="H552">
        <v>11</v>
      </c>
      <c r="I552">
        <v>1850</v>
      </c>
      <c r="J552" s="2">
        <f t="shared" si="24"/>
        <v>2220</v>
      </c>
      <c r="K552">
        <v>551</v>
      </c>
      <c r="L552" s="3">
        <f>SUM($I$2:$I552)</f>
        <v>5671200</v>
      </c>
      <c r="M552" s="3">
        <f>SUM($J$2:$J552)</f>
        <v>19702531</v>
      </c>
      <c r="N552" s="2">
        <f>SUM($D$2:$D552)</f>
        <v>2336.3100000000004</v>
      </c>
      <c r="O552" s="2">
        <f t="shared" si="25"/>
        <v>0.13922867062605268</v>
      </c>
      <c r="P552" s="2" cm="1">
        <f t="array" ref="P552">SUMPRODUCT((O552&gt;$T$9:$T$14)*(O552&lt;=$U$9:$U$14),$S$9:$S$14)</f>
        <v>3</v>
      </c>
    </row>
    <row r="553" spans="1:16" x14ac:dyDescent="0.25">
      <c r="A553">
        <v>668</v>
      </c>
      <c r="B553">
        <v>1455</v>
      </c>
      <c r="C553">
        <v>902</v>
      </c>
      <c r="D553">
        <v>16.27</v>
      </c>
      <c r="E553">
        <v>21090</v>
      </c>
      <c r="F553">
        <v>7.1</v>
      </c>
      <c r="G553">
        <v>21090071</v>
      </c>
      <c r="H553">
        <v>17</v>
      </c>
      <c r="I553">
        <v>1800</v>
      </c>
      <c r="J553" s="2">
        <f t="shared" si="24"/>
        <v>29286</v>
      </c>
      <c r="K553">
        <v>552</v>
      </c>
      <c r="L553" s="3">
        <f>SUM($I$2:$I553)</f>
        <v>5673000</v>
      </c>
      <c r="M553" s="3">
        <f>SUM($J$2:$J553)</f>
        <v>19731817</v>
      </c>
      <c r="N553" s="2">
        <f>SUM($D$2:$D553)</f>
        <v>2352.5800000000004</v>
      </c>
      <c r="O553" s="2">
        <f t="shared" si="25"/>
        <v>0.14019825534344285</v>
      </c>
      <c r="P553" s="2" cm="1">
        <f t="array" ref="P553">SUMPRODUCT((O553&gt;$T$9:$T$14)*(O553&lt;=$U$9:$U$14),$S$9:$S$14)</f>
        <v>3</v>
      </c>
    </row>
    <row r="554" spans="1:16" x14ac:dyDescent="0.25">
      <c r="A554">
        <v>378</v>
      </c>
      <c r="B554">
        <v>1173</v>
      </c>
      <c r="C554">
        <v>2057</v>
      </c>
      <c r="D554">
        <v>9.01</v>
      </c>
      <c r="E554">
        <v>49590</v>
      </c>
      <c r="F554">
        <v>0</v>
      </c>
      <c r="G554">
        <v>49590000</v>
      </c>
      <c r="H554">
        <v>417</v>
      </c>
      <c r="I554">
        <v>1800</v>
      </c>
      <c r="J554" s="2">
        <f t="shared" si="24"/>
        <v>16218</v>
      </c>
      <c r="K554">
        <v>553</v>
      </c>
      <c r="L554" s="3">
        <f>SUM($I$2:$I554)</f>
        <v>5674800</v>
      </c>
      <c r="M554" s="3">
        <f>SUM($J$2:$J554)</f>
        <v>19748035</v>
      </c>
      <c r="N554" s="2">
        <f>SUM($D$2:$D554)</f>
        <v>2361.5900000000006</v>
      </c>
      <c r="O554" s="2">
        <f t="shared" si="25"/>
        <v>0.14073519193248318</v>
      </c>
      <c r="P554" s="2" cm="1">
        <f t="array" ref="P554">SUMPRODUCT((O554&gt;$T$9:$T$14)*(O554&lt;=$U$9:$U$14),$S$9:$S$14)</f>
        <v>3</v>
      </c>
    </row>
    <row r="555" spans="1:16" x14ac:dyDescent="0.25">
      <c r="A555">
        <v>94</v>
      </c>
      <c r="B555">
        <v>890</v>
      </c>
      <c r="C555">
        <v>1647</v>
      </c>
      <c r="D555">
        <v>8.51</v>
      </c>
      <c r="E555">
        <v>49593</v>
      </c>
      <c r="F555">
        <v>0</v>
      </c>
      <c r="G555">
        <v>49593000</v>
      </c>
      <c r="H555">
        <v>417</v>
      </c>
      <c r="I555">
        <v>1800</v>
      </c>
      <c r="J555" s="2">
        <f t="shared" si="24"/>
        <v>15318</v>
      </c>
      <c r="K555">
        <v>554</v>
      </c>
      <c r="L555" s="3">
        <f>SUM($I$2:$I555)</f>
        <v>5676600</v>
      </c>
      <c r="M555" s="3">
        <f>SUM($J$2:$J555)</f>
        <v>19763353</v>
      </c>
      <c r="N555" s="2">
        <f>SUM($D$2:$D555)</f>
        <v>2370.1000000000008</v>
      </c>
      <c r="O555" s="2">
        <f t="shared" si="25"/>
        <v>0.14124233181846907</v>
      </c>
      <c r="P555" s="2" cm="1">
        <f t="array" ref="P555">SUMPRODUCT((O555&gt;$T$9:$T$14)*(O555&lt;=$U$9:$U$14),$S$9:$S$14)</f>
        <v>3</v>
      </c>
    </row>
    <row r="556" spans="1:16" x14ac:dyDescent="0.25">
      <c r="A556">
        <v>991</v>
      </c>
      <c r="B556">
        <v>617</v>
      </c>
      <c r="C556">
        <v>286</v>
      </c>
      <c r="D556">
        <v>7.69</v>
      </c>
      <c r="E556">
        <v>13765</v>
      </c>
      <c r="F556">
        <v>0</v>
      </c>
      <c r="G556">
        <v>13765000</v>
      </c>
      <c r="H556">
        <v>6</v>
      </c>
      <c r="I556">
        <v>1800</v>
      </c>
      <c r="J556" s="2">
        <f t="shared" si="24"/>
        <v>13842</v>
      </c>
      <c r="K556">
        <v>555</v>
      </c>
      <c r="L556" s="3">
        <f>SUM($I$2:$I556)</f>
        <v>5678400</v>
      </c>
      <c r="M556" s="3">
        <f>SUM($J$2:$J556)</f>
        <v>19777195</v>
      </c>
      <c r="N556" s="2">
        <f>SUM($D$2:$D556)</f>
        <v>2377.7900000000009</v>
      </c>
      <c r="O556" s="2">
        <f t="shared" si="25"/>
        <v>0.14170060511144578</v>
      </c>
      <c r="P556" s="2" cm="1">
        <f t="array" ref="P556">SUMPRODUCT((O556&gt;$T$9:$T$14)*(O556&lt;=$U$9:$U$14),$S$9:$S$14)</f>
        <v>3</v>
      </c>
    </row>
    <row r="557" spans="1:16" x14ac:dyDescent="0.25">
      <c r="A557">
        <v>1131</v>
      </c>
      <c r="B557">
        <v>757</v>
      </c>
      <c r="C557">
        <v>472</v>
      </c>
      <c r="D557">
        <v>6.38</v>
      </c>
      <c r="E557">
        <v>17460</v>
      </c>
      <c r="F557">
        <v>0</v>
      </c>
      <c r="G557">
        <v>17460000</v>
      </c>
      <c r="H557">
        <v>11</v>
      </c>
      <c r="I557">
        <v>1800</v>
      </c>
      <c r="J557" s="2">
        <f t="shared" si="24"/>
        <v>11484</v>
      </c>
      <c r="K557">
        <v>556</v>
      </c>
      <c r="L557" s="3">
        <f>SUM($I$2:$I557)</f>
        <v>5680200</v>
      </c>
      <c r="M557" s="3">
        <f>SUM($J$2:$J557)</f>
        <v>19788679</v>
      </c>
      <c r="N557" s="2">
        <f>SUM($D$2:$D557)</f>
        <v>2384.170000000001</v>
      </c>
      <c r="O557" s="2">
        <f t="shared" si="25"/>
        <v>0.14208081104241993</v>
      </c>
      <c r="P557" s="2" cm="1">
        <f t="array" ref="P557">SUMPRODUCT((O557&gt;$T$9:$T$14)*(O557&lt;=$U$9:$U$14),$S$9:$S$14)</f>
        <v>3</v>
      </c>
    </row>
    <row r="558" spans="1:16" x14ac:dyDescent="0.25">
      <c r="A558">
        <v>1770</v>
      </c>
      <c r="B558">
        <v>1770</v>
      </c>
      <c r="C558">
        <v>0</v>
      </c>
      <c r="D558">
        <v>5.89</v>
      </c>
      <c r="E558">
        <v>35575</v>
      </c>
      <c r="F558">
        <v>0</v>
      </c>
      <c r="G558">
        <v>35575000</v>
      </c>
      <c r="H558">
        <v>69</v>
      </c>
      <c r="I558">
        <v>1800</v>
      </c>
      <c r="J558" s="2">
        <f t="shared" si="24"/>
        <v>10602</v>
      </c>
      <c r="K558">
        <v>557</v>
      </c>
      <c r="L558" s="3">
        <f>SUM($I$2:$I558)</f>
        <v>5682000</v>
      </c>
      <c r="M558" s="3">
        <f>SUM($J$2:$J558)</f>
        <v>19799281</v>
      </c>
      <c r="N558" s="2">
        <f>SUM($D$2:$D558)</f>
        <v>2390.0600000000009</v>
      </c>
      <c r="O558" s="2">
        <f t="shared" si="25"/>
        <v>0.14243181620440076</v>
      </c>
      <c r="P558" s="2" cm="1">
        <f t="array" ref="P558">SUMPRODUCT((O558&gt;$T$9:$T$14)*(O558&lt;=$U$9:$U$14),$S$9:$S$14)</f>
        <v>3</v>
      </c>
    </row>
    <row r="559" spans="1:16" x14ac:dyDescent="0.25">
      <c r="A559">
        <v>1120</v>
      </c>
      <c r="B559">
        <v>746</v>
      </c>
      <c r="C559">
        <v>460</v>
      </c>
      <c r="D559">
        <v>3.98</v>
      </c>
      <c r="E559">
        <v>14245</v>
      </c>
      <c r="F559">
        <v>0</v>
      </c>
      <c r="G559">
        <v>14245000</v>
      </c>
      <c r="H559">
        <v>7</v>
      </c>
      <c r="I559">
        <v>1800</v>
      </c>
      <c r="J559" s="2">
        <f t="shared" si="24"/>
        <v>7164</v>
      </c>
      <c r="K559">
        <v>558</v>
      </c>
      <c r="L559" s="3">
        <f>SUM($I$2:$I559)</f>
        <v>5683800</v>
      </c>
      <c r="M559" s="3">
        <f>SUM($J$2:$J559)</f>
        <v>19806445</v>
      </c>
      <c r="N559" s="2">
        <f>SUM($D$2:$D559)</f>
        <v>2394.0400000000009</v>
      </c>
      <c r="O559" s="2">
        <f t="shared" si="25"/>
        <v>0.14266899796071378</v>
      </c>
      <c r="P559" s="2" cm="1">
        <f t="array" ref="P559">SUMPRODUCT((O559&gt;$T$9:$T$14)*(O559&lt;=$U$9:$U$14),$S$9:$S$14)</f>
        <v>3</v>
      </c>
    </row>
    <row r="560" spans="1:16" x14ac:dyDescent="0.25">
      <c r="A560">
        <v>781</v>
      </c>
      <c r="B560">
        <v>1568</v>
      </c>
      <c r="C560">
        <v>1051</v>
      </c>
      <c r="D560">
        <v>3.45</v>
      </c>
      <c r="E560">
        <v>31060</v>
      </c>
      <c r="F560">
        <v>2.6</v>
      </c>
      <c r="G560">
        <v>31060026</v>
      </c>
      <c r="H560">
        <v>48</v>
      </c>
      <c r="I560">
        <v>1800</v>
      </c>
      <c r="J560" s="2">
        <f t="shared" si="24"/>
        <v>6210</v>
      </c>
      <c r="K560">
        <v>559</v>
      </c>
      <c r="L560" s="3">
        <f>SUM($I$2:$I560)</f>
        <v>5685600</v>
      </c>
      <c r="M560" s="3">
        <f>SUM($J$2:$J560)</f>
        <v>19812655</v>
      </c>
      <c r="N560" s="2">
        <f>SUM($D$2:$D560)</f>
        <v>2397.4900000000007</v>
      </c>
      <c r="O560" s="2">
        <f t="shared" si="25"/>
        <v>0.14287459521178913</v>
      </c>
      <c r="P560" s="2" cm="1">
        <f t="array" ref="P560">SUMPRODUCT((O560&gt;$T$9:$T$14)*(O560&lt;=$U$9:$U$14),$S$9:$S$14)</f>
        <v>3</v>
      </c>
    </row>
    <row r="561" spans="1:16" x14ac:dyDescent="0.25">
      <c r="A561">
        <v>782</v>
      </c>
      <c r="B561">
        <v>5</v>
      </c>
      <c r="C561">
        <v>3</v>
      </c>
      <c r="D561">
        <v>3.22</v>
      </c>
      <c r="E561">
        <v>13456</v>
      </c>
      <c r="F561">
        <v>0</v>
      </c>
      <c r="G561">
        <v>13456000</v>
      </c>
      <c r="H561">
        <v>6</v>
      </c>
      <c r="I561">
        <v>1800</v>
      </c>
      <c r="J561" s="2">
        <f t="shared" si="24"/>
        <v>5796</v>
      </c>
      <c r="K561">
        <v>560</v>
      </c>
      <c r="L561" s="3">
        <f>SUM($I$2:$I561)</f>
        <v>5687400</v>
      </c>
      <c r="M561" s="3">
        <f>SUM($J$2:$J561)</f>
        <v>19818451</v>
      </c>
      <c r="N561" s="2">
        <f>SUM($D$2:$D561)</f>
        <v>2400.7100000000005</v>
      </c>
      <c r="O561" s="2">
        <f t="shared" si="25"/>
        <v>0.14306648597945945</v>
      </c>
      <c r="P561" s="2" cm="1">
        <f t="array" ref="P561">SUMPRODUCT((O561&gt;$T$9:$T$14)*(O561&lt;=$U$9:$U$14),$S$9:$S$14)</f>
        <v>3</v>
      </c>
    </row>
    <row r="562" spans="1:16" x14ac:dyDescent="0.25">
      <c r="A562">
        <v>53</v>
      </c>
      <c r="B562">
        <v>849</v>
      </c>
      <c r="C562">
        <v>1604</v>
      </c>
      <c r="D562">
        <v>3.08</v>
      </c>
      <c r="E562">
        <v>48690</v>
      </c>
      <c r="F562">
        <v>0</v>
      </c>
      <c r="G562">
        <v>48690000</v>
      </c>
      <c r="H562">
        <v>406</v>
      </c>
      <c r="I562">
        <v>1800</v>
      </c>
      <c r="J562" s="2">
        <f t="shared" si="24"/>
        <v>5544</v>
      </c>
      <c r="K562">
        <v>561</v>
      </c>
      <c r="L562" s="3">
        <f>SUM($I$2:$I562)</f>
        <v>5689200</v>
      </c>
      <c r="M562" s="3">
        <f>SUM($J$2:$J562)</f>
        <v>19823995</v>
      </c>
      <c r="N562" s="2">
        <f>SUM($D$2:$D562)</f>
        <v>2403.7900000000004</v>
      </c>
      <c r="O562" s="2">
        <f t="shared" si="25"/>
        <v>0.14325003367027456</v>
      </c>
      <c r="P562" s="2" cm="1">
        <f t="array" ref="P562">SUMPRODUCT((O562&gt;$T$9:$T$14)*(O562&lt;=$U$9:$U$14),$S$9:$S$14)</f>
        <v>3</v>
      </c>
    </row>
    <row r="563" spans="1:16" x14ac:dyDescent="0.25">
      <c r="A563">
        <v>1134</v>
      </c>
      <c r="B563">
        <v>760</v>
      </c>
      <c r="C563">
        <v>475</v>
      </c>
      <c r="D563">
        <v>2.08</v>
      </c>
      <c r="E563">
        <v>20688</v>
      </c>
      <c r="F563">
        <v>0</v>
      </c>
      <c r="G563">
        <v>20688000</v>
      </c>
      <c r="H563">
        <v>17</v>
      </c>
      <c r="I563">
        <v>1800</v>
      </c>
      <c r="J563" s="2">
        <f t="shared" si="24"/>
        <v>3744</v>
      </c>
      <c r="K563">
        <v>562</v>
      </c>
      <c r="L563" s="3">
        <f>SUM($I$2:$I563)</f>
        <v>5691000</v>
      </c>
      <c r="M563" s="3">
        <f>SUM($J$2:$J563)</f>
        <v>19827739</v>
      </c>
      <c r="N563" s="2">
        <f>SUM($D$2:$D563)</f>
        <v>2405.8700000000003</v>
      </c>
      <c r="O563" s="2">
        <f t="shared" si="25"/>
        <v>0.14337398795498085</v>
      </c>
      <c r="P563" s="2" cm="1">
        <f t="array" ref="P563">SUMPRODUCT((O563&gt;$T$9:$T$14)*(O563&lt;=$U$9:$U$14),$S$9:$S$14)</f>
        <v>3</v>
      </c>
    </row>
    <row r="564" spans="1:16" x14ac:dyDescent="0.25">
      <c r="A564">
        <v>1256</v>
      </c>
      <c r="B564">
        <v>88</v>
      </c>
      <c r="C564">
        <v>1154</v>
      </c>
      <c r="D564">
        <v>20.12</v>
      </c>
      <c r="E564">
        <v>35480</v>
      </c>
      <c r="F564">
        <v>0</v>
      </c>
      <c r="G564">
        <v>35480000</v>
      </c>
      <c r="H564">
        <v>69</v>
      </c>
      <c r="I564">
        <v>1750</v>
      </c>
      <c r="J564" s="2">
        <f t="shared" si="24"/>
        <v>35210</v>
      </c>
      <c r="K564">
        <v>563</v>
      </c>
      <c r="L564" s="3">
        <f>SUM($I$2:$I564)</f>
        <v>5692750</v>
      </c>
      <c r="M564" s="3">
        <f>SUM($J$2:$J564)</f>
        <v>19862949</v>
      </c>
      <c r="N564" s="2">
        <f>SUM($D$2:$D564)</f>
        <v>2425.9900000000002</v>
      </c>
      <c r="O564" s="2">
        <f t="shared" si="25"/>
        <v>0.14457300728588993</v>
      </c>
      <c r="P564" s="2" cm="1">
        <f t="array" ref="P564">SUMPRODUCT((O564&gt;$T$9:$T$14)*(O564&lt;=$U$9:$U$14),$S$9:$S$14)</f>
        <v>3</v>
      </c>
    </row>
    <row r="565" spans="1:16" x14ac:dyDescent="0.25">
      <c r="A565">
        <v>939</v>
      </c>
      <c r="B565">
        <v>565</v>
      </c>
      <c r="C565">
        <v>221</v>
      </c>
      <c r="D565">
        <v>10.61</v>
      </c>
      <c r="E565">
        <v>17320</v>
      </c>
      <c r="F565">
        <v>1.2</v>
      </c>
      <c r="G565">
        <v>17320012</v>
      </c>
      <c r="H565">
        <v>11</v>
      </c>
      <c r="I565">
        <v>1750</v>
      </c>
      <c r="J565" s="2">
        <f t="shared" si="24"/>
        <v>18567.5</v>
      </c>
      <c r="K565">
        <v>564</v>
      </c>
      <c r="L565" s="3">
        <f>SUM($I$2:$I565)</f>
        <v>5694500</v>
      </c>
      <c r="M565" s="3">
        <f>SUM($J$2:$J565)</f>
        <v>19881516.5</v>
      </c>
      <c r="N565" s="2">
        <f>SUM($D$2:$D565)</f>
        <v>2436.6000000000004</v>
      </c>
      <c r="O565" s="2">
        <f t="shared" si="25"/>
        <v>0.1452052933247043</v>
      </c>
      <c r="P565" s="2" cm="1">
        <f t="array" ref="P565">SUMPRODUCT((O565&gt;$T$9:$T$14)*(O565&lt;=$U$9:$U$14),$S$9:$S$14)</f>
        <v>3</v>
      </c>
    </row>
    <row r="566" spans="1:16" x14ac:dyDescent="0.25">
      <c r="A566">
        <v>1785</v>
      </c>
      <c r="B566">
        <v>1785</v>
      </c>
      <c r="C566">
        <v>0</v>
      </c>
      <c r="D566">
        <v>6.8</v>
      </c>
      <c r="E566">
        <v>17155</v>
      </c>
      <c r="F566">
        <v>0</v>
      </c>
      <c r="G566">
        <v>17155000</v>
      </c>
      <c r="H566">
        <v>11</v>
      </c>
      <c r="I566">
        <v>1750</v>
      </c>
      <c r="J566" s="2">
        <f t="shared" si="24"/>
        <v>11900</v>
      </c>
      <c r="K566">
        <v>565</v>
      </c>
      <c r="L566" s="3">
        <f>SUM($I$2:$I566)</f>
        <v>5696250</v>
      </c>
      <c r="M566" s="3">
        <f>SUM($J$2:$J566)</f>
        <v>19893416.5</v>
      </c>
      <c r="N566" s="2">
        <f>SUM($D$2:$D566)</f>
        <v>2443.4000000000005</v>
      </c>
      <c r="O566" s="2">
        <f t="shared" si="25"/>
        <v>0.14561052848624417</v>
      </c>
      <c r="P566" s="2" cm="1">
        <f t="array" ref="P566">SUMPRODUCT((O566&gt;$T$9:$T$14)*(O566&lt;=$U$9:$U$14),$S$9:$S$14)</f>
        <v>3</v>
      </c>
    </row>
    <row r="567" spans="1:16" x14ac:dyDescent="0.25">
      <c r="A567">
        <v>1786</v>
      </c>
      <c r="B567">
        <v>1786</v>
      </c>
      <c r="C567">
        <v>0</v>
      </c>
      <c r="D567">
        <v>5.51</v>
      </c>
      <c r="E567">
        <v>17165</v>
      </c>
      <c r="F567">
        <v>0</v>
      </c>
      <c r="G567">
        <v>17165000</v>
      </c>
      <c r="H567">
        <v>11</v>
      </c>
      <c r="I567">
        <v>1750</v>
      </c>
      <c r="J567" s="2">
        <f t="shared" si="24"/>
        <v>9642.5</v>
      </c>
      <c r="K567">
        <v>566</v>
      </c>
      <c r="L567" s="3">
        <f>SUM($I$2:$I567)</f>
        <v>5698000</v>
      </c>
      <c r="M567" s="3">
        <f>SUM($J$2:$J567)</f>
        <v>19903059</v>
      </c>
      <c r="N567" s="2">
        <f>SUM($D$2:$D567)</f>
        <v>2448.9100000000008</v>
      </c>
      <c r="O567" s="2">
        <f t="shared" si="25"/>
        <v>0.14593888815390368</v>
      </c>
      <c r="P567" s="2" cm="1">
        <f t="array" ref="P567">SUMPRODUCT((O567&gt;$T$9:$T$14)*(O567&lt;=$U$9:$U$14),$S$9:$S$14)</f>
        <v>3</v>
      </c>
    </row>
    <row r="568" spans="1:16" x14ac:dyDescent="0.25">
      <c r="A568">
        <v>1312</v>
      </c>
      <c r="B568">
        <v>144</v>
      </c>
      <c r="C568">
        <v>1233</v>
      </c>
      <c r="D568">
        <v>5.16</v>
      </c>
      <c r="E568">
        <v>47035</v>
      </c>
      <c r="F568">
        <v>0</v>
      </c>
      <c r="G568">
        <v>47035000</v>
      </c>
      <c r="H568">
        <v>400</v>
      </c>
      <c r="I568">
        <v>1750</v>
      </c>
      <c r="J568" s="2">
        <f t="shared" si="24"/>
        <v>9030</v>
      </c>
      <c r="K568">
        <v>567</v>
      </c>
      <c r="L568" s="3">
        <f>SUM($I$2:$I568)</f>
        <v>5699750</v>
      </c>
      <c r="M568" s="3">
        <f>SUM($J$2:$J568)</f>
        <v>19912089</v>
      </c>
      <c r="N568" s="2">
        <f>SUM($D$2:$D568)</f>
        <v>2454.0700000000006</v>
      </c>
      <c r="O568" s="2">
        <f t="shared" si="25"/>
        <v>0.14624639012942509</v>
      </c>
      <c r="P568" s="2" cm="1">
        <f t="array" ref="P568">SUMPRODUCT((O568&gt;$T$9:$T$14)*(O568&lt;=$U$9:$U$14),$S$9:$S$14)</f>
        <v>3</v>
      </c>
    </row>
    <row r="569" spans="1:16" x14ac:dyDescent="0.25">
      <c r="A569">
        <v>1385</v>
      </c>
      <c r="B569">
        <v>217</v>
      </c>
      <c r="C569">
        <v>1330</v>
      </c>
      <c r="D569">
        <v>4.9000000000000004</v>
      </c>
      <c r="E569">
        <v>35500</v>
      </c>
      <c r="F569">
        <v>0</v>
      </c>
      <c r="G569">
        <v>35500000</v>
      </c>
      <c r="H569">
        <v>69</v>
      </c>
      <c r="I569">
        <v>1750</v>
      </c>
      <c r="J569" s="2">
        <f t="shared" si="24"/>
        <v>8575</v>
      </c>
      <c r="K569">
        <v>568</v>
      </c>
      <c r="L569" s="3">
        <f>SUM($I$2:$I569)</f>
        <v>5701500</v>
      </c>
      <c r="M569" s="3">
        <f>SUM($J$2:$J569)</f>
        <v>19920664</v>
      </c>
      <c r="N569" s="2">
        <f>SUM($D$2:$D569)</f>
        <v>2458.9700000000007</v>
      </c>
      <c r="O569" s="2">
        <f t="shared" si="25"/>
        <v>0.14653839781935821</v>
      </c>
      <c r="P569" s="2" cm="1">
        <f t="array" ref="P569">SUMPRODUCT((O569&gt;$T$9:$T$14)*(O569&lt;=$U$9:$U$14),$S$9:$S$14)</f>
        <v>3</v>
      </c>
    </row>
    <row r="570" spans="1:16" x14ac:dyDescent="0.25">
      <c r="A570">
        <v>547</v>
      </c>
      <c r="B570">
        <v>1334</v>
      </c>
      <c r="C570">
        <v>753</v>
      </c>
      <c r="D570">
        <v>3.44</v>
      </c>
      <c r="E570">
        <v>25610</v>
      </c>
      <c r="F570">
        <v>2.4</v>
      </c>
      <c r="G570">
        <v>25610024</v>
      </c>
      <c r="H570">
        <v>26</v>
      </c>
      <c r="I570">
        <v>1750</v>
      </c>
      <c r="J570" s="2">
        <f t="shared" si="24"/>
        <v>6020</v>
      </c>
      <c r="K570">
        <v>569</v>
      </c>
      <c r="L570" s="3">
        <f>SUM($I$2:$I570)</f>
        <v>5703250</v>
      </c>
      <c r="M570" s="3">
        <f>SUM($J$2:$J570)</f>
        <v>19926684</v>
      </c>
      <c r="N570" s="2">
        <f>SUM($D$2:$D570)</f>
        <v>2462.4100000000008</v>
      </c>
      <c r="O570" s="2">
        <f t="shared" si="25"/>
        <v>0.14674339913637249</v>
      </c>
      <c r="P570" s="2" cm="1">
        <f t="array" ref="P570">SUMPRODUCT((O570&gt;$T$9:$T$14)*(O570&lt;=$U$9:$U$14),$S$9:$S$14)</f>
        <v>3</v>
      </c>
    </row>
    <row r="571" spans="1:16" x14ac:dyDescent="0.25">
      <c r="A571">
        <v>419</v>
      </c>
      <c r="B571">
        <v>1206</v>
      </c>
      <c r="C571">
        <v>583</v>
      </c>
      <c r="D571">
        <v>3.38</v>
      </c>
      <c r="E571">
        <v>21041</v>
      </c>
      <c r="F571">
        <v>0</v>
      </c>
      <c r="G571">
        <v>21041000</v>
      </c>
      <c r="H571">
        <v>17</v>
      </c>
      <c r="I571">
        <v>1750</v>
      </c>
      <c r="J571" s="2">
        <f t="shared" si="24"/>
        <v>5915</v>
      </c>
      <c r="K571">
        <v>570</v>
      </c>
      <c r="L571" s="3">
        <f>SUM($I$2:$I571)</f>
        <v>5705000</v>
      </c>
      <c r="M571" s="3">
        <f>SUM($J$2:$J571)</f>
        <v>19932599</v>
      </c>
      <c r="N571" s="2">
        <f>SUM($D$2:$D571)</f>
        <v>2465.7900000000009</v>
      </c>
      <c r="O571" s="2">
        <f t="shared" si="25"/>
        <v>0.14694482484902024</v>
      </c>
      <c r="P571" s="2" cm="1">
        <f t="array" ref="P571">SUMPRODUCT((O571&gt;$T$9:$T$14)*(O571&lt;=$U$9:$U$14),$S$9:$S$14)</f>
        <v>3</v>
      </c>
    </row>
    <row r="572" spans="1:16" x14ac:dyDescent="0.25">
      <c r="A572">
        <v>581</v>
      </c>
      <c r="B572">
        <v>1368</v>
      </c>
      <c r="C572">
        <v>796</v>
      </c>
      <c r="D572">
        <v>3.34</v>
      </c>
      <c r="E572">
        <v>22050</v>
      </c>
      <c r="F572">
        <v>0</v>
      </c>
      <c r="G572">
        <v>22050000</v>
      </c>
      <c r="H572">
        <v>17</v>
      </c>
      <c r="I572">
        <v>1750</v>
      </c>
      <c r="J572" s="2">
        <f t="shared" si="24"/>
        <v>5845</v>
      </c>
      <c r="K572">
        <v>571</v>
      </c>
      <c r="L572" s="3">
        <f>SUM($I$2:$I572)</f>
        <v>5706750</v>
      </c>
      <c r="M572" s="3">
        <f>SUM($J$2:$J572)</f>
        <v>19938444</v>
      </c>
      <c r="N572" s="2">
        <f>SUM($D$2:$D572)</f>
        <v>2469.130000000001</v>
      </c>
      <c r="O572" s="2">
        <f t="shared" si="25"/>
        <v>0.14714386682542366</v>
      </c>
      <c r="P572" s="2" cm="1">
        <f t="array" ref="P572">SUMPRODUCT((O572&gt;$T$9:$T$14)*(O572&lt;=$U$9:$U$14),$S$9:$S$14)</f>
        <v>3</v>
      </c>
    </row>
    <row r="573" spans="1:16" x14ac:dyDescent="0.25">
      <c r="A573">
        <v>398</v>
      </c>
      <c r="B573">
        <v>1193</v>
      </c>
      <c r="C573">
        <v>563</v>
      </c>
      <c r="D573">
        <v>2.68</v>
      </c>
      <c r="E573">
        <v>17315</v>
      </c>
      <c r="F573">
        <v>0</v>
      </c>
      <c r="G573">
        <v>17315000</v>
      </c>
      <c r="H573">
        <v>11</v>
      </c>
      <c r="I573">
        <v>1750</v>
      </c>
      <c r="J573" s="2">
        <f t="shared" si="24"/>
        <v>4690</v>
      </c>
      <c r="K573">
        <v>572</v>
      </c>
      <c r="L573" s="3">
        <f>SUM($I$2:$I573)</f>
        <v>5708500</v>
      </c>
      <c r="M573" s="3">
        <f>SUM($J$2:$J573)</f>
        <v>19943134</v>
      </c>
      <c r="N573" s="2">
        <f>SUM($D$2:$D573)</f>
        <v>2471.8100000000009</v>
      </c>
      <c r="O573" s="2">
        <f t="shared" si="25"/>
        <v>0.14730357715379522</v>
      </c>
      <c r="P573" s="2" cm="1">
        <f t="array" ref="P573">SUMPRODUCT((O573&gt;$T$9:$T$14)*(O573&lt;=$U$9:$U$14),$S$9:$S$14)</f>
        <v>3</v>
      </c>
    </row>
    <row r="574" spans="1:16" x14ac:dyDescent="0.25">
      <c r="A574">
        <v>380</v>
      </c>
      <c r="B574">
        <v>1175</v>
      </c>
      <c r="C574">
        <v>541</v>
      </c>
      <c r="D574">
        <v>1.39</v>
      </c>
      <c r="E574">
        <v>14300</v>
      </c>
      <c r="F574">
        <v>0</v>
      </c>
      <c r="G574">
        <v>14300000</v>
      </c>
      <c r="H574">
        <v>7</v>
      </c>
      <c r="I574">
        <v>1750</v>
      </c>
      <c r="J574" s="2">
        <f t="shared" si="24"/>
        <v>2432.5</v>
      </c>
      <c r="K574">
        <v>573</v>
      </c>
      <c r="L574" s="3">
        <f>SUM($I$2:$I574)</f>
        <v>5710250</v>
      </c>
      <c r="M574" s="3">
        <f>SUM($J$2:$J574)</f>
        <v>19945566.5</v>
      </c>
      <c r="N574" s="2">
        <f>SUM($D$2:$D574)</f>
        <v>2473.2000000000007</v>
      </c>
      <c r="O574" s="2">
        <f t="shared" si="25"/>
        <v>0.14738641198828645</v>
      </c>
      <c r="P574" s="2" cm="1">
        <f t="array" ref="P574">SUMPRODUCT((O574&gt;$T$9:$T$14)*(O574&lt;=$U$9:$U$14),$S$9:$S$14)</f>
        <v>3</v>
      </c>
    </row>
    <row r="575" spans="1:16" x14ac:dyDescent="0.25">
      <c r="A575">
        <v>1196</v>
      </c>
      <c r="B575">
        <v>28</v>
      </c>
      <c r="C575">
        <v>1083</v>
      </c>
      <c r="D575">
        <v>1.38</v>
      </c>
      <c r="E575">
        <v>29210</v>
      </c>
      <c r="F575">
        <v>4.0999999999999996</v>
      </c>
      <c r="G575">
        <v>29210041</v>
      </c>
      <c r="H575">
        <v>40</v>
      </c>
      <c r="I575">
        <v>1750</v>
      </c>
      <c r="J575" s="2">
        <f t="shared" si="24"/>
        <v>2415</v>
      </c>
      <c r="K575">
        <v>574</v>
      </c>
      <c r="L575" s="3">
        <f>SUM($I$2:$I575)</f>
        <v>5712000</v>
      </c>
      <c r="M575" s="3">
        <f>SUM($J$2:$J575)</f>
        <v>19947981.5</v>
      </c>
      <c r="N575" s="2">
        <f>SUM($D$2:$D575)</f>
        <v>2474.5800000000008</v>
      </c>
      <c r="O575" s="2">
        <f t="shared" si="25"/>
        <v>0.14746865088871661</v>
      </c>
      <c r="P575" s="2" cm="1">
        <f t="array" ref="P575">SUMPRODUCT((O575&gt;$T$9:$T$14)*(O575&lt;=$U$9:$U$14),$S$9:$S$14)</f>
        <v>3</v>
      </c>
    </row>
    <row r="576" spans="1:16" x14ac:dyDescent="0.25">
      <c r="A576">
        <v>539</v>
      </c>
      <c r="B576">
        <v>1326</v>
      </c>
      <c r="C576">
        <v>744</v>
      </c>
      <c r="D576">
        <v>1.31</v>
      </c>
      <c r="E576">
        <v>19435</v>
      </c>
      <c r="F576">
        <v>2.2000000000000002</v>
      </c>
      <c r="G576">
        <v>19435022</v>
      </c>
      <c r="H576">
        <v>12</v>
      </c>
      <c r="I576">
        <v>1750</v>
      </c>
      <c r="J576" s="2">
        <f t="shared" si="24"/>
        <v>2292.5</v>
      </c>
      <c r="K576">
        <v>575</v>
      </c>
      <c r="L576" s="3">
        <f>SUM($I$2:$I576)</f>
        <v>5713750</v>
      </c>
      <c r="M576" s="3">
        <f>SUM($J$2:$J576)</f>
        <v>19950274</v>
      </c>
      <c r="N576" s="2">
        <f>SUM($D$2:$D576)</f>
        <v>2475.8900000000008</v>
      </c>
      <c r="O576" s="2">
        <f t="shared" si="25"/>
        <v>0.14754671825071913</v>
      </c>
      <c r="P576" s="2" cm="1">
        <f t="array" ref="P576">SUMPRODUCT((O576&gt;$T$9:$T$14)*(O576&lt;=$U$9:$U$14),$S$9:$S$14)</f>
        <v>3</v>
      </c>
    </row>
    <row r="577" spans="1:16" x14ac:dyDescent="0.25">
      <c r="A577">
        <v>1008</v>
      </c>
      <c r="B577">
        <v>634</v>
      </c>
      <c r="C577">
        <v>308</v>
      </c>
      <c r="D577">
        <v>19.28</v>
      </c>
      <c r="E577">
        <v>22030</v>
      </c>
      <c r="F577">
        <v>0</v>
      </c>
      <c r="G577">
        <v>22030000</v>
      </c>
      <c r="H577">
        <v>17</v>
      </c>
      <c r="I577">
        <v>1700</v>
      </c>
      <c r="J577" s="2">
        <f t="shared" si="24"/>
        <v>32776</v>
      </c>
      <c r="K577">
        <v>576</v>
      </c>
      <c r="L577" s="3">
        <f>SUM($I$2:$I577)</f>
        <v>5715450</v>
      </c>
      <c r="M577" s="3">
        <f>SUM($J$2:$J577)</f>
        <v>19983050</v>
      </c>
      <c r="N577" s="2">
        <f>SUM($D$2:$D577)</f>
        <v>2495.170000000001</v>
      </c>
      <c r="O577" s="2">
        <f t="shared" si="25"/>
        <v>0.14869567912049683</v>
      </c>
      <c r="P577" s="2" cm="1">
        <f t="array" ref="P577">SUMPRODUCT((O577&gt;$T$9:$T$14)*(O577&lt;=$U$9:$U$14),$S$9:$S$14)</f>
        <v>3</v>
      </c>
    </row>
    <row r="578" spans="1:16" x14ac:dyDescent="0.25">
      <c r="A578">
        <v>1005</v>
      </c>
      <c r="B578">
        <v>631</v>
      </c>
      <c r="C578">
        <v>305</v>
      </c>
      <c r="D578">
        <v>14.89</v>
      </c>
      <c r="E578">
        <v>20980</v>
      </c>
      <c r="F578">
        <v>0</v>
      </c>
      <c r="G578">
        <v>20980000</v>
      </c>
      <c r="H578">
        <v>17</v>
      </c>
      <c r="I578">
        <v>1700</v>
      </c>
      <c r="J578" s="2">
        <f t="shared" ref="J578:J641" si="26">I578*D578</f>
        <v>25313</v>
      </c>
      <c r="K578">
        <v>577</v>
      </c>
      <c r="L578" s="3">
        <f>SUM($I$2:$I578)</f>
        <v>5717150</v>
      </c>
      <c r="M578" s="3">
        <f>SUM($J$2:$J578)</f>
        <v>20008363</v>
      </c>
      <c r="N578" s="2">
        <f>SUM($D$2:$D578)</f>
        <v>2510.0600000000009</v>
      </c>
      <c r="O578" s="2">
        <f t="shared" ref="O578:O641" si="27">N578/$T$4</f>
        <v>0.14958302493745687</v>
      </c>
      <c r="P578" s="2" cm="1">
        <f t="array" ref="P578">SUMPRODUCT((O578&gt;$T$9:$T$14)*(O578&lt;=$U$9:$U$14),$S$9:$S$14)</f>
        <v>3</v>
      </c>
    </row>
    <row r="579" spans="1:16" x14ac:dyDescent="0.25">
      <c r="A579">
        <v>1534</v>
      </c>
      <c r="B579">
        <v>366</v>
      </c>
      <c r="C579">
        <v>1508</v>
      </c>
      <c r="D579">
        <v>10.01</v>
      </c>
      <c r="E579">
        <v>49597</v>
      </c>
      <c r="F579">
        <v>0</v>
      </c>
      <c r="G579">
        <v>49597000</v>
      </c>
      <c r="H579">
        <v>417</v>
      </c>
      <c r="I579">
        <v>1700</v>
      </c>
      <c r="J579" s="2">
        <f t="shared" si="26"/>
        <v>17017</v>
      </c>
      <c r="K579">
        <v>578</v>
      </c>
      <c r="L579" s="3">
        <f>SUM($I$2:$I579)</f>
        <v>5718850</v>
      </c>
      <c r="M579" s="3">
        <f>SUM($J$2:$J579)</f>
        <v>20025380</v>
      </c>
      <c r="N579" s="2">
        <f>SUM($D$2:$D579)</f>
        <v>2520.0700000000011</v>
      </c>
      <c r="O579" s="2">
        <f t="shared" si="27"/>
        <v>0.15017955493260596</v>
      </c>
      <c r="P579" s="2" cm="1">
        <f t="array" ref="P579">SUMPRODUCT((O579&gt;$T$9:$T$14)*(O579&lt;=$U$9:$U$14),$S$9:$S$14)</f>
        <v>3</v>
      </c>
    </row>
    <row r="580" spans="1:16" x14ac:dyDescent="0.25">
      <c r="A580">
        <v>1264</v>
      </c>
      <c r="B580">
        <v>96</v>
      </c>
      <c r="C580">
        <v>1170</v>
      </c>
      <c r="D580">
        <v>9.31</v>
      </c>
      <c r="E580">
        <v>35460</v>
      </c>
      <c r="F580">
        <v>0</v>
      </c>
      <c r="G580">
        <v>35460000</v>
      </c>
      <c r="H580">
        <v>69</v>
      </c>
      <c r="I580">
        <v>1700</v>
      </c>
      <c r="J580" s="2">
        <f t="shared" si="26"/>
        <v>15827</v>
      </c>
      <c r="K580">
        <v>579</v>
      </c>
      <c r="L580" s="3">
        <f>SUM($I$2:$I580)</f>
        <v>5720550</v>
      </c>
      <c r="M580" s="3">
        <f>SUM($J$2:$J580)</f>
        <v>20041207</v>
      </c>
      <c r="N580" s="2">
        <f>SUM($D$2:$D580)</f>
        <v>2529.380000000001</v>
      </c>
      <c r="O580" s="2">
        <f t="shared" si="27"/>
        <v>0.15073436954347891</v>
      </c>
      <c r="P580" s="2" cm="1">
        <f t="array" ref="P580">SUMPRODUCT((O580&gt;$T$9:$T$14)*(O580&lt;=$U$9:$U$14),$S$9:$S$14)</f>
        <v>3</v>
      </c>
    </row>
    <row r="581" spans="1:16" x14ac:dyDescent="0.25">
      <c r="A581">
        <v>22</v>
      </c>
      <c r="B581">
        <v>818</v>
      </c>
      <c r="C581">
        <v>1571</v>
      </c>
      <c r="D581">
        <v>5.35</v>
      </c>
      <c r="E581">
        <v>48610</v>
      </c>
      <c r="F581">
        <v>0</v>
      </c>
      <c r="G581">
        <v>48610000</v>
      </c>
      <c r="H581">
        <v>405</v>
      </c>
      <c r="I581">
        <v>1700</v>
      </c>
      <c r="J581" s="2">
        <f t="shared" si="26"/>
        <v>9095</v>
      </c>
      <c r="K581">
        <v>580</v>
      </c>
      <c r="L581" s="3">
        <f>SUM($I$2:$I581)</f>
        <v>5722250</v>
      </c>
      <c r="M581" s="3">
        <f>SUM($J$2:$J581)</f>
        <v>20050302</v>
      </c>
      <c r="N581" s="2">
        <f>SUM($D$2:$D581)</f>
        <v>2534.7300000000009</v>
      </c>
      <c r="O581" s="2">
        <f t="shared" si="27"/>
        <v>0.15105319426616098</v>
      </c>
      <c r="P581" s="2" cm="1">
        <f t="array" ref="P581">SUMPRODUCT((O581&gt;$T$9:$T$14)*(O581&lt;=$U$9:$U$14),$S$9:$S$14)</f>
        <v>3</v>
      </c>
    </row>
    <row r="582" spans="1:16" x14ac:dyDescent="0.25">
      <c r="A582">
        <v>1027</v>
      </c>
      <c r="B582">
        <v>653</v>
      </c>
      <c r="C582">
        <v>334</v>
      </c>
      <c r="D582">
        <v>4.22</v>
      </c>
      <c r="E582">
        <v>17115</v>
      </c>
      <c r="F582">
        <v>0</v>
      </c>
      <c r="G582">
        <v>17115000</v>
      </c>
      <c r="H582">
        <v>11</v>
      </c>
      <c r="I582">
        <v>1700</v>
      </c>
      <c r="J582" s="2">
        <f t="shared" si="26"/>
        <v>7174</v>
      </c>
      <c r="K582">
        <v>581</v>
      </c>
      <c r="L582" s="3">
        <f>SUM($I$2:$I582)</f>
        <v>5723950</v>
      </c>
      <c r="M582" s="3">
        <f>SUM($J$2:$J582)</f>
        <v>20057476</v>
      </c>
      <c r="N582" s="2">
        <f>SUM($D$2:$D582)</f>
        <v>2538.9500000000007</v>
      </c>
      <c r="O582" s="2">
        <f t="shared" si="27"/>
        <v>0.15130467843994011</v>
      </c>
      <c r="P582" s="2" cm="1">
        <f t="array" ref="P582">SUMPRODUCT((O582&gt;$T$9:$T$14)*(O582&lt;=$U$9:$U$14),$S$9:$S$14)</f>
        <v>3</v>
      </c>
    </row>
    <row r="583" spans="1:16" x14ac:dyDescent="0.25">
      <c r="A583">
        <v>970</v>
      </c>
      <c r="B583">
        <v>596</v>
      </c>
      <c r="C583">
        <v>258</v>
      </c>
      <c r="D583">
        <v>2.65</v>
      </c>
      <c r="E583">
        <v>13505</v>
      </c>
      <c r="F583">
        <v>0</v>
      </c>
      <c r="G583">
        <v>13505000</v>
      </c>
      <c r="H583">
        <v>6</v>
      </c>
      <c r="I583">
        <v>1700</v>
      </c>
      <c r="J583" s="2">
        <f t="shared" si="26"/>
        <v>4505</v>
      </c>
      <c r="K583">
        <v>582</v>
      </c>
      <c r="L583" s="3">
        <f>SUM($I$2:$I583)</f>
        <v>5725650</v>
      </c>
      <c r="M583" s="3">
        <f>SUM($J$2:$J583)</f>
        <v>20061981</v>
      </c>
      <c r="N583" s="2">
        <f>SUM($D$2:$D583)</f>
        <v>2541.6000000000008</v>
      </c>
      <c r="O583" s="2">
        <f t="shared" si="27"/>
        <v>0.15146260096612843</v>
      </c>
      <c r="P583" s="2" cm="1">
        <f t="array" ref="P583">SUMPRODUCT((O583&gt;$T$9:$T$14)*(O583&lt;=$U$9:$U$14),$S$9:$S$14)</f>
        <v>3</v>
      </c>
    </row>
    <row r="584" spans="1:16" x14ac:dyDescent="0.25">
      <c r="A584">
        <v>663</v>
      </c>
      <c r="B584">
        <v>1450</v>
      </c>
      <c r="C584">
        <v>897</v>
      </c>
      <c r="D584">
        <v>1.89</v>
      </c>
      <c r="E584">
        <v>17181</v>
      </c>
      <c r="F584">
        <v>8.6</v>
      </c>
      <c r="G584">
        <v>17181086</v>
      </c>
      <c r="H584">
        <v>11</v>
      </c>
      <c r="I584">
        <v>1700</v>
      </c>
      <c r="J584" s="2">
        <f t="shared" si="26"/>
        <v>3213</v>
      </c>
      <c r="K584">
        <v>583</v>
      </c>
      <c r="L584" s="3">
        <f>SUM($I$2:$I584)</f>
        <v>5727350</v>
      </c>
      <c r="M584" s="3">
        <f>SUM($J$2:$J584)</f>
        <v>20065194</v>
      </c>
      <c r="N584" s="2">
        <f>SUM($D$2:$D584)</f>
        <v>2543.4900000000007</v>
      </c>
      <c r="O584" s="2">
        <f t="shared" si="27"/>
        <v>0.15157523250367405</v>
      </c>
      <c r="P584" s="2" cm="1">
        <f t="array" ref="P584">SUMPRODUCT((O584&gt;$T$9:$T$14)*(O584&lt;=$U$9:$U$14),$S$9:$S$14)</f>
        <v>3</v>
      </c>
    </row>
    <row r="585" spans="1:16" x14ac:dyDescent="0.25">
      <c r="A585">
        <v>707</v>
      </c>
      <c r="B585">
        <v>1494</v>
      </c>
      <c r="C585">
        <v>949</v>
      </c>
      <c r="D585">
        <v>0.7</v>
      </c>
      <c r="E585">
        <v>17250</v>
      </c>
      <c r="F585">
        <v>1.6</v>
      </c>
      <c r="G585">
        <v>17250016</v>
      </c>
      <c r="H585">
        <v>11</v>
      </c>
      <c r="I585">
        <v>1700</v>
      </c>
      <c r="J585" s="2">
        <f t="shared" si="26"/>
        <v>1190</v>
      </c>
      <c r="K585">
        <v>584</v>
      </c>
      <c r="L585" s="3">
        <f>SUM($I$2:$I585)</f>
        <v>5729050</v>
      </c>
      <c r="M585" s="3">
        <f>SUM($J$2:$J585)</f>
        <v>20066384</v>
      </c>
      <c r="N585" s="2">
        <f>SUM($D$2:$D585)</f>
        <v>2544.1900000000005</v>
      </c>
      <c r="O585" s="2">
        <f t="shared" si="27"/>
        <v>0.15161694788795022</v>
      </c>
      <c r="P585" s="2" cm="1">
        <f t="array" ref="P585">SUMPRODUCT((O585&gt;$T$9:$T$14)*(O585&lt;=$U$9:$U$14),$S$9:$S$14)</f>
        <v>3</v>
      </c>
    </row>
    <row r="586" spans="1:16" x14ac:dyDescent="0.25">
      <c r="A586">
        <v>529</v>
      </c>
      <c r="B586">
        <v>1316</v>
      </c>
      <c r="C586">
        <v>733</v>
      </c>
      <c r="D586">
        <v>0.3</v>
      </c>
      <c r="E586">
        <v>17260</v>
      </c>
      <c r="F586">
        <v>0</v>
      </c>
      <c r="G586">
        <v>17260000</v>
      </c>
      <c r="H586">
        <v>11</v>
      </c>
      <c r="I586">
        <v>1700</v>
      </c>
      <c r="J586" s="2">
        <f t="shared" si="26"/>
        <v>510</v>
      </c>
      <c r="K586">
        <v>585</v>
      </c>
      <c r="L586" s="3">
        <f>SUM($I$2:$I586)</f>
        <v>5730750</v>
      </c>
      <c r="M586" s="3">
        <f>SUM($J$2:$J586)</f>
        <v>20066894</v>
      </c>
      <c r="N586" s="2">
        <f>SUM($D$2:$D586)</f>
        <v>2544.4900000000007</v>
      </c>
      <c r="O586" s="2">
        <f t="shared" si="27"/>
        <v>0.15163482590978286</v>
      </c>
      <c r="P586" s="2" cm="1">
        <f t="array" ref="P586">SUMPRODUCT((O586&gt;$T$9:$T$14)*(O586&lt;=$U$9:$U$14),$S$9:$S$14)</f>
        <v>3</v>
      </c>
    </row>
    <row r="587" spans="1:16" x14ac:dyDescent="0.25">
      <c r="A587">
        <v>567</v>
      </c>
      <c r="B587">
        <v>1354</v>
      </c>
      <c r="C587">
        <v>777</v>
      </c>
      <c r="D587">
        <v>30.24</v>
      </c>
      <c r="E587">
        <v>17680</v>
      </c>
      <c r="F587">
        <v>4.0999999999999996</v>
      </c>
      <c r="G587">
        <v>17680041</v>
      </c>
      <c r="H587">
        <v>11</v>
      </c>
      <c r="I587">
        <v>1650</v>
      </c>
      <c r="J587" s="2">
        <f t="shared" si="26"/>
        <v>49896</v>
      </c>
      <c r="K587">
        <v>586</v>
      </c>
      <c r="L587" s="3">
        <f>SUM($I$2:$I587)</f>
        <v>5732400</v>
      </c>
      <c r="M587" s="3">
        <f>SUM($J$2:$J587)</f>
        <v>20116790</v>
      </c>
      <c r="N587" s="2">
        <f>SUM($D$2:$D587)</f>
        <v>2574.7300000000005</v>
      </c>
      <c r="O587" s="2">
        <f t="shared" si="27"/>
        <v>0.15343693051051299</v>
      </c>
      <c r="P587" s="2" cm="1">
        <f t="array" ref="P587">SUMPRODUCT((O587&gt;$T$9:$T$14)*(O587&lt;=$U$9:$U$14),$S$9:$S$14)</f>
        <v>3</v>
      </c>
    </row>
    <row r="588" spans="1:16" x14ac:dyDescent="0.25">
      <c r="A588">
        <v>1362</v>
      </c>
      <c r="B588">
        <v>194</v>
      </c>
      <c r="C588">
        <v>1300</v>
      </c>
      <c r="D588">
        <v>14.58</v>
      </c>
      <c r="E588">
        <v>35456</v>
      </c>
      <c r="F588">
        <v>0</v>
      </c>
      <c r="G588">
        <v>35456000</v>
      </c>
      <c r="H588">
        <v>69</v>
      </c>
      <c r="I588">
        <v>1650</v>
      </c>
      <c r="J588" s="2">
        <f t="shared" si="26"/>
        <v>24057</v>
      </c>
      <c r="K588">
        <v>587</v>
      </c>
      <c r="L588" s="3">
        <f>SUM($I$2:$I588)</f>
        <v>5734050</v>
      </c>
      <c r="M588" s="3">
        <f>SUM($J$2:$J588)</f>
        <v>20140847</v>
      </c>
      <c r="N588" s="2">
        <f>SUM($D$2:$D588)</f>
        <v>2589.3100000000004</v>
      </c>
      <c r="O588" s="2">
        <f t="shared" si="27"/>
        <v>0.15430580237157931</v>
      </c>
      <c r="P588" s="2" cm="1">
        <f t="array" ref="P588">SUMPRODUCT((O588&gt;$T$9:$T$14)*(O588&lt;=$U$9:$U$14),$S$9:$S$14)</f>
        <v>3</v>
      </c>
    </row>
    <row r="589" spans="1:16" x14ac:dyDescent="0.25">
      <c r="A589">
        <v>711</v>
      </c>
      <c r="B589">
        <v>1498</v>
      </c>
      <c r="C589">
        <v>955</v>
      </c>
      <c r="D589">
        <v>13.01</v>
      </c>
      <c r="E589">
        <v>22090</v>
      </c>
      <c r="F589">
        <v>0</v>
      </c>
      <c r="G589">
        <v>22090000</v>
      </c>
      <c r="H589">
        <v>17</v>
      </c>
      <c r="I589">
        <v>1650</v>
      </c>
      <c r="J589" s="2">
        <f t="shared" si="26"/>
        <v>21466.5</v>
      </c>
      <c r="K589">
        <v>588</v>
      </c>
      <c r="L589" s="3">
        <f>SUM($I$2:$I589)</f>
        <v>5735700</v>
      </c>
      <c r="M589" s="3">
        <f>SUM($J$2:$J589)</f>
        <v>20162313.5</v>
      </c>
      <c r="N589" s="2">
        <f>SUM($D$2:$D589)</f>
        <v>2602.3200000000006</v>
      </c>
      <c r="O589" s="2">
        <f t="shared" si="27"/>
        <v>0.1550811125850548</v>
      </c>
      <c r="P589" s="2" cm="1">
        <f t="array" ref="P589">SUMPRODUCT((O589&gt;$T$9:$T$14)*(O589&lt;=$U$9:$U$14),$S$9:$S$14)</f>
        <v>3</v>
      </c>
    </row>
    <row r="590" spans="1:16" x14ac:dyDescent="0.25">
      <c r="A590">
        <v>389</v>
      </c>
      <c r="B590">
        <v>1184</v>
      </c>
      <c r="C590">
        <v>551</v>
      </c>
      <c r="D590">
        <v>9.83</v>
      </c>
      <c r="E590">
        <v>14210</v>
      </c>
      <c r="F590">
        <v>0</v>
      </c>
      <c r="G590">
        <v>14210000</v>
      </c>
      <c r="H590">
        <v>7</v>
      </c>
      <c r="I590">
        <v>1650</v>
      </c>
      <c r="J590" s="2">
        <f t="shared" si="26"/>
        <v>16219.5</v>
      </c>
      <c r="K590">
        <v>589</v>
      </c>
      <c r="L590" s="3">
        <f>SUM($I$2:$I590)</f>
        <v>5737350</v>
      </c>
      <c r="M590" s="3">
        <f>SUM($J$2:$J590)</f>
        <v>20178533</v>
      </c>
      <c r="N590" s="2">
        <f>SUM($D$2:$D590)</f>
        <v>2612.1500000000005</v>
      </c>
      <c r="O590" s="2">
        <f t="shared" si="27"/>
        <v>0.15566691576710431</v>
      </c>
      <c r="P590" s="2" cm="1">
        <f t="array" ref="P590">SUMPRODUCT((O590&gt;$T$9:$T$14)*(O590&lt;=$U$9:$U$14),$S$9:$S$14)</f>
        <v>3</v>
      </c>
    </row>
    <row r="591" spans="1:16" x14ac:dyDescent="0.25">
      <c r="A591">
        <v>1252</v>
      </c>
      <c r="B591">
        <v>84</v>
      </c>
      <c r="C591">
        <v>1149</v>
      </c>
      <c r="D591">
        <v>9.43</v>
      </c>
      <c r="E591">
        <v>35540</v>
      </c>
      <c r="F591">
        <v>0</v>
      </c>
      <c r="G591">
        <v>35540000</v>
      </c>
      <c r="H591">
        <v>69</v>
      </c>
      <c r="I591">
        <v>1650</v>
      </c>
      <c r="J591" s="2">
        <f t="shared" si="26"/>
        <v>15559.5</v>
      </c>
      <c r="K591">
        <v>590</v>
      </c>
      <c r="L591" s="3">
        <f>SUM($I$2:$I591)</f>
        <v>5739000</v>
      </c>
      <c r="M591" s="3">
        <f>SUM($J$2:$J591)</f>
        <v>20194092.5</v>
      </c>
      <c r="N591" s="2">
        <f>SUM($D$2:$D591)</f>
        <v>2621.5800000000004</v>
      </c>
      <c r="O591" s="2">
        <f t="shared" si="27"/>
        <v>0.15622888158671031</v>
      </c>
      <c r="P591" s="2" cm="1">
        <f t="array" ref="P591">SUMPRODUCT((O591&gt;$T$9:$T$14)*(O591&lt;=$U$9:$U$14),$S$9:$S$14)</f>
        <v>3</v>
      </c>
    </row>
    <row r="592" spans="1:16" x14ac:dyDescent="0.25">
      <c r="A592">
        <v>958</v>
      </c>
      <c r="B592">
        <v>584</v>
      </c>
      <c r="C592">
        <v>242</v>
      </c>
      <c r="D592">
        <v>9.35</v>
      </c>
      <c r="E592">
        <v>17300</v>
      </c>
      <c r="F592">
        <v>0</v>
      </c>
      <c r="G592">
        <v>17300000</v>
      </c>
      <c r="H592">
        <v>11</v>
      </c>
      <c r="I592">
        <v>1650</v>
      </c>
      <c r="J592" s="2">
        <f t="shared" si="26"/>
        <v>15427.5</v>
      </c>
      <c r="K592">
        <v>591</v>
      </c>
      <c r="L592" s="3">
        <f>SUM($I$2:$I592)</f>
        <v>5740650</v>
      </c>
      <c r="M592" s="3">
        <f>SUM($J$2:$J592)</f>
        <v>20209520</v>
      </c>
      <c r="N592" s="2">
        <f>SUM($D$2:$D592)</f>
        <v>2630.9300000000003</v>
      </c>
      <c r="O592" s="2">
        <f t="shared" si="27"/>
        <v>0.15678607993382759</v>
      </c>
      <c r="P592" s="2" cm="1">
        <f t="array" ref="P592">SUMPRODUCT((O592&gt;$T$9:$T$14)*(O592&lt;=$U$9:$U$14),$S$9:$S$14)</f>
        <v>3</v>
      </c>
    </row>
    <row r="593" spans="1:16" x14ac:dyDescent="0.25">
      <c r="A593">
        <v>632</v>
      </c>
      <c r="B593">
        <v>1419</v>
      </c>
      <c r="C593">
        <v>859</v>
      </c>
      <c r="D593">
        <v>6.01</v>
      </c>
      <c r="E593">
        <v>17330</v>
      </c>
      <c r="F593">
        <v>0</v>
      </c>
      <c r="G593">
        <v>17330000</v>
      </c>
      <c r="H593">
        <v>11</v>
      </c>
      <c r="I593">
        <v>1650</v>
      </c>
      <c r="J593" s="2">
        <f t="shared" si="26"/>
        <v>9916.5</v>
      </c>
      <c r="K593">
        <v>592</v>
      </c>
      <c r="L593" s="3">
        <f>SUM($I$2:$I593)</f>
        <v>5742300</v>
      </c>
      <c r="M593" s="3">
        <f>SUM($J$2:$J593)</f>
        <v>20219436.5</v>
      </c>
      <c r="N593" s="2">
        <f>SUM($D$2:$D593)</f>
        <v>2636.9400000000005</v>
      </c>
      <c r="O593" s="2">
        <f t="shared" si="27"/>
        <v>0.1571442363045415</v>
      </c>
      <c r="P593" s="2" cm="1">
        <f t="array" ref="P593">SUMPRODUCT((O593&gt;$T$9:$T$14)*(O593&lt;=$U$9:$U$14),$S$9:$S$14)</f>
        <v>3</v>
      </c>
    </row>
    <row r="594" spans="1:16" x14ac:dyDescent="0.25">
      <c r="A594">
        <v>1410</v>
      </c>
      <c r="B594">
        <v>242</v>
      </c>
      <c r="C594">
        <v>1363</v>
      </c>
      <c r="D594">
        <v>3.57</v>
      </c>
      <c r="E594">
        <v>47021</v>
      </c>
      <c r="F594">
        <v>0</v>
      </c>
      <c r="G594">
        <v>47021000</v>
      </c>
      <c r="H594">
        <v>400</v>
      </c>
      <c r="I594">
        <v>1650</v>
      </c>
      <c r="J594" s="2">
        <f t="shared" si="26"/>
        <v>5890.5</v>
      </c>
      <c r="K594">
        <v>593</v>
      </c>
      <c r="L594" s="3">
        <f>SUM($I$2:$I594)</f>
        <v>5743950</v>
      </c>
      <c r="M594" s="3">
        <f>SUM($J$2:$J594)</f>
        <v>20225327</v>
      </c>
      <c r="N594" s="2">
        <f>SUM($D$2:$D594)</f>
        <v>2640.5100000000007</v>
      </c>
      <c r="O594" s="2">
        <f t="shared" si="27"/>
        <v>0.15735698476434992</v>
      </c>
      <c r="P594" s="2" cm="1">
        <f t="array" ref="P594">SUMPRODUCT((O594&gt;$T$9:$T$14)*(O594&lt;=$U$9:$U$14),$S$9:$S$14)</f>
        <v>3</v>
      </c>
    </row>
    <row r="595" spans="1:16" x14ac:dyDescent="0.25">
      <c r="A595">
        <v>1117</v>
      </c>
      <c r="B595">
        <v>743</v>
      </c>
      <c r="C595">
        <v>457</v>
      </c>
      <c r="D595">
        <v>3.22</v>
      </c>
      <c r="E595">
        <v>18070</v>
      </c>
      <c r="F595">
        <v>1.2</v>
      </c>
      <c r="G595">
        <v>18070012</v>
      </c>
      <c r="H595">
        <v>11</v>
      </c>
      <c r="I595">
        <v>1650</v>
      </c>
      <c r="J595" s="2">
        <f t="shared" si="26"/>
        <v>5313</v>
      </c>
      <c r="K595">
        <v>594</v>
      </c>
      <c r="L595" s="3">
        <f>SUM($I$2:$I595)</f>
        <v>5745600</v>
      </c>
      <c r="M595" s="3">
        <f>SUM($J$2:$J595)</f>
        <v>20230640</v>
      </c>
      <c r="N595" s="2">
        <f>SUM($D$2:$D595)</f>
        <v>2643.7300000000005</v>
      </c>
      <c r="O595" s="2">
        <f t="shared" si="27"/>
        <v>0.15754887553202027</v>
      </c>
      <c r="P595" s="2" cm="1">
        <f t="array" ref="P595">SUMPRODUCT((O595&gt;$T$9:$T$14)*(O595&lt;=$U$9:$U$14),$S$9:$S$14)</f>
        <v>3</v>
      </c>
    </row>
    <row r="596" spans="1:16" x14ac:dyDescent="0.25">
      <c r="A596">
        <v>1782</v>
      </c>
      <c r="B596">
        <v>1782</v>
      </c>
      <c r="C596">
        <v>1363</v>
      </c>
      <c r="D596">
        <v>2.31</v>
      </c>
      <c r="E596">
        <v>47023</v>
      </c>
      <c r="F596">
        <v>0</v>
      </c>
      <c r="G596">
        <v>47023000</v>
      </c>
      <c r="H596">
        <v>400</v>
      </c>
      <c r="I596">
        <v>1650</v>
      </c>
      <c r="J596" s="2">
        <f t="shared" si="26"/>
        <v>3811.5</v>
      </c>
      <c r="K596">
        <v>595</v>
      </c>
      <c r="L596" s="3">
        <f>SUM($I$2:$I596)</f>
        <v>5747250</v>
      </c>
      <c r="M596" s="3">
        <f>SUM($J$2:$J596)</f>
        <v>20234451.5</v>
      </c>
      <c r="N596" s="2">
        <f>SUM($D$2:$D596)</f>
        <v>2646.0400000000004</v>
      </c>
      <c r="O596" s="2">
        <f t="shared" si="27"/>
        <v>0.15768653630013157</v>
      </c>
      <c r="P596" s="2" cm="1">
        <f t="array" ref="P596">SUMPRODUCT((O596&gt;$T$9:$T$14)*(O596&lt;=$U$9:$U$14),$S$9:$S$14)</f>
        <v>3</v>
      </c>
    </row>
    <row r="597" spans="1:16" x14ac:dyDescent="0.25">
      <c r="A597">
        <v>990</v>
      </c>
      <c r="B597">
        <v>616</v>
      </c>
      <c r="C597">
        <v>285</v>
      </c>
      <c r="D597">
        <v>1.29</v>
      </c>
      <c r="E597">
        <v>20722</v>
      </c>
      <c r="F597">
        <v>8.6</v>
      </c>
      <c r="G597">
        <v>20722086</v>
      </c>
      <c r="H597">
        <v>17</v>
      </c>
      <c r="I597">
        <v>1650</v>
      </c>
      <c r="J597" s="2">
        <f t="shared" si="26"/>
        <v>2128.5</v>
      </c>
      <c r="K597">
        <v>596</v>
      </c>
      <c r="L597" s="3">
        <f>SUM($I$2:$I597)</f>
        <v>5748900</v>
      </c>
      <c r="M597" s="3">
        <f>SUM($J$2:$J597)</f>
        <v>20236580</v>
      </c>
      <c r="N597" s="2">
        <f>SUM($D$2:$D597)</f>
        <v>2647.3300000000004</v>
      </c>
      <c r="O597" s="2">
        <f t="shared" si="27"/>
        <v>0.15776341179401193</v>
      </c>
      <c r="P597" s="2" cm="1">
        <f t="array" ref="P597">SUMPRODUCT((O597&gt;$T$9:$T$14)*(O597&lt;=$U$9:$U$14),$S$9:$S$14)</f>
        <v>3</v>
      </c>
    </row>
    <row r="598" spans="1:16" x14ac:dyDescent="0.25">
      <c r="A598">
        <v>1024</v>
      </c>
      <c r="B598">
        <v>650</v>
      </c>
      <c r="C598">
        <v>329</v>
      </c>
      <c r="D598">
        <v>0.9</v>
      </c>
      <c r="E598">
        <v>17960</v>
      </c>
      <c r="F598">
        <v>0</v>
      </c>
      <c r="G598">
        <v>17960000</v>
      </c>
      <c r="H598">
        <v>11</v>
      </c>
      <c r="I598">
        <v>1650</v>
      </c>
      <c r="J598" s="2">
        <f t="shared" si="26"/>
        <v>1485</v>
      </c>
      <c r="K598">
        <v>597</v>
      </c>
      <c r="L598" s="3">
        <f>SUM($I$2:$I598)</f>
        <v>5750550</v>
      </c>
      <c r="M598" s="3">
        <f>SUM($J$2:$J598)</f>
        <v>20238065</v>
      </c>
      <c r="N598" s="2">
        <f>SUM($D$2:$D598)</f>
        <v>2648.2300000000005</v>
      </c>
      <c r="O598" s="2">
        <f t="shared" si="27"/>
        <v>0.15781704585950987</v>
      </c>
      <c r="P598" s="2" cm="1">
        <f t="array" ref="P598">SUMPRODUCT((O598&gt;$T$9:$T$14)*(O598&lt;=$U$9:$U$14),$S$9:$S$14)</f>
        <v>3</v>
      </c>
    </row>
    <row r="599" spans="1:16" x14ac:dyDescent="0.25">
      <c r="A599">
        <v>1155</v>
      </c>
      <c r="B599">
        <v>781</v>
      </c>
      <c r="C599">
        <v>499</v>
      </c>
      <c r="D599">
        <v>0.63</v>
      </c>
      <c r="E599">
        <v>17240</v>
      </c>
      <c r="F599">
        <v>0</v>
      </c>
      <c r="G599">
        <v>17240000</v>
      </c>
      <c r="H599">
        <v>11</v>
      </c>
      <c r="I599">
        <v>1650</v>
      </c>
      <c r="J599" s="2">
        <f t="shared" si="26"/>
        <v>1039.5</v>
      </c>
      <c r="K599">
        <v>598</v>
      </c>
      <c r="L599" s="3">
        <f>SUM($I$2:$I599)</f>
        <v>5752200</v>
      </c>
      <c r="M599" s="3">
        <f>SUM($J$2:$J599)</f>
        <v>20239104.5</v>
      </c>
      <c r="N599" s="2">
        <f>SUM($D$2:$D599)</f>
        <v>2648.8600000000006</v>
      </c>
      <c r="O599" s="2">
        <f t="shared" si="27"/>
        <v>0.1578545897053584</v>
      </c>
      <c r="P599" s="2" cm="1">
        <f t="array" ref="P599">SUMPRODUCT((O599&gt;$T$9:$T$14)*(O599&lt;=$U$9:$U$14),$S$9:$S$14)</f>
        <v>3</v>
      </c>
    </row>
    <row r="600" spans="1:16" x14ac:dyDescent="0.25">
      <c r="A600">
        <v>387</v>
      </c>
      <c r="B600">
        <v>1182</v>
      </c>
      <c r="C600">
        <v>548</v>
      </c>
      <c r="D600">
        <v>0.56999999999999995</v>
      </c>
      <c r="E600">
        <v>16480</v>
      </c>
      <c r="F600">
        <v>0</v>
      </c>
      <c r="G600">
        <v>16480000</v>
      </c>
      <c r="H600">
        <v>10</v>
      </c>
      <c r="I600">
        <v>1650</v>
      </c>
      <c r="J600" s="2">
        <f t="shared" si="26"/>
        <v>940.49999999999989</v>
      </c>
      <c r="K600">
        <v>599</v>
      </c>
      <c r="L600" s="3">
        <f>SUM($I$2:$I600)</f>
        <v>5753850</v>
      </c>
      <c r="M600" s="3">
        <f>SUM($J$2:$J600)</f>
        <v>20240045</v>
      </c>
      <c r="N600" s="2">
        <f>SUM($D$2:$D600)</f>
        <v>2649.4300000000007</v>
      </c>
      <c r="O600" s="2">
        <f t="shared" si="27"/>
        <v>0.15788855794684042</v>
      </c>
      <c r="P600" s="2" cm="1">
        <f t="array" ref="P600">SUMPRODUCT((O600&gt;$T$9:$T$14)*(O600&lt;=$U$9:$U$14),$S$9:$S$14)</f>
        <v>3</v>
      </c>
    </row>
    <row r="601" spans="1:16" x14ac:dyDescent="0.25">
      <c r="A601">
        <v>1082</v>
      </c>
      <c r="B601">
        <v>708</v>
      </c>
      <c r="C601">
        <v>404</v>
      </c>
      <c r="D601">
        <v>0.46</v>
      </c>
      <c r="E601">
        <v>19430</v>
      </c>
      <c r="F601">
        <v>0</v>
      </c>
      <c r="G601">
        <v>19430000</v>
      </c>
      <c r="H601">
        <v>12</v>
      </c>
      <c r="I601">
        <v>1650</v>
      </c>
      <c r="J601" s="2">
        <f t="shared" si="26"/>
        <v>759</v>
      </c>
      <c r="K601">
        <v>600</v>
      </c>
      <c r="L601" s="3">
        <f>SUM($I$2:$I601)</f>
        <v>5755500</v>
      </c>
      <c r="M601" s="3">
        <f>SUM($J$2:$J601)</f>
        <v>20240804</v>
      </c>
      <c r="N601" s="2">
        <f>SUM($D$2:$D601)</f>
        <v>2649.8900000000008</v>
      </c>
      <c r="O601" s="2">
        <f t="shared" si="27"/>
        <v>0.15791597091365048</v>
      </c>
      <c r="P601" s="2" cm="1">
        <f t="array" ref="P601">SUMPRODUCT((O601&gt;$T$9:$T$14)*(O601&lt;=$U$9:$U$14),$S$9:$S$14)</f>
        <v>3</v>
      </c>
    </row>
    <row r="602" spans="1:16" x14ac:dyDescent="0.25">
      <c r="A602">
        <v>824</v>
      </c>
      <c r="B602">
        <v>450</v>
      </c>
      <c r="C602">
        <v>60</v>
      </c>
      <c r="D602">
        <v>7.13</v>
      </c>
      <c r="E602">
        <v>20703</v>
      </c>
      <c r="F602">
        <v>0</v>
      </c>
      <c r="G602">
        <v>20703000</v>
      </c>
      <c r="H602">
        <v>17</v>
      </c>
      <c r="I602">
        <v>1600</v>
      </c>
      <c r="J602" s="2">
        <f t="shared" si="26"/>
        <v>11408</v>
      </c>
      <c r="K602">
        <v>601</v>
      </c>
      <c r="L602" s="3">
        <f>SUM($I$2:$I602)</f>
        <v>5757100</v>
      </c>
      <c r="M602" s="3">
        <f>SUM($J$2:$J602)</f>
        <v>20252212</v>
      </c>
      <c r="N602" s="2">
        <f>SUM($D$2:$D602)</f>
        <v>2657.0200000000009</v>
      </c>
      <c r="O602" s="2">
        <f t="shared" si="27"/>
        <v>0.15834087189920623</v>
      </c>
      <c r="P602" s="2" cm="1">
        <f t="array" ref="P602">SUMPRODUCT((O602&gt;$T$9:$T$14)*(O602&lt;=$U$9:$U$14),$S$9:$S$14)</f>
        <v>3</v>
      </c>
    </row>
    <row r="603" spans="1:16" x14ac:dyDescent="0.25">
      <c r="A603">
        <v>968</v>
      </c>
      <c r="B603">
        <v>594</v>
      </c>
      <c r="C603">
        <v>256</v>
      </c>
      <c r="D603">
        <v>6.47</v>
      </c>
      <c r="E603">
        <v>17260</v>
      </c>
      <c r="F603">
        <v>2.1</v>
      </c>
      <c r="G603">
        <v>17260021</v>
      </c>
      <c r="H603">
        <v>11</v>
      </c>
      <c r="I603">
        <v>1600</v>
      </c>
      <c r="J603" s="2">
        <f t="shared" si="26"/>
        <v>10352</v>
      </c>
      <c r="K603">
        <v>602</v>
      </c>
      <c r="L603" s="3">
        <f>SUM($I$2:$I603)</f>
        <v>5758700</v>
      </c>
      <c r="M603" s="3">
        <f>SUM($J$2:$J603)</f>
        <v>20262564</v>
      </c>
      <c r="N603" s="2">
        <f>SUM($D$2:$D603)</f>
        <v>2663.4900000000007</v>
      </c>
      <c r="O603" s="2">
        <f t="shared" si="27"/>
        <v>0.15872644123673019</v>
      </c>
      <c r="P603" s="2" cm="1">
        <f t="array" ref="P603">SUMPRODUCT((O603&gt;$T$9:$T$14)*(O603&lt;=$U$9:$U$14),$S$9:$S$14)</f>
        <v>3</v>
      </c>
    </row>
    <row r="604" spans="1:16" x14ac:dyDescent="0.25">
      <c r="A604">
        <v>1775</v>
      </c>
      <c r="B604">
        <v>1775</v>
      </c>
      <c r="C604">
        <v>0</v>
      </c>
      <c r="D604">
        <v>5.43</v>
      </c>
      <c r="E604">
        <v>35560</v>
      </c>
      <c r="F604">
        <v>6.1</v>
      </c>
      <c r="G604">
        <v>35560061</v>
      </c>
      <c r="H604">
        <v>69</v>
      </c>
      <c r="I604">
        <v>1600</v>
      </c>
      <c r="J604" s="2">
        <f t="shared" si="26"/>
        <v>8688</v>
      </c>
      <c r="K604">
        <v>603</v>
      </c>
      <c r="L604" s="3">
        <f>SUM($I$2:$I604)</f>
        <v>5760300</v>
      </c>
      <c r="M604" s="3">
        <f>SUM($J$2:$J604)</f>
        <v>20271252</v>
      </c>
      <c r="N604" s="2">
        <f>SUM($D$2:$D604)</f>
        <v>2668.9200000000005</v>
      </c>
      <c r="O604" s="2">
        <f t="shared" si="27"/>
        <v>0.15905003343190094</v>
      </c>
      <c r="P604" s="2" cm="1">
        <f t="array" ref="P604">SUMPRODUCT((O604&gt;$T$9:$T$14)*(O604&lt;=$U$9:$U$14),$S$9:$S$14)</f>
        <v>3</v>
      </c>
    </row>
    <row r="605" spans="1:16" x14ac:dyDescent="0.25">
      <c r="A605">
        <v>429</v>
      </c>
      <c r="B605">
        <v>1216</v>
      </c>
      <c r="C605">
        <v>596</v>
      </c>
      <c r="D605">
        <v>4.26</v>
      </c>
      <c r="E605">
        <v>17145</v>
      </c>
      <c r="F605">
        <v>0</v>
      </c>
      <c r="G605">
        <v>17145000</v>
      </c>
      <c r="H605">
        <v>11</v>
      </c>
      <c r="I605">
        <v>1600</v>
      </c>
      <c r="J605" s="2">
        <f t="shared" si="26"/>
        <v>6816</v>
      </c>
      <c r="K605">
        <v>604</v>
      </c>
      <c r="L605" s="3">
        <f>SUM($I$2:$I605)</f>
        <v>5761900</v>
      </c>
      <c r="M605" s="3">
        <f>SUM($J$2:$J605)</f>
        <v>20278068</v>
      </c>
      <c r="N605" s="2">
        <f>SUM($D$2:$D605)</f>
        <v>2673.1800000000007</v>
      </c>
      <c r="O605" s="2">
        <f t="shared" si="27"/>
        <v>0.15930390134192446</v>
      </c>
      <c r="P605" s="2" cm="1">
        <f t="array" ref="P605">SUMPRODUCT((O605&gt;$T$9:$T$14)*(O605&lt;=$U$9:$U$14),$S$9:$S$14)</f>
        <v>3</v>
      </c>
    </row>
    <row r="606" spans="1:16" x14ac:dyDescent="0.25">
      <c r="A606">
        <v>677</v>
      </c>
      <c r="B606">
        <v>1464</v>
      </c>
      <c r="C606">
        <v>914</v>
      </c>
      <c r="D606">
        <v>3.54</v>
      </c>
      <c r="E606">
        <v>14510</v>
      </c>
      <c r="F606">
        <v>0</v>
      </c>
      <c r="G606">
        <v>14510000</v>
      </c>
      <c r="H606">
        <v>7</v>
      </c>
      <c r="I606">
        <v>1600</v>
      </c>
      <c r="J606" s="2">
        <f t="shared" si="26"/>
        <v>5664</v>
      </c>
      <c r="K606">
        <v>605</v>
      </c>
      <c r="L606" s="3">
        <f>SUM($I$2:$I606)</f>
        <v>5763500</v>
      </c>
      <c r="M606" s="3">
        <f>SUM($J$2:$J606)</f>
        <v>20283732</v>
      </c>
      <c r="N606" s="2">
        <f>SUM($D$2:$D606)</f>
        <v>2676.7200000000007</v>
      </c>
      <c r="O606" s="2">
        <f t="shared" si="27"/>
        <v>0.15951486199954962</v>
      </c>
      <c r="P606" s="2" cm="1">
        <f t="array" ref="P606">SUMPRODUCT((O606&gt;$T$9:$T$14)*(O606&lt;=$U$9:$U$14),$S$9:$S$14)</f>
        <v>3</v>
      </c>
    </row>
    <row r="607" spans="1:16" x14ac:dyDescent="0.25">
      <c r="A607">
        <v>474</v>
      </c>
      <c r="B607">
        <v>1261</v>
      </c>
      <c r="C607">
        <v>657</v>
      </c>
      <c r="D607">
        <v>3.45</v>
      </c>
      <c r="E607">
        <v>18300</v>
      </c>
      <c r="F607">
        <v>0</v>
      </c>
      <c r="G607">
        <v>18300000</v>
      </c>
      <c r="H607">
        <v>11</v>
      </c>
      <c r="I607">
        <v>1600</v>
      </c>
      <c r="J607" s="2">
        <f t="shared" si="26"/>
        <v>5520</v>
      </c>
      <c r="K607">
        <v>606</v>
      </c>
      <c r="L607" s="3">
        <f>SUM($I$2:$I607)</f>
        <v>5765100</v>
      </c>
      <c r="M607" s="3">
        <f>SUM($J$2:$J607)</f>
        <v>20289252</v>
      </c>
      <c r="N607" s="2">
        <f>SUM($D$2:$D607)</f>
        <v>2680.1700000000005</v>
      </c>
      <c r="O607" s="2">
        <f t="shared" si="27"/>
        <v>0.15972045925062497</v>
      </c>
      <c r="P607" s="2" cm="1">
        <f t="array" ref="P607">SUMPRODUCT((O607&gt;$T$9:$T$14)*(O607&lt;=$U$9:$U$14),$S$9:$S$14)</f>
        <v>3</v>
      </c>
    </row>
    <row r="608" spans="1:16" x14ac:dyDescent="0.25">
      <c r="A608">
        <v>1411</v>
      </c>
      <c r="B608">
        <v>243</v>
      </c>
      <c r="C608">
        <v>1364</v>
      </c>
      <c r="D608">
        <v>3.39</v>
      </c>
      <c r="E608">
        <v>47018</v>
      </c>
      <c r="F608">
        <v>0</v>
      </c>
      <c r="G608">
        <v>47018000</v>
      </c>
      <c r="H608">
        <v>400</v>
      </c>
      <c r="I608">
        <v>1600</v>
      </c>
      <c r="J608" s="2">
        <f t="shared" si="26"/>
        <v>5424</v>
      </c>
      <c r="K608">
        <v>607</v>
      </c>
      <c r="L608" s="3">
        <f>SUM($I$2:$I608)</f>
        <v>5766700</v>
      </c>
      <c r="M608" s="3">
        <f>SUM($J$2:$J608)</f>
        <v>20294676</v>
      </c>
      <c r="N608" s="2">
        <f>SUM($D$2:$D608)</f>
        <v>2683.5600000000004</v>
      </c>
      <c r="O608" s="2">
        <f t="shared" si="27"/>
        <v>0.1599224808973338</v>
      </c>
      <c r="P608" s="2" cm="1">
        <f t="array" ref="P608">SUMPRODUCT((O608&gt;$T$9:$T$14)*(O608&lt;=$U$9:$U$14),$S$9:$S$14)</f>
        <v>3</v>
      </c>
    </row>
    <row r="609" spans="1:16" x14ac:dyDescent="0.25">
      <c r="A609">
        <v>1367</v>
      </c>
      <c r="B609">
        <v>199</v>
      </c>
      <c r="C609">
        <v>1305</v>
      </c>
      <c r="D609">
        <v>2.0299999999999998</v>
      </c>
      <c r="E609">
        <v>38620</v>
      </c>
      <c r="F609">
        <v>5.3</v>
      </c>
      <c r="G609">
        <v>38620053</v>
      </c>
      <c r="H609">
        <v>89</v>
      </c>
      <c r="I609">
        <v>1600</v>
      </c>
      <c r="J609" s="2">
        <f t="shared" si="26"/>
        <v>3247.9999999999995</v>
      </c>
      <c r="K609">
        <v>608</v>
      </c>
      <c r="L609" s="3">
        <f>SUM($I$2:$I609)</f>
        <v>5768300</v>
      </c>
      <c r="M609" s="3">
        <f>SUM($J$2:$J609)</f>
        <v>20297924</v>
      </c>
      <c r="N609" s="2">
        <f>SUM($D$2:$D609)</f>
        <v>2685.5900000000006</v>
      </c>
      <c r="O609" s="2">
        <f t="shared" si="27"/>
        <v>0.16004345551173466</v>
      </c>
      <c r="P609" s="2" cm="1">
        <f t="array" ref="P609">SUMPRODUCT((O609&gt;$T$9:$T$14)*(O609&lt;=$U$9:$U$14),$S$9:$S$14)</f>
        <v>3</v>
      </c>
    </row>
    <row r="610" spans="1:16" x14ac:dyDescent="0.25">
      <c r="A610">
        <v>1197</v>
      </c>
      <c r="B610">
        <v>29</v>
      </c>
      <c r="C610">
        <v>1084</v>
      </c>
      <c r="D610">
        <v>1.38</v>
      </c>
      <c r="E610">
        <v>29210</v>
      </c>
      <c r="F610">
        <v>2.7</v>
      </c>
      <c r="G610">
        <v>29210027</v>
      </c>
      <c r="H610">
        <v>40</v>
      </c>
      <c r="I610">
        <v>1600</v>
      </c>
      <c r="J610" s="2">
        <f t="shared" si="26"/>
        <v>2208</v>
      </c>
      <c r="K610">
        <v>609</v>
      </c>
      <c r="L610" s="3">
        <f>SUM($I$2:$I610)</f>
        <v>5769900</v>
      </c>
      <c r="M610" s="3">
        <f>SUM($J$2:$J610)</f>
        <v>20300132</v>
      </c>
      <c r="N610" s="2">
        <f>SUM($D$2:$D610)</f>
        <v>2686.9700000000007</v>
      </c>
      <c r="O610" s="2">
        <f t="shared" si="27"/>
        <v>0.16012569441216482</v>
      </c>
      <c r="P610" s="2" cm="1">
        <f t="array" ref="P610">SUMPRODUCT((O610&gt;$T$9:$T$14)*(O610&lt;=$U$9:$U$14),$S$9:$S$14)</f>
        <v>3</v>
      </c>
    </row>
    <row r="611" spans="1:16" x14ac:dyDescent="0.25">
      <c r="A611">
        <v>427</v>
      </c>
      <c r="B611">
        <v>1214</v>
      </c>
      <c r="C611">
        <v>593</v>
      </c>
      <c r="D611">
        <v>0.2</v>
      </c>
      <c r="E611">
        <v>17260</v>
      </c>
      <c r="F611">
        <v>0.3</v>
      </c>
      <c r="G611">
        <v>17260003</v>
      </c>
      <c r="H611">
        <v>11</v>
      </c>
      <c r="I611">
        <v>1600</v>
      </c>
      <c r="J611" s="2">
        <f t="shared" si="26"/>
        <v>320</v>
      </c>
      <c r="K611">
        <v>610</v>
      </c>
      <c r="L611" s="3">
        <f>SUM($I$2:$I611)</f>
        <v>5771500</v>
      </c>
      <c r="M611" s="3">
        <f>SUM($J$2:$J611)</f>
        <v>20300452</v>
      </c>
      <c r="N611" s="2">
        <f>SUM($D$2:$D611)</f>
        <v>2687.1700000000005</v>
      </c>
      <c r="O611" s="2">
        <f t="shared" si="27"/>
        <v>0.16013761309338656</v>
      </c>
      <c r="P611" s="2" cm="1">
        <f t="array" ref="P611">SUMPRODUCT((O611&gt;$T$9:$T$14)*(O611&lt;=$U$9:$U$14),$S$9:$S$14)</f>
        <v>3</v>
      </c>
    </row>
    <row r="612" spans="1:16" x14ac:dyDescent="0.25">
      <c r="A612">
        <v>591</v>
      </c>
      <c r="B612">
        <v>1378</v>
      </c>
      <c r="C612">
        <v>807</v>
      </c>
      <c r="D612">
        <v>16.690000000000001</v>
      </c>
      <c r="E612">
        <v>21260</v>
      </c>
      <c r="F612">
        <v>0</v>
      </c>
      <c r="G612">
        <v>21260000</v>
      </c>
      <c r="H612">
        <v>17</v>
      </c>
      <c r="I612">
        <v>1550</v>
      </c>
      <c r="J612" s="2">
        <f t="shared" si="26"/>
        <v>25869.500000000004</v>
      </c>
      <c r="K612">
        <v>611</v>
      </c>
      <c r="L612" s="3">
        <f>SUM($I$2:$I612)</f>
        <v>5773050</v>
      </c>
      <c r="M612" s="3">
        <f>SUM($J$2:$J612)</f>
        <v>20326321.5</v>
      </c>
      <c r="N612" s="2">
        <f>SUM($D$2:$D612)</f>
        <v>2703.8600000000006</v>
      </c>
      <c r="O612" s="2">
        <f t="shared" si="27"/>
        <v>0.16113222704134245</v>
      </c>
      <c r="P612" s="2" cm="1">
        <f t="array" ref="P612">SUMPRODUCT((O612&gt;$T$9:$T$14)*(O612&lt;=$U$9:$U$14),$S$9:$S$14)</f>
        <v>3</v>
      </c>
    </row>
    <row r="613" spans="1:16" x14ac:dyDescent="0.25">
      <c r="A613">
        <v>969</v>
      </c>
      <c r="B613">
        <v>595</v>
      </c>
      <c r="C613">
        <v>257</v>
      </c>
      <c r="D613">
        <v>15.63</v>
      </c>
      <c r="E613">
        <v>17148</v>
      </c>
      <c r="F613">
        <v>3.5</v>
      </c>
      <c r="G613">
        <v>17148035</v>
      </c>
      <c r="H613">
        <v>11</v>
      </c>
      <c r="I613">
        <v>1550</v>
      </c>
      <c r="J613" s="2">
        <f t="shared" si="26"/>
        <v>24226.5</v>
      </c>
      <c r="K613">
        <v>612</v>
      </c>
      <c r="L613" s="3">
        <f>SUM($I$2:$I613)</f>
        <v>5774600</v>
      </c>
      <c r="M613" s="3">
        <f>SUM($J$2:$J613)</f>
        <v>20350548</v>
      </c>
      <c r="N613" s="2">
        <f>SUM($D$2:$D613)</f>
        <v>2719.4900000000007</v>
      </c>
      <c r="O613" s="2">
        <f t="shared" si="27"/>
        <v>0.16206367197882302</v>
      </c>
      <c r="P613" s="2" cm="1">
        <f t="array" ref="P613">SUMPRODUCT((O613&gt;$T$9:$T$14)*(O613&lt;=$U$9:$U$14),$S$9:$S$14)</f>
        <v>3</v>
      </c>
    </row>
    <row r="614" spans="1:16" x14ac:dyDescent="0.25">
      <c r="A614">
        <v>679</v>
      </c>
      <c r="B614">
        <v>1466</v>
      </c>
      <c r="C614">
        <v>916</v>
      </c>
      <c r="D614">
        <v>10.79</v>
      </c>
      <c r="E614">
        <v>14030</v>
      </c>
      <c r="F614">
        <v>0</v>
      </c>
      <c r="G614">
        <v>14030000</v>
      </c>
      <c r="H614">
        <v>7</v>
      </c>
      <c r="I614">
        <v>1550</v>
      </c>
      <c r="J614" s="2">
        <f t="shared" si="26"/>
        <v>16724.5</v>
      </c>
      <c r="K614">
        <v>613</v>
      </c>
      <c r="L614" s="3">
        <f>SUM($I$2:$I614)</f>
        <v>5776150</v>
      </c>
      <c r="M614" s="3">
        <f>SUM($J$2:$J614)</f>
        <v>20367272.5</v>
      </c>
      <c r="N614" s="2">
        <f>SUM($D$2:$D614)</f>
        <v>2730.2800000000007</v>
      </c>
      <c r="O614" s="2">
        <f t="shared" si="27"/>
        <v>0.162706684830737</v>
      </c>
      <c r="P614" s="2" cm="1">
        <f t="array" ref="P614">SUMPRODUCT((O614&gt;$T$9:$T$14)*(O614&lt;=$U$9:$U$14),$S$9:$S$14)</f>
        <v>3</v>
      </c>
    </row>
    <row r="615" spans="1:16" x14ac:dyDescent="0.25">
      <c r="A615">
        <v>1135</v>
      </c>
      <c r="B615">
        <v>761</v>
      </c>
      <c r="C615">
        <v>476</v>
      </c>
      <c r="D615">
        <v>8.52</v>
      </c>
      <c r="E615">
        <v>20722</v>
      </c>
      <c r="F615">
        <v>0</v>
      </c>
      <c r="G615">
        <v>20722000</v>
      </c>
      <c r="H615">
        <v>17</v>
      </c>
      <c r="I615">
        <v>1550</v>
      </c>
      <c r="J615" s="2">
        <f t="shared" si="26"/>
        <v>13206</v>
      </c>
      <c r="K615">
        <v>614</v>
      </c>
      <c r="L615" s="3">
        <f>SUM($I$2:$I615)</f>
        <v>5777700</v>
      </c>
      <c r="M615" s="3">
        <f>SUM($J$2:$J615)</f>
        <v>20380478.5</v>
      </c>
      <c r="N615" s="2">
        <f>SUM($D$2:$D615)</f>
        <v>2738.8000000000006</v>
      </c>
      <c r="O615" s="2">
        <f t="shared" si="27"/>
        <v>0.16321442065078395</v>
      </c>
      <c r="P615" s="2" cm="1">
        <f t="array" ref="P615">SUMPRODUCT((O615&gt;$T$9:$T$14)*(O615&lt;=$U$9:$U$14),$S$9:$S$14)</f>
        <v>3</v>
      </c>
    </row>
    <row r="616" spans="1:16" x14ac:dyDescent="0.25">
      <c r="A616">
        <v>1748</v>
      </c>
      <c r="B616">
        <v>1748</v>
      </c>
      <c r="C616">
        <v>0</v>
      </c>
      <c r="D616">
        <v>8.32</v>
      </c>
      <c r="E616">
        <v>18035</v>
      </c>
      <c r="F616">
        <v>0</v>
      </c>
      <c r="G616">
        <v>18035000</v>
      </c>
      <c r="H616">
        <v>11</v>
      </c>
      <c r="I616">
        <v>1550</v>
      </c>
      <c r="J616" s="2">
        <f t="shared" si="26"/>
        <v>12896</v>
      </c>
      <c r="K616">
        <v>615</v>
      </c>
      <c r="L616" s="3">
        <f>SUM($I$2:$I616)</f>
        <v>5779250</v>
      </c>
      <c r="M616" s="3">
        <f>SUM($J$2:$J616)</f>
        <v>20393374.5</v>
      </c>
      <c r="N616" s="2">
        <f>SUM($D$2:$D616)</f>
        <v>2747.1200000000008</v>
      </c>
      <c r="O616" s="2">
        <f t="shared" si="27"/>
        <v>0.16371023778960919</v>
      </c>
      <c r="P616" s="2" cm="1">
        <f t="array" ref="P616">SUMPRODUCT((O616&gt;$T$9:$T$14)*(O616&lt;=$U$9:$U$14),$S$9:$S$14)</f>
        <v>3</v>
      </c>
    </row>
    <row r="617" spans="1:16" x14ac:dyDescent="0.25">
      <c r="A617">
        <v>779</v>
      </c>
      <c r="B617">
        <v>1566</v>
      </c>
      <c r="C617">
        <v>1049</v>
      </c>
      <c r="D617">
        <v>3.25</v>
      </c>
      <c r="E617">
        <v>31060</v>
      </c>
      <c r="F617">
        <v>7.8</v>
      </c>
      <c r="G617">
        <v>31060078</v>
      </c>
      <c r="H617">
        <v>48</v>
      </c>
      <c r="I617">
        <v>1550</v>
      </c>
      <c r="J617" s="2">
        <f t="shared" si="26"/>
        <v>5037.5</v>
      </c>
      <c r="K617">
        <v>616</v>
      </c>
      <c r="L617" s="3">
        <f>SUM($I$2:$I617)</f>
        <v>5780800</v>
      </c>
      <c r="M617" s="3">
        <f>SUM($J$2:$J617)</f>
        <v>20398412</v>
      </c>
      <c r="N617" s="2">
        <f>SUM($D$2:$D617)</f>
        <v>2750.3700000000008</v>
      </c>
      <c r="O617" s="2">
        <f t="shared" si="27"/>
        <v>0.1639039163594628</v>
      </c>
      <c r="P617" s="2" cm="1">
        <f t="array" ref="P617">SUMPRODUCT((O617&gt;$T$9:$T$14)*(O617&lt;=$U$9:$U$14),$S$9:$S$14)</f>
        <v>3</v>
      </c>
    </row>
    <row r="618" spans="1:16" x14ac:dyDescent="0.25">
      <c r="A618">
        <v>1198</v>
      </c>
      <c r="B618">
        <v>30</v>
      </c>
      <c r="C618">
        <v>1085</v>
      </c>
      <c r="D618">
        <v>2.67</v>
      </c>
      <c r="E618">
        <v>29210</v>
      </c>
      <c r="F618">
        <v>0</v>
      </c>
      <c r="G618">
        <v>29210000</v>
      </c>
      <c r="H618">
        <v>40</v>
      </c>
      <c r="I618">
        <v>1550</v>
      </c>
      <c r="J618" s="2">
        <f t="shared" si="26"/>
        <v>4138.5</v>
      </c>
      <c r="K618">
        <v>617</v>
      </c>
      <c r="L618" s="3">
        <f>SUM($I$2:$I618)</f>
        <v>5782350</v>
      </c>
      <c r="M618" s="3">
        <f>SUM($J$2:$J618)</f>
        <v>20402550.5</v>
      </c>
      <c r="N618" s="2">
        <f>SUM($D$2:$D618)</f>
        <v>2753.0400000000009</v>
      </c>
      <c r="O618" s="2">
        <f t="shared" si="27"/>
        <v>0.16406303075377329</v>
      </c>
      <c r="P618" s="2" cm="1">
        <f t="array" ref="P618">SUMPRODUCT((O618&gt;$T$9:$T$14)*(O618&lt;=$U$9:$U$14),$S$9:$S$14)</f>
        <v>3</v>
      </c>
    </row>
    <row r="619" spans="1:16" x14ac:dyDescent="0.25">
      <c r="A619">
        <v>831</v>
      </c>
      <c r="B619">
        <v>457</v>
      </c>
      <c r="C619">
        <v>68</v>
      </c>
      <c r="D619">
        <v>1.62</v>
      </c>
      <c r="E619">
        <v>17130</v>
      </c>
      <c r="F619">
        <v>0</v>
      </c>
      <c r="G619">
        <v>17130000</v>
      </c>
      <c r="H619">
        <v>11</v>
      </c>
      <c r="I619">
        <v>1550</v>
      </c>
      <c r="J619" s="2">
        <f t="shared" si="26"/>
        <v>2511</v>
      </c>
      <c r="K619">
        <v>618</v>
      </c>
      <c r="L619" s="3">
        <f>SUM($I$2:$I619)</f>
        <v>5783900</v>
      </c>
      <c r="M619" s="3">
        <f>SUM($J$2:$J619)</f>
        <v>20405061.5</v>
      </c>
      <c r="N619" s="2">
        <f>SUM($D$2:$D619)</f>
        <v>2754.6600000000008</v>
      </c>
      <c r="O619" s="2">
        <f t="shared" si="27"/>
        <v>0.16415957207166956</v>
      </c>
      <c r="P619" s="2" cm="1">
        <f t="array" ref="P619">SUMPRODUCT((O619&gt;$T$9:$T$14)*(O619&lt;=$U$9:$U$14),$S$9:$S$14)</f>
        <v>3</v>
      </c>
    </row>
    <row r="620" spans="1:16" x14ac:dyDescent="0.25">
      <c r="A620">
        <v>1072</v>
      </c>
      <c r="B620">
        <v>698</v>
      </c>
      <c r="C620">
        <v>391</v>
      </c>
      <c r="D620">
        <v>1.59</v>
      </c>
      <c r="E620">
        <v>17260</v>
      </c>
      <c r="F620">
        <v>0.5</v>
      </c>
      <c r="G620">
        <v>17260005</v>
      </c>
      <c r="H620">
        <v>11</v>
      </c>
      <c r="I620">
        <v>1550</v>
      </c>
      <c r="J620" s="2">
        <f t="shared" si="26"/>
        <v>2464.5</v>
      </c>
      <c r="K620">
        <v>619</v>
      </c>
      <c r="L620" s="3">
        <f>SUM($I$2:$I620)</f>
        <v>5785450</v>
      </c>
      <c r="M620" s="3">
        <f>SUM($J$2:$J620)</f>
        <v>20407526</v>
      </c>
      <c r="N620" s="2">
        <f>SUM($D$2:$D620)</f>
        <v>2756.2500000000009</v>
      </c>
      <c r="O620" s="2">
        <f t="shared" si="27"/>
        <v>0.16425432558738257</v>
      </c>
      <c r="P620" s="2" cm="1">
        <f t="array" ref="P620">SUMPRODUCT((O620&gt;$T$9:$T$14)*(O620&lt;=$U$9:$U$14),$S$9:$S$14)</f>
        <v>3</v>
      </c>
    </row>
    <row r="621" spans="1:16" x14ac:dyDescent="0.25">
      <c r="A621">
        <v>64</v>
      </c>
      <c r="B621">
        <v>860</v>
      </c>
      <c r="C621">
        <v>1616</v>
      </c>
      <c r="D621">
        <v>1.0900000000000001</v>
      </c>
      <c r="E621">
        <v>49803</v>
      </c>
      <c r="F621">
        <v>0</v>
      </c>
      <c r="G621">
        <v>49803000</v>
      </c>
      <c r="H621">
        <v>420</v>
      </c>
      <c r="I621">
        <v>1550</v>
      </c>
      <c r="J621" s="2">
        <f t="shared" si="26"/>
        <v>1689.5000000000002</v>
      </c>
      <c r="K621">
        <v>620</v>
      </c>
      <c r="L621" s="3">
        <f>SUM($I$2:$I621)</f>
        <v>5787000</v>
      </c>
      <c r="M621" s="3">
        <f>SUM($J$2:$J621)</f>
        <v>20409215.5</v>
      </c>
      <c r="N621" s="2">
        <f>SUM($D$2:$D621)</f>
        <v>2757.3400000000011</v>
      </c>
      <c r="O621" s="2">
        <f t="shared" si="27"/>
        <v>0.16431928240004115</v>
      </c>
      <c r="P621" s="2" cm="1">
        <f t="array" ref="P621">SUMPRODUCT((O621&gt;$T$9:$T$14)*(O621&lt;=$U$9:$U$14),$S$9:$S$14)</f>
        <v>3</v>
      </c>
    </row>
    <row r="622" spans="1:16" x14ac:dyDescent="0.25">
      <c r="A622">
        <v>384</v>
      </c>
      <c r="B622">
        <v>1179</v>
      </c>
      <c r="C622">
        <v>545</v>
      </c>
      <c r="D622">
        <v>0.71</v>
      </c>
      <c r="E622">
        <v>19415</v>
      </c>
      <c r="F622">
        <v>0</v>
      </c>
      <c r="G622">
        <v>19415000</v>
      </c>
      <c r="H622">
        <v>12</v>
      </c>
      <c r="I622">
        <v>1550</v>
      </c>
      <c r="J622" s="2">
        <f t="shared" si="26"/>
        <v>1100.5</v>
      </c>
      <c r="K622">
        <v>621</v>
      </c>
      <c r="L622" s="3">
        <f>SUM($I$2:$I622)</f>
        <v>5788550</v>
      </c>
      <c r="M622" s="3">
        <f>SUM($J$2:$J622)</f>
        <v>20410316</v>
      </c>
      <c r="N622" s="2">
        <f>SUM($D$2:$D622)</f>
        <v>2758.0500000000011</v>
      </c>
      <c r="O622" s="2">
        <f t="shared" si="27"/>
        <v>0.16436159371837841</v>
      </c>
      <c r="P622" s="2" cm="1">
        <f t="array" ref="P622">SUMPRODUCT((O622&gt;$T$9:$T$14)*(O622&lt;=$U$9:$U$14),$S$9:$S$14)</f>
        <v>3</v>
      </c>
    </row>
    <row r="623" spans="1:16" x14ac:dyDescent="0.25">
      <c r="A623">
        <v>788</v>
      </c>
      <c r="B623">
        <v>414</v>
      </c>
      <c r="C623">
        <v>13</v>
      </c>
      <c r="D623">
        <v>0.6</v>
      </c>
      <c r="E623">
        <v>13400</v>
      </c>
      <c r="F623">
        <v>7.7</v>
      </c>
      <c r="G623">
        <v>13400077</v>
      </c>
      <c r="H623">
        <v>6</v>
      </c>
      <c r="I623">
        <v>1550</v>
      </c>
      <c r="J623" s="2">
        <f t="shared" si="26"/>
        <v>930</v>
      </c>
      <c r="K623">
        <v>622</v>
      </c>
      <c r="L623" s="3">
        <f>SUM($I$2:$I623)</f>
        <v>5790100</v>
      </c>
      <c r="M623" s="3">
        <f>SUM($J$2:$J623)</f>
        <v>20411246</v>
      </c>
      <c r="N623" s="2">
        <f>SUM($D$2:$D623)</f>
        <v>2758.650000000001</v>
      </c>
      <c r="O623" s="2">
        <f t="shared" si="27"/>
        <v>0.16439734976204368</v>
      </c>
      <c r="P623" s="2" cm="1">
        <f t="array" ref="P623">SUMPRODUCT((O623&gt;$T$9:$T$14)*(O623&lt;=$U$9:$U$14),$S$9:$S$14)</f>
        <v>3</v>
      </c>
    </row>
    <row r="624" spans="1:16" x14ac:dyDescent="0.25">
      <c r="A624">
        <v>1097</v>
      </c>
      <c r="B624">
        <v>723</v>
      </c>
      <c r="C624">
        <v>429</v>
      </c>
      <c r="D624">
        <v>12.33</v>
      </c>
      <c r="E624">
        <v>21860</v>
      </c>
      <c r="F624">
        <v>0</v>
      </c>
      <c r="G624">
        <v>21860000</v>
      </c>
      <c r="H624">
        <v>17</v>
      </c>
      <c r="I624">
        <v>1500</v>
      </c>
      <c r="J624" s="2">
        <f t="shared" si="26"/>
        <v>18495</v>
      </c>
      <c r="K624">
        <v>623</v>
      </c>
      <c r="L624" s="3">
        <f>SUM($I$2:$I624)</f>
        <v>5791600</v>
      </c>
      <c r="M624" s="3">
        <f>SUM($J$2:$J624)</f>
        <v>20429741</v>
      </c>
      <c r="N624" s="2">
        <f>SUM($D$2:$D624)</f>
        <v>2770.9800000000009</v>
      </c>
      <c r="O624" s="2">
        <f t="shared" si="27"/>
        <v>0.1651321364593652</v>
      </c>
      <c r="P624" s="2" cm="1">
        <f t="array" ref="P624">SUMPRODUCT((O624&gt;$T$9:$T$14)*(O624&lt;=$U$9:$U$14),$S$9:$S$14)</f>
        <v>3</v>
      </c>
    </row>
    <row r="625" spans="1:16" x14ac:dyDescent="0.25">
      <c r="A625">
        <v>415</v>
      </c>
      <c r="B625">
        <v>408</v>
      </c>
      <c r="C625">
        <v>6</v>
      </c>
      <c r="D625">
        <v>10.87</v>
      </c>
      <c r="E625">
        <v>13430</v>
      </c>
      <c r="F625">
        <v>1.6</v>
      </c>
      <c r="G625">
        <v>13430016</v>
      </c>
      <c r="H625">
        <v>6</v>
      </c>
      <c r="I625">
        <v>1500</v>
      </c>
      <c r="J625" s="2">
        <f t="shared" si="26"/>
        <v>16304.999999999998</v>
      </c>
      <c r="K625">
        <v>624</v>
      </c>
      <c r="L625" s="3">
        <f>SUM($I$2:$I625)</f>
        <v>5793100</v>
      </c>
      <c r="M625" s="3">
        <f>SUM($J$2:$J625)</f>
        <v>20446046</v>
      </c>
      <c r="N625" s="2">
        <f>SUM($D$2:$D625)</f>
        <v>2781.8500000000008</v>
      </c>
      <c r="O625" s="2">
        <f t="shared" si="27"/>
        <v>0.16577991678376786</v>
      </c>
      <c r="P625" s="2" cm="1">
        <f t="array" ref="P625">SUMPRODUCT((O625&gt;$T$9:$T$14)*(O625&lt;=$U$9:$U$14),$S$9:$S$14)</f>
        <v>3</v>
      </c>
    </row>
    <row r="626" spans="1:16" x14ac:dyDescent="0.25">
      <c r="A626">
        <v>842</v>
      </c>
      <c r="B626">
        <v>468</v>
      </c>
      <c r="C626">
        <v>82</v>
      </c>
      <c r="D626">
        <v>9.74</v>
      </c>
      <c r="E626">
        <v>18140</v>
      </c>
      <c r="F626">
        <v>0</v>
      </c>
      <c r="G626">
        <v>18140000</v>
      </c>
      <c r="H626">
        <v>11</v>
      </c>
      <c r="I626">
        <v>1500</v>
      </c>
      <c r="J626" s="2">
        <f t="shared" si="26"/>
        <v>14610</v>
      </c>
      <c r="K626">
        <v>625</v>
      </c>
      <c r="L626" s="3">
        <f>SUM($I$2:$I626)</f>
        <v>5794600</v>
      </c>
      <c r="M626" s="3">
        <f>SUM($J$2:$J626)</f>
        <v>20460656</v>
      </c>
      <c r="N626" s="2">
        <f>SUM($D$2:$D626)</f>
        <v>2791.5900000000006</v>
      </c>
      <c r="O626" s="2">
        <f t="shared" si="27"/>
        <v>0.16636035655926756</v>
      </c>
      <c r="P626" s="2" cm="1">
        <f t="array" ref="P626">SUMPRODUCT((O626&gt;$T$9:$T$14)*(O626&lt;=$U$9:$U$14),$S$9:$S$14)</f>
        <v>3</v>
      </c>
    </row>
    <row r="627" spans="1:16" x14ac:dyDescent="0.25">
      <c r="A627">
        <v>1138</v>
      </c>
      <c r="B627">
        <v>764</v>
      </c>
      <c r="C627">
        <v>479</v>
      </c>
      <c r="D627">
        <v>9.66</v>
      </c>
      <c r="E627">
        <v>17615</v>
      </c>
      <c r="F627">
        <v>32.799999999999997</v>
      </c>
      <c r="G627">
        <v>17615328</v>
      </c>
      <c r="H627">
        <v>11</v>
      </c>
      <c r="I627">
        <v>1500</v>
      </c>
      <c r="J627" s="2">
        <f t="shared" si="26"/>
        <v>14490</v>
      </c>
      <c r="K627">
        <v>626</v>
      </c>
      <c r="L627" s="3">
        <f>SUM($I$2:$I627)</f>
        <v>5796100</v>
      </c>
      <c r="M627" s="3">
        <f>SUM($J$2:$J627)</f>
        <v>20475146</v>
      </c>
      <c r="N627" s="2">
        <f>SUM($D$2:$D627)</f>
        <v>2801.2500000000005</v>
      </c>
      <c r="O627" s="2">
        <f t="shared" si="27"/>
        <v>0.16693602886227857</v>
      </c>
      <c r="P627" s="2" cm="1">
        <f t="array" ref="P627">SUMPRODUCT((O627&gt;$T$9:$T$14)*(O627&lt;=$U$9:$U$14),$S$9:$S$14)</f>
        <v>3</v>
      </c>
    </row>
    <row r="628" spans="1:16" x14ac:dyDescent="0.25">
      <c r="A628">
        <v>400</v>
      </c>
      <c r="B628">
        <v>1195</v>
      </c>
      <c r="C628">
        <v>566</v>
      </c>
      <c r="D628">
        <v>7.01</v>
      </c>
      <c r="E628">
        <v>18030</v>
      </c>
      <c r="F628">
        <v>0</v>
      </c>
      <c r="G628">
        <v>18030000</v>
      </c>
      <c r="H628">
        <v>11</v>
      </c>
      <c r="I628">
        <v>1500</v>
      </c>
      <c r="J628" s="2">
        <f t="shared" si="26"/>
        <v>10515</v>
      </c>
      <c r="K628">
        <v>627</v>
      </c>
      <c r="L628" s="3">
        <f>SUM($I$2:$I628)</f>
        <v>5797600</v>
      </c>
      <c r="M628" s="3">
        <f>SUM($J$2:$J628)</f>
        <v>20485661</v>
      </c>
      <c r="N628" s="2">
        <f>SUM($D$2:$D628)</f>
        <v>2808.2600000000007</v>
      </c>
      <c r="O628" s="2">
        <f t="shared" si="27"/>
        <v>0.16735377863910128</v>
      </c>
      <c r="P628" s="2" cm="1">
        <f t="array" ref="P628">SUMPRODUCT((O628&gt;$T$9:$T$14)*(O628&lt;=$U$9:$U$14),$S$9:$S$14)</f>
        <v>3</v>
      </c>
    </row>
    <row r="629" spans="1:16" x14ac:dyDescent="0.25">
      <c r="A629">
        <v>943</v>
      </c>
      <c r="B629">
        <v>569</v>
      </c>
      <c r="C629">
        <v>227</v>
      </c>
      <c r="D629">
        <v>6.9</v>
      </c>
      <c r="E629">
        <v>12229</v>
      </c>
      <c r="F629">
        <v>5.0999999999999996</v>
      </c>
      <c r="G629">
        <v>12229051</v>
      </c>
      <c r="H629">
        <v>3</v>
      </c>
      <c r="I629">
        <v>1500</v>
      </c>
      <c r="J629" s="2">
        <f t="shared" si="26"/>
        <v>10350</v>
      </c>
      <c r="K629">
        <v>628</v>
      </c>
      <c r="L629" s="3">
        <f>SUM($I$2:$I629)</f>
        <v>5799100</v>
      </c>
      <c r="M629" s="3">
        <f>SUM($J$2:$J629)</f>
        <v>20496011</v>
      </c>
      <c r="N629" s="2">
        <f>SUM($D$2:$D629)</f>
        <v>2815.1600000000008</v>
      </c>
      <c r="O629" s="2">
        <f t="shared" si="27"/>
        <v>0.16776497314125202</v>
      </c>
      <c r="P629" s="2" cm="1">
        <f t="array" ref="P629">SUMPRODUCT((O629&gt;$T$9:$T$14)*(O629&lt;=$U$9:$U$14),$S$9:$S$14)</f>
        <v>3</v>
      </c>
    </row>
    <row r="630" spans="1:16" x14ac:dyDescent="0.25">
      <c r="A630">
        <v>553</v>
      </c>
      <c r="B630">
        <v>1340</v>
      </c>
      <c r="C630">
        <v>759</v>
      </c>
      <c r="D630">
        <v>6.54</v>
      </c>
      <c r="E630">
        <v>20771</v>
      </c>
      <c r="F630">
        <v>0</v>
      </c>
      <c r="G630">
        <v>20771000</v>
      </c>
      <c r="H630">
        <v>17</v>
      </c>
      <c r="I630">
        <v>1500</v>
      </c>
      <c r="J630" s="2">
        <f t="shared" si="26"/>
        <v>9810</v>
      </c>
      <c r="K630">
        <v>629</v>
      </c>
      <c r="L630" s="3">
        <f>SUM($I$2:$I630)</f>
        <v>5800600</v>
      </c>
      <c r="M630" s="3">
        <f>SUM($J$2:$J630)</f>
        <v>20505821</v>
      </c>
      <c r="N630" s="2">
        <f>SUM($D$2:$D630)</f>
        <v>2821.7000000000007</v>
      </c>
      <c r="O630" s="2">
        <f t="shared" si="27"/>
        <v>0.16815471401720355</v>
      </c>
      <c r="P630" s="2" cm="1">
        <f t="array" ref="P630">SUMPRODUCT((O630&gt;$T$9:$T$14)*(O630&lt;=$U$9:$U$14),$S$9:$S$14)</f>
        <v>3</v>
      </c>
    </row>
    <row r="631" spans="1:16" x14ac:dyDescent="0.25">
      <c r="A631">
        <v>1090</v>
      </c>
      <c r="B631">
        <v>716</v>
      </c>
      <c r="C631">
        <v>417</v>
      </c>
      <c r="D631">
        <v>5.74</v>
      </c>
      <c r="E631">
        <v>20756</v>
      </c>
      <c r="F631">
        <v>0</v>
      </c>
      <c r="G631">
        <v>20756000</v>
      </c>
      <c r="H631">
        <v>17</v>
      </c>
      <c r="I631">
        <v>1500</v>
      </c>
      <c r="J631" s="2">
        <f t="shared" si="26"/>
        <v>8610</v>
      </c>
      <c r="K631">
        <v>630</v>
      </c>
      <c r="L631" s="3">
        <f>SUM($I$2:$I631)</f>
        <v>5802100</v>
      </c>
      <c r="M631" s="3">
        <f>SUM($J$2:$J631)</f>
        <v>20514431</v>
      </c>
      <c r="N631" s="2">
        <f>SUM($D$2:$D631)</f>
        <v>2827.4400000000005</v>
      </c>
      <c r="O631" s="2">
        <f t="shared" si="27"/>
        <v>0.16849678016826808</v>
      </c>
      <c r="P631" s="2" cm="1">
        <f t="array" ref="P631">SUMPRODUCT((O631&gt;$T$9:$T$14)*(O631&lt;=$U$9:$U$14),$S$9:$S$14)</f>
        <v>3</v>
      </c>
    </row>
    <row r="632" spans="1:16" x14ac:dyDescent="0.25">
      <c r="A632">
        <v>1466</v>
      </c>
      <c r="B632">
        <v>298</v>
      </c>
      <c r="C632">
        <v>1426</v>
      </c>
      <c r="D632">
        <v>5.37</v>
      </c>
      <c r="E632">
        <v>46030</v>
      </c>
      <c r="F632">
        <v>1.1000000000000001</v>
      </c>
      <c r="G632">
        <v>46030011</v>
      </c>
      <c r="H632">
        <v>144</v>
      </c>
      <c r="I632">
        <v>1500</v>
      </c>
      <c r="J632" s="2">
        <f t="shared" si="26"/>
        <v>8055</v>
      </c>
      <c r="K632">
        <v>631</v>
      </c>
      <c r="L632" s="3">
        <f>SUM($I$2:$I632)</f>
        <v>5803600</v>
      </c>
      <c r="M632" s="3">
        <f>SUM($J$2:$J632)</f>
        <v>20522486</v>
      </c>
      <c r="N632" s="2">
        <f>SUM($D$2:$D632)</f>
        <v>2832.8100000000004</v>
      </c>
      <c r="O632" s="2">
        <f t="shared" si="27"/>
        <v>0.16881679675907232</v>
      </c>
      <c r="P632" s="2" cm="1">
        <f t="array" ref="P632">SUMPRODUCT((O632&gt;$T$9:$T$14)*(O632&lt;=$U$9:$U$14),$S$9:$S$14)</f>
        <v>3</v>
      </c>
    </row>
    <row r="633" spans="1:16" x14ac:dyDescent="0.25">
      <c r="A633">
        <v>466</v>
      </c>
      <c r="B633">
        <v>1253</v>
      </c>
      <c r="C633">
        <v>648</v>
      </c>
      <c r="D633">
        <v>4.18</v>
      </c>
      <c r="E633">
        <v>22160</v>
      </c>
      <c r="F633">
        <v>0</v>
      </c>
      <c r="G633">
        <v>22160000</v>
      </c>
      <c r="H633">
        <v>17</v>
      </c>
      <c r="I633">
        <v>1500</v>
      </c>
      <c r="J633" s="2">
        <f t="shared" si="26"/>
        <v>6270</v>
      </c>
      <c r="K633">
        <v>632</v>
      </c>
      <c r="L633" s="3">
        <f>SUM($I$2:$I633)</f>
        <v>5805100</v>
      </c>
      <c r="M633" s="3">
        <f>SUM($J$2:$J633)</f>
        <v>20528756</v>
      </c>
      <c r="N633" s="2">
        <f>SUM($D$2:$D633)</f>
        <v>2836.9900000000002</v>
      </c>
      <c r="O633" s="2">
        <f t="shared" si="27"/>
        <v>0.16906589719660711</v>
      </c>
      <c r="P633" s="2" cm="1">
        <f t="array" ref="P633">SUMPRODUCT((O633&gt;$T$9:$T$14)*(O633&lt;=$U$9:$U$14),$S$9:$S$14)</f>
        <v>3</v>
      </c>
    </row>
    <row r="634" spans="1:16" x14ac:dyDescent="0.25">
      <c r="A634">
        <v>1465</v>
      </c>
      <c r="B634">
        <v>297</v>
      </c>
      <c r="C634">
        <v>1425</v>
      </c>
      <c r="D634">
        <v>4.08</v>
      </c>
      <c r="E634">
        <v>46030</v>
      </c>
      <c r="F634">
        <v>6.5</v>
      </c>
      <c r="G634">
        <v>46030065</v>
      </c>
      <c r="H634">
        <v>144</v>
      </c>
      <c r="I634">
        <v>1500</v>
      </c>
      <c r="J634" s="2">
        <f t="shared" si="26"/>
        <v>6120</v>
      </c>
      <c r="K634">
        <v>633</v>
      </c>
      <c r="L634" s="3">
        <f>SUM($I$2:$I634)</f>
        <v>5806600</v>
      </c>
      <c r="M634" s="3">
        <f>SUM($J$2:$J634)</f>
        <v>20534876</v>
      </c>
      <c r="N634" s="2">
        <f>SUM($D$2:$D634)</f>
        <v>2841.07</v>
      </c>
      <c r="O634" s="2">
        <f t="shared" si="27"/>
        <v>0.169309038293531</v>
      </c>
      <c r="P634" s="2" cm="1">
        <f t="array" ref="P634">SUMPRODUCT((O634&gt;$T$9:$T$14)*(O634&lt;=$U$9:$U$14),$S$9:$S$14)</f>
        <v>3</v>
      </c>
    </row>
    <row r="635" spans="1:16" x14ac:dyDescent="0.25">
      <c r="A635">
        <v>827</v>
      </c>
      <c r="B635">
        <v>453</v>
      </c>
      <c r="C635">
        <v>63</v>
      </c>
      <c r="D635">
        <v>1.9</v>
      </c>
      <c r="E635">
        <v>17960</v>
      </c>
      <c r="F635">
        <v>0.9</v>
      </c>
      <c r="G635">
        <v>17960009</v>
      </c>
      <c r="H635">
        <v>11</v>
      </c>
      <c r="I635">
        <v>1500</v>
      </c>
      <c r="J635" s="2">
        <f t="shared" si="26"/>
        <v>2850</v>
      </c>
      <c r="K635">
        <v>634</v>
      </c>
      <c r="L635" s="3">
        <f>SUM($I$2:$I635)</f>
        <v>5808100</v>
      </c>
      <c r="M635" s="3">
        <f>SUM($J$2:$J635)</f>
        <v>20537726</v>
      </c>
      <c r="N635" s="2">
        <f>SUM($D$2:$D635)</f>
        <v>2842.9700000000003</v>
      </c>
      <c r="O635" s="2">
        <f t="shared" si="27"/>
        <v>0.16942226576513775</v>
      </c>
      <c r="P635" s="2" cm="1">
        <f t="array" ref="P635">SUMPRODUCT((O635&gt;$T$9:$T$14)*(O635&lt;=$U$9:$U$14),$S$9:$S$14)</f>
        <v>3</v>
      </c>
    </row>
    <row r="636" spans="1:16" x14ac:dyDescent="0.25">
      <c r="A636">
        <v>766</v>
      </c>
      <c r="B636">
        <v>1553</v>
      </c>
      <c r="C636">
        <v>1022</v>
      </c>
      <c r="D636">
        <v>1.0900000000000001</v>
      </c>
      <c r="E636">
        <v>32753</v>
      </c>
      <c r="F636">
        <v>0</v>
      </c>
      <c r="G636">
        <v>32753000</v>
      </c>
      <c r="H636">
        <v>58</v>
      </c>
      <c r="I636">
        <v>1500</v>
      </c>
      <c r="J636" s="2">
        <f t="shared" si="26"/>
        <v>1635.0000000000002</v>
      </c>
      <c r="K636">
        <v>635</v>
      </c>
      <c r="L636" s="3">
        <f>SUM($I$2:$I636)</f>
        <v>5809600</v>
      </c>
      <c r="M636" s="3">
        <f>SUM($J$2:$J636)</f>
        <v>20539361</v>
      </c>
      <c r="N636" s="2">
        <f>SUM($D$2:$D636)</f>
        <v>2844.0600000000004</v>
      </c>
      <c r="O636" s="2">
        <f t="shared" si="27"/>
        <v>0.16948722257779633</v>
      </c>
      <c r="P636" s="2" cm="1">
        <f t="array" ref="P636">SUMPRODUCT((O636&gt;$T$9:$T$14)*(O636&lt;=$U$9:$U$14),$S$9:$S$14)</f>
        <v>3</v>
      </c>
    </row>
    <row r="637" spans="1:16" x14ac:dyDescent="0.25">
      <c r="A637">
        <v>352</v>
      </c>
      <c r="B637">
        <v>1147</v>
      </c>
      <c r="C637">
        <v>2016</v>
      </c>
      <c r="D637">
        <v>0.83</v>
      </c>
      <c r="E637">
        <v>81060</v>
      </c>
      <c r="F637">
        <v>0</v>
      </c>
      <c r="G637">
        <v>81060000</v>
      </c>
      <c r="H637">
        <v>7186</v>
      </c>
      <c r="I637">
        <v>1500</v>
      </c>
      <c r="J637" s="2">
        <f t="shared" si="26"/>
        <v>1245</v>
      </c>
      <c r="K637">
        <v>636</v>
      </c>
      <c r="L637" s="3">
        <f>SUM($I$2:$I637)</f>
        <v>5811100</v>
      </c>
      <c r="M637" s="3">
        <f>SUM($J$2:$J637)</f>
        <v>20540606</v>
      </c>
      <c r="N637" s="2">
        <f>SUM($D$2:$D637)</f>
        <v>2844.8900000000003</v>
      </c>
      <c r="O637" s="2">
        <f t="shared" si="27"/>
        <v>0.16953668510486664</v>
      </c>
      <c r="P637" s="2" cm="1">
        <f t="array" ref="P637">SUMPRODUCT((O637&gt;$T$9:$T$14)*(O637&lt;=$U$9:$U$14),$S$9:$S$14)</f>
        <v>3</v>
      </c>
    </row>
    <row r="638" spans="1:16" x14ac:dyDescent="0.25">
      <c r="A638">
        <v>1832</v>
      </c>
      <c r="B638">
        <v>1832</v>
      </c>
      <c r="C638">
        <v>42</v>
      </c>
      <c r="D638">
        <v>0.51</v>
      </c>
      <c r="E638">
        <v>12254</v>
      </c>
      <c r="F638">
        <v>3.1</v>
      </c>
      <c r="G638">
        <v>12254031</v>
      </c>
      <c r="H638">
        <v>3</v>
      </c>
      <c r="I638">
        <v>1500</v>
      </c>
      <c r="J638" s="2">
        <f t="shared" si="26"/>
        <v>765</v>
      </c>
      <c r="K638">
        <v>637</v>
      </c>
      <c r="L638" s="3">
        <f>SUM($I$2:$I638)</f>
        <v>5812600</v>
      </c>
      <c r="M638" s="3">
        <f>SUM($J$2:$J638)</f>
        <v>20541371</v>
      </c>
      <c r="N638" s="2">
        <f>SUM($D$2:$D638)</f>
        <v>2845.4000000000005</v>
      </c>
      <c r="O638" s="2">
        <f t="shared" si="27"/>
        <v>0.16956707774198213</v>
      </c>
      <c r="P638" s="2" cm="1">
        <f t="array" ref="P638">SUMPRODUCT((O638&gt;$T$9:$T$14)*(O638&lt;=$U$9:$U$14),$S$9:$S$14)</f>
        <v>3</v>
      </c>
    </row>
    <row r="639" spans="1:16" x14ac:dyDescent="0.25">
      <c r="A639">
        <v>641</v>
      </c>
      <c r="B639">
        <v>1428</v>
      </c>
      <c r="C639">
        <v>868</v>
      </c>
      <c r="D639">
        <v>16.989999999999998</v>
      </c>
      <c r="E639">
        <v>17760</v>
      </c>
      <c r="F639">
        <v>17.2</v>
      </c>
      <c r="G639">
        <v>17760172</v>
      </c>
      <c r="H639">
        <v>11</v>
      </c>
      <c r="I639">
        <v>1450</v>
      </c>
      <c r="J639" s="2">
        <f t="shared" si="26"/>
        <v>24635.499999999996</v>
      </c>
      <c r="K639">
        <v>638</v>
      </c>
      <c r="L639" s="3">
        <f>SUM($I$2:$I639)</f>
        <v>5814050</v>
      </c>
      <c r="M639" s="3">
        <f>SUM($J$2:$J639)</f>
        <v>20566006.5</v>
      </c>
      <c r="N639" s="2">
        <f>SUM($D$2:$D639)</f>
        <v>2862.3900000000003</v>
      </c>
      <c r="O639" s="2">
        <f t="shared" si="27"/>
        <v>0.17057956971177066</v>
      </c>
      <c r="P639" s="2" cm="1">
        <f t="array" ref="P639">SUMPRODUCT((O639&gt;$T$9:$T$14)*(O639&lt;=$U$9:$U$14),$S$9:$S$14)</f>
        <v>3</v>
      </c>
    </row>
    <row r="640" spans="1:16" x14ac:dyDescent="0.25">
      <c r="A640">
        <v>1257</v>
      </c>
      <c r="B640">
        <v>89</v>
      </c>
      <c r="C640">
        <v>1156</v>
      </c>
      <c r="D640">
        <v>14.58</v>
      </c>
      <c r="E640">
        <v>35523</v>
      </c>
      <c r="F640">
        <v>0</v>
      </c>
      <c r="G640">
        <v>35523000</v>
      </c>
      <c r="H640">
        <v>69</v>
      </c>
      <c r="I640">
        <v>1450</v>
      </c>
      <c r="J640" s="2">
        <f t="shared" si="26"/>
        <v>21141</v>
      </c>
      <c r="K640">
        <v>639</v>
      </c>
      <c r="L640" s="3">
        <f>SUM($I$2:$I640)</f>
        <v>5815500</v>
      </c>
      <c r="M640" s="3">
        <f>SUM($J$2:$J640)</f>
        <v>20587147.5</v>
      </c>
      <c r="N640" s="2">
        <f>SUM($D$2:$D640)</f>
        <v>2876.9700000000003</v>
      </c>
      <c r="O640" s="2">
        <f t="shared" si="27"/>
        <v>0.17144844157283695</v>
      </c>
      <c r="P640" s="2" cm="1">
        <f t="array" ref="P640">SUMPRODUCT((O640&gt;$T$9:$T$14)*(O640&lt;=$U$9:$U$14),$S$9:$S$14)</f>
        <v>3</v>
      </c>
    </row>
    <row r="641" spans="1:16" x14ac:dyDescent="0.25">
      <c r="A641">
        <v>502</v>
      </c>
      <c r="B641">
        <v>1289</v>
      </c>
      <c r="C641">
        <v>695</v>
      </c>
      <c r="D641">
        <v>14.36</v>
      </c>
      <c r="E641">
        <v>17060</v>
      </c>
      <c r="F641">
        <v>0</v>
      </c>
      <c r="G641">
        <v>17060000</v>
      </c>
      <c r="H641">
        <v>11</v>
      </c>
      <c r="I641">
        <v>1450</v>
      </c>
      <c r="J641" s="2">
        <f t="shared" si="26"/>
        <v>20822</v>
      </c>
      <c r="K641">
        <v>640</v>
      </c>
      <c r="L641" s="3">
        <f>SUM($I$2:$I641)</f>
        <v>5816950</v>
      </c>
      <c r="M641" s="3">
        <f>SUM($J$2:$J641)</f>
        <v>20607969.5</v>
      </c>
      <c r="N641" s="2">
        <f>SUM($D$2:$D641)</f>
        <v>2891.3300000000004</v>
      </c>
      <c r="O641" s="2">
        <f t="shared" si="27"/>
        <v>0.17230420288455936</v>
      </c>
      <c r="P641" s="2" cm="1">
        <f t="array" ref="P641">SUMPRODUCT((O641&gt;$T$9:$T$14)*(O641&lt;=$U$9:$U$14),$S$9:$S$14)</f>
        <v>3</v>
      </c>
    </row>
    <row r="642" spans="1:16" x14ac:dyDescent="0.25">
      <c r="A642">
        <v>1464</v>
      </c>
      <c r="B642">
        <v>296</v>
      </c>
      <c r="C642">
        <v>1424</v>
      </c>
      <c r="D642">
        <v>12.77</v>
      </c>
      <c r="E642">
        <v>46045</v>
      </c>
      <c r="F642">
        <v>0</v>
      </c>
      <c r="G642">
        <v>46045000</v>
      </c>
      <c r="H642">
        <v>144</v>
      </c>
      <c r="I642">
        <v>1450</v>
      </c>
      <c r="J642" s="2">
        <f t="shared" ref="J642:J705" si="28">I642*D642</f>
        <v>18516.5</v>
      </c>
      <c r="K642">
        <v>641</v>
      </c>
      <c r="L642" s="3">
        <f>SUM($I$2:$I642)</f>
        <v>5818400</v>
      </c>
      <c r="M642" s="3">
        <f>SUM($J$2:$J642)</f>
        <v>20626486</v>
      </c>
      <c r="N642" s="2">
        <f>SUM($D$2:$D642)</f>
        <v>2904.1000000000004</v>
      </c>
      <c r="O642" s="2">
        <f t="shared" ref="O642:O705" si="29">N642/$T$4</f>
        <v>0.17306521068056874</v>
      </c>
      <c r="P642" s="2" cm="1">
        <f t="array" ref="P642">SUMPRODUCT((O642&gt;$T$9:$T$14)*(O642&lt;=$U$9:$U$14),$S$9:$S$14)</f>
        <v>3</v>
      </c>
    </row>
    <row r="643" spans="1:16" x14ac:dyDescent="0.25">
      <c r="A643">
        <v>983</v>
      </c>
      <c r="B643">
        <v>609</v>
      </c>
      <c r="C643">
        <v>277</v>
      </c>
      <c r="D643">
        <v>11.87</v>
      </c>
      <c r="E643">
        <v>20730</v>
      </c>
      <c r="F643">
        <v>0.3</v>
      </c>
      <c r="G643">
        <v>20730003</v>
      </c>
      <c r="H643">
        <v>17</v>
      </c>
      <c r="I643">
        <v>1450</v>
      </c>
      <c r="J643" s="2">
        <f t="shared" si="28"/>
        <v>17211.5</v>
      </c>
      <c r="K643">
        <v>642</v>
      </c>
      <c r="L643" s="3">
        <f>SUM($I$2:$I643)</f>
        <v>5819850</v>
      </c>
      <c r="M643" s="3">
        <f>SUM($J$2:$J643)</f>
        <v>20643697.5</v>
      </c>
      <c r="N643" s="2">
        <f>SUM($D$2:$D643)</f>
        <v>2915.9700000000003</v>
      </c>
      <c r="O643" s="2">
        <f t="shared" si="29"/>
        <v>0.17377258441108021</v>
      </c>
      <c r="P643" s="2" cm="1">
        <f t="array" ref="P643">SUMPRODUCT((O643&gt;$T$9:$T$14)*(O643&lt;=$U$9:$U$14),$S$9:$S$14)</f>
        <v>3</v>
      </c>
    </row>
    <row r="644" spans="1:16" x14ac:dyDescent="0.25">
      <c r="A644">
        <v>1771</v>
      </c>
      <c r="B644">
        <v>1771</v>
      </c>
      <c r="C644">
        <v>0</v>
      </c>
      <c r="D644">
        <v>9.0500000000000007</v>
      </c>
      <c r="E644">
        <v>35565</v>
      </c>
      <c r="F644">
        <v>0</v>
      </c>
      <c r="G644">
        <v>35565000</v>
      </c>
      <c r="H644">
        <v>69</v>
      </c>
      <c r="I644">
        <v>1450</v>
      </c>
      <c r="J644" s="2">
        <f t="shared" si="28"/>
        <v>13122.500000000002</v>
      </c>
      <c r="K644">
        <v>643</v>
      </c>
      <c r="L644" s="3">
        <f>SUM($I$2:$I644)</f>
        <v>5821300</v>
      </c>
      <c r="M644" s="3">
        <f>SUM($J$2:$J644)</f>
        <v>20656820</v>
      </c>
      <c r="N644" s="2">
        <f>SUM($D$2:$D644)</f>
        <v>2925.0200000000004</v>
      </c>
      <c r="O644" s="2">
        <f t="shared" si="29"/>
        <v>0.17431190473636485</v>
      </c>
      <c r="P644" s="2" cm="1">
        <f t="array" ref="P644">SUMPRODUCT((O644&gt;$T$9:$T$14)*(O644&lt;=$U$9:$U$14),$S$9:$S$14)</f>
        <v>3</v>
      </c>
    </row>
    <row r="645" spans="1:16" x14ac:dyDescent="0.25">
      <c r="A645">
        <v>1176</v>
      </c>
      <c r="B645">
        <v>8</v>
      </c>
      <c r="C645">
        <v>5</v>
      </c>
      <c r="D645">
        <v>6.61</v>
      </c>
      <c r="E645">
        <v>13446</v>
      </c>
      <c r="F645">
        <v>0</v>
      </c>
      <c r="G645">
        <v>13446000</v>
      </c>
      <c r="H645">
        <v>6</v>
      </c>
      <c r="I645">
        <v>1450</v>
      </c>
      <c r="J645" s="2">
        <f t="shared" si="28"/>
        <v>9584.5</v>
      </c>
      <c r="K645">
        <v>644</v>
      </c>
      <c r="L645" s="3">
        <f>SUM($I$2:$I645)</f>
        <v>5822750</v>
      </c>
      <c r="M645" s="3">
        <f>SUM($J$2:$J645)</f>
        <v>20666404.5</v>
      </c>
      <c r="N645" s="2">
        <f>SUM($D$2:$D645)</f>
        <v>2931.6300000000006</v>
      </c>
      <c r="O645" s="2">
        <f t="shared" si="29"/>
        <v>0.17470581715074404</v>
      </c>
      <c r="P645" s="2" cm="1">
        <f t="array" ref="P645">SUMPRODUCT((O645&gt;$T$9:$T$14)*(O645&lt;=$U$9:$U$14),$S$9:$S$14)</f>
        <v>3</v>
      </c>
    </row>
    <row r="646" spans="1:16" x14ac:dyDescent="0.25">
      <c r="A646">
        <v>1093</v>
      </c>
      <c r="B646">
        <v>719</v>
      </c>
      <c r="C646">
        <v>421</v>
      </c>
      <c r="D646">
        <v>3.17</v>
      </c>
      <c r="E646">
        <v>14530</v>
      </c>
      <c r="F646">
        <v>0</v>
      </c>
      <c r="G646">
        <v>14530000</v>
      </c>
      <c r="H646">
        <v>7</v>
      </c>
      <c r="I646">
        <v>1450</v>
      </c>
      <c r="J646" s="2">
        <f t="shared" si="28"/>
        <v>4596.5</v>
      </c>
      <c r="K646">
        <v>645</v>
      </c>
      <c r="L646" s="3">
        <f>SUM($I$2:$I646)</f>
        <v>5824200</v>
      </c>
      <c r="M646" s="3">
        <f>SUM($J$2:$J646)</f>
        <v>20671001</v>
      </c>
      <c r="N646" s="2">
        <f>SUM($D$2:$D646)</f>
        <v>2934.8000000000006</v>
      </c>
      <c r="O646" s="2">
        <f t="shared" si="29"/>
        <v>0.17489472824810895</v>
      </c>
      <c r="P646" s="2" cm="1">
        <f t="array" ref="P646">SUMPRODUCT((O646&gt;$T$9:$T$14)*(O646&lt;=$U$9:$U$14),$S$9:$S$14)</f>
        <v>3</v>
      </c>
    </row>
    <row r="647" spans="1:16" x14ac:dyDescent="0.25">
      <c r="A647">
        <v>1238</v>
      </c>
      <c r="B647">
        <v>70</v>
      </c>
      <c r="C647">
        <v>1133</v>
      </c>
      <c r="D647">
        <v>2.4900000000000002</v>
      </c>
      <c r="E647">
        <v>27835</v>
      </c>
      <c r="F647">
        <v>0</v>
      </c>
      <c r="G647">
        <v>27835000</v>
      </c>
      <c r="H647">
        <v>35</v>
      </c>
      <c r="I647">
        <v>1450</v>
      </c>
      <c r="J647" s="2">
        <f t="shared" si="28"/>
        <v>3610.5000000000005</v>
      </c>
      <c r="K647">
        <v>646</v>
      </c>
      <c r="L647" s="3">
        <f>SUM($I$2:$I647)</f>
        <v>5825650</v>
      </c>
      <c r="M647" s="3">
        <f>SUM($J$2:$J647)</f>
        <v>20674611.5</v>
      </c>
      <c r="N647" s="2">
        <f>SUM($D$2:$D647)</f>
        <v>2937.2900000000004</v>
      </c>
      <c r="O647" s="2">
        <f t="shared" si="29"/>
        <v>0.17504311582931983</v>
      </c>
      <c r="P647" s="2" cm="1">
        <f t="array" ref="P647">SUMPRODUCT((O647&gt;$T$9:$T$14)*(O647&lt;=$U$9:$U$14),$S$9:$S$14)</f>
        <v>3</v>
      </c>
    </row>
    <row r="648" spans="1:16" x14ac:dyDescent="0.25">
      <c r="A648">
        <v>806</v>
      </c>
      <c r="B648">
        <v>432</v>
      </c>
      <c r="C648">
        <v>39</v>
      </c>
      <c r="D648">
        <v>2.27</v>
      </c>
      <c r="E648">
        <v>12730</v>
      </c>
      <c r="F648">
        <v>3.7</v>
      </c>
      <c r="G648">
        <v>12730037</v>
      </c>
      <c r="H648">
        <v>4</v>
      </c>
      <c r="I648">
        <v>1450</v>
      </c>
      <c r="J648" s="2">
        <f t="shared" si="28"/>
        <v>3291.5</v>
      </c>
      <c r="K648">
        <v>647</v>
      </c>
      <c r="L648" s="3">
        <f>SUM($I$2:$I648)</f>
        <v>5827100</v>
      </c>
      <c r="M648" s="3">
        <f>SUM($J$2:$J648)</f>
        <v>20677903</v>
      </c>
      <c r="N648" s="2">
        <f>SUM($D$2:$D648)</f>
        <v>2939.5600000000004</v>
      </c>
      <c r="O648" s="2">
        <f t="shared" si="29"/>
        <v>0.17517839286118683</v>
      </c>
      <c r="P648" s="2" cm="1">
        <f t="array" ref="P648">SUMPRODUCT((O648&gt;$T$9:$T$14)*(O648&lt;=$U$9:$U$14),$S$9:$S$14)</f>
        <v>3</v>
      </c>
    </row>
    <row r="649" spans="1:16" x14ac:dyDescent="0.25">
      <c r="A649">
        <v>1311</v>
      </c>
      <c r="B649">
        <v>143</v>
      </c>
      <c r="C649">
        <v>1232</v>
      </c>
      <c r="D649">
        <v>1.85</v>
      </c>
      <c r="E649">
        <v>35470</v>
      </c>
      <c r="F649">
        <v>0</v>
      </c>
      <c r="G649">
        <v>35470000</v>
      </c>
      <c r="H649">
        <v>69</v>
      </c>
      <c r="I649">
        <v>1450</v>
      </c>
      <c r="J649" s="2">
        <f t="shared" si="28"/>
        <v>2682.5</v>
      </c>
      <c r="K649">
        <v>648</v>
      </c>
      <c r="L649" s="3">
        <f>SUM($I$2:$I649)</f>
        <v>5828550</v>
      </c>
      <c r="M649" s="3">
        <f>SUM($J$2:$J649)</f>
        <v>20680585.5</v>
      </c>
      <c r="N649" s="2">
        <f>SUM($D$2:$D649)</f>
        <v>2941.4100000000003</v>
      </c>
      <c r="O649" s="2">
        <f t="shared" si="29"/>
        <v>0.17528864066248809</v>
      </c>
      <c r="P649" s="2" cm="1">
        <f t="array" ref="P649">SUMPRODUCT((O649&gt;$T$9:$T$14)*(O649&lt;=$U$9:$U$14),$S$9:$S$14)</f>
        <v>3</v>
      </c>
    </row>
    <row r="650" spans="1:16" x14ac:dyDescent="0.25">
      <c r="A650">
        <v>1174</v>
      </c>
      <c r="B650">
        <v>800</v>
      </c>
      <c r="C650">
        <v>525</v>
      </c>
      <c r="D650">
        <v>1.64</v>
      </c>
      <c r="E650">
        <v>17085</v>
      </c>
      <c r="F650">
        <v>0</v>
      </c>
      <c r="G650">
        <v>17085000</v>
      </c>
      <c r="H650">
        <v>11</v>
      </c>
      <c r="I650">
        <v>1450</v>
      </c>
      <c r="J650" s="2">
        <f t="shared" si="28"/>
        <v>2378</v>
      </c>
      <c r="K650">
        <v>649</v>
      </c>
      <c r="L650" s="3">
        <f>SUM($I$2:$I650)</f>
        <v>5830000</v>
      </c>
      <c r="M650" s="3">
        <f>SUM($J$2:$J650)</f>
        <v>20682963.5</v>
      </c>
      <c r="N650" s="2">
        <f>SUM($D$2:$D650)</f>
        <v>2943.05</v>
      </c>
      <c r="O650" s="2">
        <f t="shared" si="29"/>
        <v>0.17538637384850653</v>
      </c>
      <c r="P650" s="2" cm="1">
        <f t="array" ref="P650">SUMPRODUCT((O650&gt;$T$9:$T$14)*(O650&lt;=$U$9:$U$14),$S$9:$S$14)</f>
        <v>3</v>
      </c>
    </row>
    <row r="651" spans="1:16" x14ac:dyDescent="0.25">
      <c r="A651">
        <v>821</v>
      </c>
      <c r="B651">
        <v>447</v>
      </c>
      <c r="C651">
        <v>57</v>
      </c>
      <c r="D651">
        <v>1.23</v>
      </c>
      <c r="E651">
        <v>12036</v>
      </c>
      <c r="F651">
        <v>0</v>
      </c>
      <c r="G651">
        <v>12036000</v>
      </c>
      <c r="H651">
        <v>3</v>
      </c>
      <c r="I651">
        <v>1450</v>
      </c>
      <c r="J651" s="2">
        <f t="shared" si="28"/>
        <v>1783.5</v>
      </c>
      <c r="K651">
        <v>650</v>
      </c>
      <c r="L651" s="3">
        <f>SUM($I$2:$I651)</f>
        <v>5831450</v>
      </c>
      <c r="M651" s="3">
        <f>SUM($J$2:$J651)</f>
        <v>20684747</v>
      </c>
      <c r="N651" s="2">
        <f>SUM($D$2:$D651)</f>
        <v>2944.28</v>
      </c>
      <c r="O651" s="2">
        <f t="shared" si="29"/>
        <v>0.17545967373802035</v>
      </c>
      <c r="P651" s="2" cm="1">
        <f t="array" ref="P651">SUMPRODUCT((O651&gt;$T$9:$T$14)*(O651&lt;=$U$9:$U$14),$S$9:$S$14)</f>
        <v>3</v>
      </c>
    </row>
    <row r="652" spans="1:16" x14ac:dyDescent="0.25">
      <c r="A652">
        <v>1195</v>
      </c>
      <c r="B652">
        <v>27</v>
      </c>
      <c r="C652">
        <v>1082</v>
      </c>
      <c r="D652">
        <v>0.63</v>
      </c>
      <c r="E652">
        <v>29230</v>
      </c>
      <c r="F652">
        <v>0</v>
      </c>
      <c r="G652">
        <v>29230000</v>
      </c>
      <c r="H652">
        <v>40</v>
      </c>
      <c r="I652">
        <v>1450</v>
      </c>
      <c r="J652" s="2">
        <f t="shared" si="28"/>
        <v>913.5</v>
      </c>
      <c r="K652">
        <v>651</v>
      </c>
      <c r="L652" s="3">
        <f>SUM($I$2:$I652)</f>
        <v>5832900</v>
      </c>
      <c r="M652" s="3">
        <f>SUM($J$2:$J652)</f>
        <v>20685660.5</v>
      </c>
      <c r="N652" s="2">
        <f>SUM($D$2:$D652)</f>
        <v>2944.9100000000003</v>
      </c>
      <c r="O652" s="2">
        <f t="shared" si="29"/>
        <v>0.17549721758386891</v>
      </c>
      <c r="P652" s="2" cm="1">
        <f t="array" ref="P652">SUMPRODUCT((O652&gt;$T$9:$T$14)*(O652&lt;=$U$9:$U$14),$S$9:$S$14)</f>
        <v>3</v>
      </c>
    </row>
    <row r="653" spans="1:16" x14ac:dyDescent="0.25">
      <c r="A653">
        <v>606</v>
      </c>
      <c r="B653">
        <v>1393</v>
      </c>
      <c r="C653">
        <v>827</v>
      </c>
      <c r="D653">
        <v>25.84</v>
      </c>
      <c r="E653">
        <v>17590</v>
      </c>
      <c r="F653">
        <v>0</v>
      </c>
      <c r="G653">
        <v>17590000</v>
      </c>
      <c r="H653">
        <v>11</v>
      </c>
      <c r="I653">
        <v>1400</v>
      </c>
      <c r="J653" s="2">
        <f t="shared" si="28"/>
        <v>36176</v>
      </c>
      <c r="K653">
        <v>652</v>
      </c>
      <c r="L653" s="3">
        <f>SUM($I$2:$I653)</f>
        <v>5834300</v>
      </c>
      <c r="M653" s="3">
        <f>SUM($J$2:$J653)</f>
        <v>20721836.5</v>
      </c>
      <c r="N653" s="2">
        <f>SUM($D$2:$D653)</f>
        <v>2970.7500000000005</v>
      </c>
      <c r="O653" s="2">
        <f t="shared" si="29"/>
        <v>0.17703711119772034</v>
      </c>
      <c r="P653" s="2" cm="1">
        <f t="array" ref="P653">SUMPRODUCT((O653&gt;$T$9:$T$14)*(O653&lt;=$U$9:$U$14),$S$9:$S$14)</f>
        <v>3</v>
      </c>
    </row>
    <row r="654" spans="1:16" x14ac:dyDescent="0.25">
      <c r="A654">
        <v>1137</v>
      </c>
      <c r="B654">
        <v>763</v>
      </c>
      <c r="C654">
        <v>478</v>
      </c>
      <c r="D654">
        <v>19.850000000000001</v>
      </c>
      <c r="E654">
        <v>17980</v>
      </c>
      <c r="F654">
        <v>0</v>
      </c>
      <c r="G654">
        <v>17980000</v>
      </c>
      <c r="H654">
        <v>11</v>
      </c>
      <c r="I654">
        <v>1400</v>
      </c>
      <c r="J654" s="2">
        <f t="shared" si="28"/>
        <v>27790.000000000004</v>
      </c>
      <c r="K654">
        <v>653</v>
      </c>
      <c r="L654" s="3">
        <f>SUM($I$2:$I654)</f>
        <v>5835700</v>
      </c>
      <c r="M654" s="3">
        <f>SUM($J$2:$J654)</f>
        <v>20749626.5</v>
      </c>
      <c r="N654" s="2">
        <f>SUM($D$2:$D654)</f>
        <v>2990.6000000000004</v>
      </c>
      <c r="O654" s="2">
        <f t="shared" si="29"/>
        <v>0.17822004030898003</v>
      </c>
      <c r="P654" s="2" cm="1">
        <f t="array" ref="P654">SUMPRODUCT((O654&gt;$T$9:$T$14)*(O654&lt;=$U$9:$U$14),$S$9:$S$14)</f>
        <v>3</v>
      </c>
    </row>
    <row r="655" spans="1:16" x14ac:dyDescent="0.25">
      <c r="A655">
        <v>476</v>
      </c>
      <c r="B655">
        <v>1263</v>
      </c>
      <c r="C655">
        <v>659</v>
      </c>
      <c r="D655">
        <v>14.63</v>
      </c>
      <c r="E655">
        <v>17450</v>
      </c>
      <c r="F655">
        <v>0</v>
      </c>
      <c r="G655">
        <v>17450000</v>
      </c>
      <c r="H655">
        <v>11</v>
      </c>
      <c r="I655">
        <v>1400</v>
      </c>
      <c r="J655" s="2">
        <f t="shared" si="28"/>
        <v>20482</v>
      </c>
      <c r="K655">
        <v>654</v>
      </c>
      <c r="L655" s="3">
        <f>SUM($I$2:$I655)</f>
        <v>5837100</v>
      </c>
      <c r="M655" s="3">
        <f>SUM($J$2:$J655)</f>
        <v>20770108.5</v>
      </c>
      <c r="N655" s="2">
        <f>SUM($D$2:$D655)</f>
        <v>3005.2300000000005</v>
      </c>
      <c r="O655" s="2">
        <f t="shared" si="29"/>
        <v>0.17909189184035179</v>
      </c>
      <c r="P655" s="2" cm="1">
        <f t="array" ref="P655">SUMPRODUCT((O655&gt;$T$9:$T$14)*(O655&lt;=$U$9:$U$14),$S$9:$S$14)</f>
        <v>3</v>
      </c>
    </row>
    <row r="656" spans="1:16" x14ac:dyDescent="0.25">
      <c r="A656">
        <v>613</v>
      </c>
      <c r="B656">
        <v>1400</v>
      </c>
      <c r="C656">
        <v>836</v>
      </c>
      <c r="D656">
        <v>11.13</v>
      </c>
      <c r="E656">
        <v>24190</v>
      </c>
      <c r="F656">
        <v>0</v>
      </c>
      <c r="G656">
        <v>24190000</v>
      </c>
      <c r="H656">
        <v>21</v>
      </c>
      <c r="I656">
        <v>1400</v>
      </c>
      <c r="J656" s="2">
        <f t="shared" si="28"/>
        <v>15582.000000000002</v>
      </c>
      <c r="K656">
        <v>655</v>
      </c>
      <c r="L656" s="3">
        <f>SUM($I$2:$I656)</f>
        <v>5838500</v>
      </c>
      <c r="M656" s="3">
        <f>SUM($J$2:$J656)</f>
        <v>20785690.5</v>
      </c>
      <c r="N656" s="2">
        <f>SUM($D$2:$D656)</f>
        <v>3016.3600000000006</v>
      </c>
      <c r="O656" s="2">
        <f t="shared" si="29"/>
        <v>0.17975516645034273</v>
      </c>
      <c r="P656" s="2" cm="1">
        <f t="array" ref="P656">SUMPRODUCT((O656&gt;$T$9:$T$14)*(O656&lt;=$U$9:$U$14),$S$9:$S$14)</f>
        <v>3</v>
      </c>
    </row>
    <row r="657" spans="1:16" x14ac:dyDescent="0.25">
      <c r="A657">
        <v>382</v>
      </c>
      <c r="B657">
        <v>1177</v>
      </c>
      <c r="C657">
        <v>543</v>
      </c>
      <c r="D657">
        <v>10.48</v>
      </c>
      <c r="E657">
        <v>17190</v>
      </c>
      <c r="F657">
        <v>2.5</v>
      </c>
      <c r="G657">
        <v>17190025</v>
      </c>
      <c r="H657">
        <v>11</v>
      </c>
      <c r="I657">
        <v>1400</v>
      </c>
      <c r="J657" s="2">
        <f t="shared" si="28"/>
        <v>14672</v>
      </c>
      <c r="K657">
        <v>656</v>
      </c>
      <c r="L657" s="3">
        <f>SUM($I$2:$I657)</f>
        <v>5839900</v>
      </c>
      <c r="M657" s="3">
        <f>SUM($J$2:$J657)</f>
        <v>20800362.5</v>
      </c>
      <c r="N657" s="2">
        <f>SUM($D$2:$D657)</f>
        <v>3026.8400000000006</v>
      </c>
      <c r="O657" s="2">
        <f t="shared" si="29"/>
        <v>0.18037970534636297</v>
      </c>
      <c r="P657" s="2" cm="1">
        <f t="array" ref="P657">SUMPRODUCT((O657&gt;$T$9:$T$14)*(O657&lt;=$U$9:$U$14),$S$9:$S$14)</f>
        <v>3</v>
      </c>
    </row>
    <row r="658" spans="1:16" x14ac:dyDescent="0.25">
      <c r="A658">
        <v>485</v>
      </c>
      <c r="B658">
        <v>1272</v>
      </c>
      <c r="C658">
        <v>669</v>
      </c>
      <c r="D658">
        <v>8.6</v>
      </c>
      <c r="E658">
        <v>14935</v>
      </c>
      <c r="F658">
        <v>7.7</v>
      </c>
      <c r="G658">
        <v>14935077</v>
      </c>
      <c r="H658" t="s">
        <v>8</v>
      </c>
      <c r="I658">
        <v>1400</v>
      </c>
      <c r="J658" s="2">
        <f t="shared" si="28"/>
        <v>12040</v>
      </c>
      <c r="K658">
        <v>657</v>
      </c>
      <c r="L658" s="3">
        <f>SUM($I$2:$I658)</f>
        <v>5841300</v>
      </c>
      <c r="M658" s="3">
        <f>SUM($J$2:$J658)</f>
        <v>20812402.5</v>
      </c>
      <c r="N658" s="2">
        <f>SUM($D$2:$D658)</f>
        <v>3035.4400000000005</v>
      </c>
      <c r="O658" s="2">
        <f t="shared" si="29"/>
        <v>0.18089220863889865</v>
      </c>
      <c r="P658" s="2" cm="1">
        <f t="array" ref="P658">SUMPRODUCT((O658&gt;$T$9:$T$14)*(O658&lt;=$U$9:$U$14),$S$9:$S$14)</f>
        <v>3</v>
      </c>
    </row>
    <row r="659" spans="1:16" x14ac:dyDescent="0.25">
      <c r="A659">
        <v>449</v>
      </c>
      <c r="B659">
        <v>1236</v>
      </c>
      <c r="C659">
        <v>622</v>
      </c>
      <c r="D659">
        <v>8.42</v>
      </c>
      <c r="E659">
        <v>17970</v>
      </c>
      <c r="F659">
        <v>0</v>
      </c>
      <c r="G659">
        <v>17970000</v>
      </c>
      <c r="H659">
        <v>11</v>
      </c>
      <c r="I659">
        <v>1400</v>
      </c>
      <c r="J659" s="2">
        <f t="shared" si="28"/>
        <v>11788</v>
      </c>
      <c r="K659">
        <v>658</v>
      </c>
      <c r="L659" s="3">
        <f>SUM($I$2:$I659)</f>
        <v>5842700</v>
      </c>
      <c r="M659" s="3">
        <f>SUM($J$2:$J659)</f>
        <v>20824190.5</v>
      </c>
      <c r="N659" s="2">
        <f>SUM($D$2:$D659)</f>
        <v>3043.8600000000006</v>
      </c>
      <c r="O659" s="2">
        <f t="shared" si="29"/>
        <v>0.18139398511833477</v>
      </c>
      <c r="P659" s="2" cm="1">
        <f t="array" ref="P659">SUMPRODUCT((O659&gt;$T$9:$T$14)*(O659&lt;=$U$9:$U$14),$S$9:$S$14)</f>
        <v>3</v>
      </c>
    </row>
    <row r="660" spans="1:16" x14ac:dyDescent="0.25">
      <c r="A660">
        <v>455</v>
      </c>
      <c r="B660">
        <v>1242</v>
      </c>
      <c r="C660">
        <v>631</v>
      </c>
      <c r="D660">
        <v>7.56</v>
      </c>
      <c r="E660">
        <v>14026</v>
      </c>
      <c r="F660">
        <v>0</v>
      </c>
      <c r="G660">
        <v>14026000</v>
      </c>
      <c r="H660">
        <v>7</v>
      </c>
      <c r="I660">
        <v>1400</v>
      </c>
      <c r="J660" s="2">
        <f t="shared" si="28"/>
        <v>10584</v>
      </c>
      <c r="K660">
        <v>659</v>
      </c>
      <c r="L660" s="3">
        <f>SUM($I$2:$I660)</f>
        <v>5844100</v>
      </c>
      <c r="M660" s="3">
        <f>SUM($J$2:$J660)</f>
        <v>20834774.5</v>
      </c>
      <c r="N660" s="2">
        <f>SUM($D$2:$D660)</f>
        <v>3051.4200000000005</v>
      </c>
      <c r="O660" s="2">
        <f t="shared" si="29"/>
        <v>0.18184451126851731</v>
      </c>
      <c r="P660" s="2" cm="1">
        <f t="array" ref="P660">SUMPRODUCT((O660&gt;$T$9:$T$14)*(O660&lt;=$U$9:$U$14),$S$9:$S$14)</f>
        <v>3</v>
      </c>
    </row>
    <row r="661" spans="1:16" x14ac:dyDescent="0.25">
      <c r="A661">
        <v>988</v>
      </c>
      <c r="B661">
        <v>614</v>
      </c>
      <c r="C661">
        <v>282</v>
      </c>
      <c r="D661">
        <v>7.43</v>
      </c>
      <c r="E661">
        <v>18010</v>
      </c>
      <c r="F661">
        <v>0</v>
      </c>
      <c r="G661">
        <v>18010000</v>
      </c>
      <c r="H661">
        <v>11</v>
      </c>
      <c r="I661">
        <v>1400</v>
      </c>
      <c r="J661" s="2">
        <f t="shared" si="28"/>
        <v>10402</v>
      </c>
      <c r="K661">
        <v>660</v>
      </c>
      <c r="L661" s="3">
        <f>SUM($I$2:$I661)</f>
        <v>5845500</v>
      </c>
      <c r="M661" s="3">
        <f>SUM($J$2:$J661)</f>
        <v>20845176.5</v>
      </c>
      <c r="N661" s="2">
        <f>SUM($D$2:$D661)</f>
        <v>3058.8500000000004</v>
      </c>
      <c r="O661" s="2">
        <f t="shared" si="29"/>
        <v>0.18228729027590568</v>
      </c>
      <c r="P661" s="2" cm="1">
        <f t="array" ref="P661">SUMPRODUCT((O661&gt;$T$9:$T$14)*(O661&lt;=$U$9:$U$14),$S$9:$S$14)</f>
        <v>3</v>
      </c>
    </row>
    <row r="662" spans="1:16" x14ac:dyDescent="0.25">
      <c r="A662">
        <v>1146</v>
      </c>
      <c r="B662">
        <v>772</v>
      </c>
      <c r="C662">
        <v>490</v>
      </c>
      <c r="D662">
        <v>7.17</v>
      </c>
      <c r="E662">
        <v>16510</v>
      </c>
      <c r="F662">
        <v>3.1</v>
      </c>
      <c r="G662">
        <v>16510031</v>
      </c>
      <c r="H662">
        <v>10</v>
      </c>
      <c r="I662">
        <v>1400</v>
      </c>
      <c r="J662" s="2">
        <f t="shared" si="28"/>
        <v>10038</v>
      </c>
      <c r="K662">
        <v>661</v>
      </c>
      <c r="L662" s="3">
        <f>SUM($I$2:$I662)</f>
        <v>5846900</v>
      </c>
      <c r="M662" s="3">
        <f>SUM($J$2:$J662)</f>
        <v>20855214.5</v>
      </c>
      <c r="N662" s="2">
        <f>SUM($D$2:$D662)</f>
        <v>3066.0200000000004</v>
      </c>
      <c r="O662" s="2">
        <f t="shared" si="29"/>
        <v>0.1827145749977058</v>
      </c>
      <c r="P662" s="2" cm="1">
        <f t="array" ref="P662">SUMPRODUCT((O662&gt;$T$9:$T$14)*(O662&lt;=$U$9:$U$14),$S$9:$S$14)</f>
        <v>3</v>
      </c>
    </row>
    <row r="663" spans="1:16" x14ac:dyDescent="0.25">
      <c r="A663">
        <v>661</v>
      </c>
      <c r="B663">
        <v>1448</v>
      </c>
      <c r="C663">
        <v>894</v>
      </c>
      <c r="D663">
        <v>6.26</v>
      </c>
      <c r="E663">
        <v>22260</v>
      </c>
      <c r="F663">
        <v>0</v>
      </c>
      <c r="G663">
        <v>22260000</v>
      </c>
      <c r="H663" t="s">
        <v>7</v>
      </c>
      <c r="I663">
        <v>1400</v>
      </c>
      <c r="J663" s="2">
        <f t="shared" si="28"/>
        <v>8764</v>
      </c>
      <c r="K663">
        <v>662</v>
      </c>
      <c r="L663" s="3">
        <f>SUM($I$2:$I663)</f>
        <v>5848300</v>
      </c>
      <c r="M663" s="3">
        <f>SUM($J$2:$J663)</f>
        <v>20863978.5</v>
      </c>
      <c r="N663" s="2">
        <f>SUM($D$2:$D663)</f>
        <v>3072.2800000000007</v>
      </c>
      <c r="O663" s="2">
        <f t="shared" si="29"/>
        <v>0.18308762971994688</v>
      </c>
      <c r="P663" s="2" cm="1">
        <f t="array" ref="P663">SUMPRODUCT((O663&gt;$T$9:$T$14)*(O663&lt;=$U$9:$U$14),$S$9:$S$14)</f>
        <v>3</v>
      </c>
    </row>
    <row r="664" spans="1:16" x14ac:dyDescent="0.25">
      <c r="A664">
        <v>628</v>
      </c>
      <c r="B664">
        <v>1415</v>
      </c>
      <c r="C664">
        <v>854</v>
      </c>
      <c r="D664">
        <v>4.26</v>
      </c>
      <c r="E664">
        <v>14220</v>
      </c>
      <c r="F664">
        <v>1.4</v>
      </c>
      <c r="G664">
        <v>14220014</v>
      </c>
      <c r="H664">
        <v>7</v>
      </c>
      <c r="I664">
        <v>1400</v>
      </c>
      <c r="J664" s="2">
        <f t="shared" si="28"/>
        <v>5964</v>
      </c>
      <c r="K664">
        <v>663</v>
      </c>
      <c r="L664" s="3">
        <f>SUM($I$2:$I664)</f>
        <v>5849700</v>
      </c>
      <c r="M664" s="3">
        <f>SUM($J$2:$J664)</f>
        <v>20869942.5</v>
      </c>
      <c r="N664" s="2">
        <f>SUM($D$2:$D664)</f>
        <v>3076.5400000000009</v>
      </c>
      <c r="O664" s="2">
        <f t="shared" si="29"/>
        <v>0.1833414976299704</v>
      </c>
      <c r="P664" s="2" cm="1">
        <f t="array" ref="P664">SUMPRODUCT((O664&gt;$T$9:$T$14)*(O664&lt;=$U$9:$U$14),$S$9:$S$14)</f>
        <v>3</v>
      </c>
    </row>
    <row r="665" spans="1:16" x14ac:dyDescent="0.25">
      <c r="A665">
        <v>1012</v>
      </c>
      <c r="B665">
        <v>638</v>
      </c>
      <c r="C665">
        <v>313</v>
      </c>
      <c r="D665">
        <v>2.96</v>
      </c>
      <c r="E665">
        <v>14230</v>
      </c>
      <c r="F665">
        <v>0</v>
      </c>
      <c r="G665">
        <v>14230000</v>
      </c>
      <c r="H665">
        <v>7</v>
      </c>
      <c r="I665">
        <v>1400</v>
      </c>
      <c r="J665" s="2">
        <f t="shared" si="28"/>
        <v>4144</v>
      </c>
      <c r="K665">
        <v>664</v>
      </c>
      <c r="L665" s="3">
        <f>SUM($I$2:$I665)</f>
        <v>5851100</v>
      </c>
      <c r="M665" s="3">
        <f>SUM($J$2:$J665)</f>
        <v>20874086.5</v>
      </c>
      <c r="N665" s="2">
        <f>SUM($D$2:$D665)</f>
        <v>3079.5000000000009</v>
      </c>
      <c r="O665" s="2">
        <f t="shared" si="29"/>
        <v>0.18351789411205247</v>
      </c>
      <c r="P665" s="2" cm="1">
        <f t="array" ref="P665">SUMPRODUCT((O665&gt;$T$9:$T$14)*(O665&lt;=$U$9:$U$14),$S$9:$S$14)</f>
        <v>3</v>
      </c>
    </row>
    <row r="666" spans="1:16" x14ac:dyDescent="0.25">
      <c r="A666">
        <v>945</v>
      </c>
      <c r="B666">
        <v>571</v>
      </c>
      <c r="C666">
        <v>229</v>
      </c>
      <c r="D666">
        <v>2.4</v>
      </c>
      <c r="E666">
        <v>19555</v>
      </c>
      <c r="F666">
        <v>2.2999999999999998</v>
      </c>
      <c r="G666">
        <v>19555023</v>
      </c>
      <c r="H666">
        <v>12</v>
      </c>
      <c r="I666">
        <v>1400</v>
      </c>
      <c r="J666" s="2">
        <f t="shared" si="28"/>
        <v>3360</v>
      </c>
      <c r="K666">
        <v>665</v>
      </c>
      <c r="L666" s="3">
        <f>SUM($I$2:$I666)</f>
        <v>5852500</v>
      </c>
      <c r="M666" s="3">
        <f>SUM($J$2:$J666)</f>
        <v>20877446.5</v>
      </c>
      <c r="N666" s="2">
        <f>SUM($D$2:$D666)</f>
        <v>3081.900000000001</v>
      </c>
      <c r="O666" s="2">
        <f t="shared" si="29"/>
        <v>0.18366091828671358</v>
      </c>
      <c r="P666" s="2" cm="1">
        <f t="array" ref="P666">SUMPRODUCT((O666&gt;$T$9:$T$14)*(O666&lt;=$U$9:$U$14),$S$9:$S$14)</f>
        <v>3</v>
      </c>
    </row>
    <row r="667" spans="1:16" x14ac:dyDescent="0.25">
      <c r="A667">
        <v>1475</v>
      </c>
      <c r="B667">
        <v>307</v>
      </c>
      <c r="C667">
        <v>1438</v>
      </c>
      <c r="D667">
        <v>1.06</v>
      </c>
      <c r="E667">
        <v>45714</v>
      </c>
      <c r="F667">
        <v>2.7</v>
      </c>
      <c r="G667">
        <v>45714027</v>
      </c>
      <c r="H667">
        <v>140</v>
      </c>
      <c r="I667">
        <v>1400</v>
      </c>
      <c r="J667" s="2">
        <f t="shared" si="28"/>
        <v>1484</v>
      </c>
      <c r="K667">
        <v>666</v>
      </c>
      <c r="L667" s="3">
        <f>SUM($I$2:$I667)</f>
        <v>5853900</v>
      </c>
      <c r="M667" s="3">
        <f>SUM($J$2:$J667)</f>
        <v>20878930.5</v>
      </c>
      <c r="N667" s="2">
        <f>SUM($D$2:$D667)</f>
        <v>3082.9600000000009</v>
      </c>
      <c r="O667" s="2">
        <f t="shared" si="29"/>
        <v>0.18372408729718889</v>
      </c>
      <c r="P667" s="2" cm="1">
        <f t="array" ref="P667">SUMPRODUCT((O667&gt;$T$9:$T$14)*(O667&lt;=$U$9:$U$14),$S$9:$S$14)</f>
        <v>3</v>
      </c>
    </row>
    <row r="668" spans="1:16" x14ac:dyDescent="0.25">
      <c r="A668">
        <v>602</v>
      </c>
      <c r="B668">
        <v>1389</v>
      </c>
      <c r="C668">
        <v>822</v>
      </c>
      <c r="D668">
        <v>7.12</v>
      </c>
      <c r="E668">
        <v>20708</v>
      </c>
      <c r="F668">
        <v>0</v>
      </c>
      <c r="G668">
        <v>20708000</v>
      </c>
      <c r="H668">
        <v>17</v>
      </c>
      <c r="I668">
        <v>1350</v>
      </c>
      <c r="J668" s="2">
        <f t="shared" si="28"/>
        <v>9612</v>
      </c>
      <c r="K668">
        <v>667</v>
      </c>
      <c r="L668" s="3">
        <f>SUM($I$2:$I668)</f>
        <v>5855250</v>
      </c>
      <c r="M668" s="3">
        <f>SUM($J$2:$J668)</f>
        <v>20888542.5</v>
      </c>
      <c r="N668" s="2">
        <f>SUM($D$2:$D668)</f>
        <v>3090.0800000000008</v>
      </c>
      <c r="O668" s="2">
        <f t="shared" si="29"/>
        <v>0.18414839234868355</v>
      </c>
      <c r="P668" s="2" cm="1">
        <f t="array" ref="P668">SUMPRODUCT((O668&gt;$T$9:$T$14)*(O668&lt;=$U$9:$U$14),$S$9:$S$14)</f>
        <v>3</v>
      </c>
    </row>
    <row r="669" spans="1:16" x14ac:dyDescent="0.25">
      <c r="A669">
        <v>1769</v>
      </c>
      <c r="B669">
        <v>1769</v>
      </c>
      <c r="C669">
        <v>0</v>
      </c>
      <c r="D669">
        <v>5.0599999999999996</v>
      </c>
      <c r="E669">
        <v>35584</v>
      </c>
      <c r="F669">
        <v>0</v>
      </c>
      <c r="G669">
        <v>35584000</v>
      </c>
      <c r="H669">
        <v>69</v>
      </c>
      <c r="I669">
        <v>1350</v>
      </c>
      <c r="J669" s="2">
        <f t="shared" si="28"/>
        <v>6830.9999999999991</v>
      </c>
      <c r="K669">
        <v>668</v>
      </c>
      <c r="L669" s="3">
        <f>SUM($I$2:$I669)</f>
        <v>5856600</v>
      </c>
      <c r="M669" s="3">
        <f>SUM($J$2:$J669)</f>
        <v>20895373.5</v>
      </c>
      <c r="N669" s="2">
        <f>SUM($D$2:$D669)</f>
        <v>3095.1400000000008</v>
      </c>
      <c r="O669" s="2">
        <f t="shared" si="29"/>
        <v>0.18444993498359408</v>
      </c>
      <c r="P669" s="2" cm="1">
        <f t="array" ref="P669">SUMPRODUCT((O669&gt;$T$9:$T$14)*(O669&lt;=$U$9:$U$14),$S$9:$S$14)</f>
        <v>3</v>
      </c>
    </row>
    <row r="670" spans="1:16" x14ac:dyDescent="0.25">
      <c r="A670">
        <v>992</v>
      </c>
      <c r="B670">
        <v>618</v>
      </c>
      <c r="C670">
        <v>289</v>
      </c>
      <c r="D670">
        <v>4.83</v>
      </c>
      <c r="E670">
        <v>21020</v>
      </c>
      <c r="F670">
        <v>0</v>
      </c>
      <c r="G670">
        <v>21020000</v>
      </c>
      <c r="H670">
        <v>17</v>
      </c>
      <c r="I670">
        <v>1350</v>
      </c>
      <c r="J670" s="2">
        <f t="shared" si="28"/>
        <v>6520.5</v>
      </c>
      <c r="K670">
        <v>669</v>
      </c>
      <c r="L670" s="3">
        <f>SUM($I$2:$I670)</f>
        <v>5857950</v>
      </c>
      <c r="M670" s="3">
        <f>SUM($J$2:$J670)</f>
        <v>20901894</v>
      </c>
      <c r="N670" s="2">
        <f>SUM($D$2:$D670)</f>
        <v>3099.9700000000007</v>
      </c>
      <c r="O670" s="2">
        <f t="shared" si="29"/>
        <v>0.18473777113509959</v>
      </c>
      <c r="P670" s="2" cm="1">
        <f t="array" ref="P670">SUMPRODUCT((O670&gt;$T$9:$T$14)*(O670&lt;=$U$9:$U$14),$S$9:$S$14)</f>
        <v>3</v>
      </c>
    </row>
    <row r="671" spans="1:16" x14ac:dyDescent="0.25">
      <c r="A671">
        <v>642</v>
      </c>
      <c r="B671">
        <v>1429</v>
      </c>
      <c r="C671">
        <v>869</v>
      </c>
      <c r="D671">
        <v>4.6500000000000004</v>
      </c>
      <c r="E671">
        <v>20900</v>
      </c>
      <c r="F671">
        <v>6</v>
      </c>
      <c r="G671">
        <v>20900060</v>
      </c>
      <c r="H671">
        <v>17</v>
      </c>
      <c r="I671">
        <v>1350</v>
      </c>
      <c r="J671" s="2">
        <f t="shared" si="28"/>
        <v>6277.5000000000009</v>
      </c>
      <c r="K671">
        <v>670</v>
      </c>
      <c r="L671" s="3">
        <f>SUM($I$2:$I671)</f>
        <v>5859300</v>
      </c>
      <c r="M671" s="3">
        <f>SUM($J$2:$J671)</f>
        <v>20908171.5</v>
      </c>
      <c r="N671" s="2">
        <f>SUM($D$2:$D671)</f>
        <v>3104.6200000000008</v>
      </c>
      <c r="O671" s="2">
        <f t="shared" si="29"/>
        <v>0.18501488047350553</v>
      </c>
      <c r="P671" s="2" cm="1">
        <f t="array" ref="P671">SUMPRODUCT((O671&gt;$T$9:$T$14)*(O671&lt;=$U$9:$U$14),$S$9:$S$14)</f>
        <v>3</v>
      </c>
    </row>
    <row r="672" spans="1:16" x14ac:dyDescent="0.25">
      <c r="A672">
        <v>1132</v>
      </c>
      <c r="B672">
        <v>758</v>
      </c>
      <c r="C672">
        <v>473</v>
      </c>
      <c r="D672">
        <v>4.26</v>
      </c>
      <c r="E672">
        <v>14350</v>
      </c>
      <c r="F672">
        <v>0</v>
      </c>
      <c r="G672">
        <v>14350000</v>
      </c>
      <c r="H672">
        <v>7</v>
      </c>
      <c r="I672">
        <v>1350</v>
      </c>
      <c r="J672" s="2">
        <f t="shared" si="28"/>
        <v>5751</v>
      </c>
      <c r="K672">
        <v>671</v>
      </c>
      <c r="L672" s="3">
        <f>SUM($I$2:$I672)</f>
        <v>5860650</v>
      </c>
      <c r="M672" s="3">
        <f>SUM($J$2:$J672)</f>
        <v>20913922.5</v>
      </c>
      <c r="N672" s="2">
        <f>SUM($D$2:$D672)</f>
        <v>3108.880000000001</v>
      </c>
      <c r="O672" s="2">
        <f t="shared" si="29"/>
        <v>0.18526874838352902</v>
      </c>
      <c r="P672" s="2" cm="1">
        <f t="array" ref="P672">SUMPRODUCT((O672&gt;$T$9:$T$14)*(O672&lt;=$U$9:$U$14),$S$9:$S$14)</f>
        <v>3</v>
      </c>
    </row>
    <row r="673" spans="1:16" x14ac:dyDescent="0.25">
      <c r="A673">
        <v>1034</v>
      </c>
      <c r="B673">
        <v>660</v>
      </c>
      <c r="C673">
        <v>343</v>
      </c>
      <c r="D673">
        <v>4.07</v>
      </c>
      <c r="E673">
        <v>16520</v>
      </c>
      <c r="F673">
        <v>0</v>
      </c>
      <c r="G673">
        <v>16520000</v>
      </c>
      <c r="H673">
        <v>10</v>
      </c>
      <c r="I673">
        <v>1350</v>
      </c>
      <c r="J673" s="2">
        <f t="shared" si="28"/>
        <v>5494.5</v>
      </c>
      <c r="K673">
        <v>672</v>
      </c>
      <c r="L673" s="3">
        <f>SUM($I$2:$I673)</f>
        <v>5862000</v>
      </c>
      <c r="M673" s="3">
        <f>SUM($J$2:$J673)</f>
        <v>20919417</v>
      </c>
      <c r="N673" s="2">
        <f>SUM($D$2:$D673)</f>
        <v>3112.9500000000012</v>
      </c>
      <c r="O673" s="2">
        <f t="shared" si="29"/>
        <v>0.18551129354639187</v>
      </c>
      <c r="P673" s="2" cm="1">
        <f t="array" ref="P673">SUMPRODUCT((O673&gt;$T$9:$T$14)*(O673&lt;=$U$9:$U$14),$S$9:$S$14)</f>
        <v>3</v>
      </c>
    </row>
    <row r="674" spans="1:16" x14ac:dyDescent="0.25">
      <c r="A674">
        <v>555</v>
      </c>
      <c r="B674">
        <v>1342</v>
      </c>
      <c r="C674">
        <v>761</v>
      </c>
      <c r="D674">
        <v>3.34</v>
      </c>
      <c r="E674">
        <v>14510</v>
      </c>
      <c r="F674">
        <v>5.9</v>
      </c>
      <c r="G674">
        <v>14510059</v>
      </c>
      <c r="H674">
        <v>7</v>
      </c>
      <c r="I674">
        <v>1350</v>
      </c>
      <c r="J674" s="2">
        <f t="shared" si="28"/>
        <v>4509</v>
      </c>
      <c r="K674">
        <v>673</v>
      </c>
      <c r="L674" s="3">
        <f>SUM($I$2:$I674)</f>
        <v>5863350</v>
      </c>
      <c r="M674" s="3">
        <f>SUM($J$2:$J674)</f>
        <v>20923926</v>
      </c>
      <c r="N674" s="2">
        <f>SUM($D$2:$D674)</f>
        <v>3116.2900000000013</v>
      </c>
      <c r="O674" s="2">
        <f t="shared" si="29"/>
        <v>0.18571033552279526</v>
      </c>
      <c r="P674" s="2" cm="1">
        <f t="array" ref="P674">SUMPRODUCT((O674&gt;$T$9:$T$14)*(O674&lt;=$U$9:$U$14),$S$9:$S$14)</f>
        <v>3</v>
      </c>
    </row>
    <row r="675" spans="1:16" x14ac:dyDescent="0.25">
      <c r="A675">
        <v>448</v>
      </c>
      <c r="B675">
        <v>1235</v>
      </c>
      <c r="C675">
        <v>621</v>
      </c>
      <c r="D675">
        <v>2.08</v>
      </c>
      <c r="E675">
        <v>20715</v>
      </c>
      <c r="F675">
        <v>0</v>
      </c>
      <c r="G675">
        <v>20715000</v>
      </c>
      <c r="H675">
        <v>17</v>
      </c>
      <c r="I675">
        <v>1350</v>
      </c>
      <c r="J675" s="2">
        <f t="shared" si="28"/>
        <v>2808</v>
      </c>
      <c r="K675">
        <v>674</v>
      </c>
      <c r="L675" s="3">
        <f>SUM($I$2:$I675)</f>
        <v>5864700</v>
      </c>
      <c r="M675" s="3">
        <f>SUM($J$2:$J675)</f>
        <v>20926734</v>
      </c>
      <c r="N675" s="2">
        <f>SUM($D$2:$D675)</f>
        <v>3118.3700000000013</v>
      </c>
      <c r="O675" s="2">
        <f t="shared" si="29"/>
        <v>0.18583428980750155</v>
      </c>
      <c r="P675" s="2" cm="1">
        <f t="array" ref="P675">SUMPRODUCT((O675&gt;$T$9:$T$14)*(O675&lt;=$U$9:$U$14),$S$9:$S$14)</f>
        <v>3</v>
      </c>
    </row>
    <row r="676" spans="1:16" x14ac:dyDescent="0.25">
      <c r="A676">
        <v>1083</v>
      </c>
      <c r="B676">
        <v>709</v>
      </c>
      <c r="C676">
        <v>407</v>
      </c>
      <c r="D676">
        <v>1.94</v>
      </c>
      <c r="E676">
        <v>16490</v>
      </c>
      <c r="F676">
        <v>0</v>
      </c>
      <c r="G676">
        <v>16490000</v>
      </c>
      <c r="H676">
        <v>10</v>
      </c>
      <c r="I676">
        <v>1350</v>
      </c>
      <c r="J676" s="2">
        <f t="shared" si="28"/>
        <v>2619</v>
      </c>
      <c r="K676">
        <v>675</v>
      </c>
      <c r="L676" s="3">
        <f>SUM($I$2:$I676)</f>
        <v>5866050</v>
      </c>
      <c r="M676" s="3">
        <f>SUM($J$2:$J676)</f>
        <v>20929353</v>
      </c>
      <c r="N676" s="2">
        <f>SUM($D$2:$D676)</f>
        <v>3120.3100000000013</v>
      </c>
      <c r="O676" s="2">
        <f t="shared" si="29"/>
        <v>0.18594990101535264</v>
      </c>
      <c r="P676" s="2" cm="1">
        <f t="array" ref="P676">SUMPRODUCT((O676&gt;$T$9:$T$14)*(O676&lt;=$U$9:$U$14),$S$9:$S$14)</f>
        <v>3</v>
      </c>
    </row>
    <row r="677" spans="1:16" x14ac:dyDescent="0.25">
      <c r="A677">
        <v>1028</v>
      </c>
      <c r="B677">
        <v>654</v>
      </c>
      <c r="C677">
        <v>335</v>
      </c>
      <c r="D677">
        <v>1.92</v>
      </c>
      <c r="E677">
        <v>14946</v>
      </c>
      <c r="F677">
        <v>1.9</v>
      </c>
      <c r="G677">
        <v>14946019</v>
      </c>
      <c r="H677" t="s">
        <v>8</v>
      </c>
      <c r="I677">
        <v>1350</v>
      </c>
      <c r="J677" s="2">
        <f t="shared" si="28"/>
        <v>2592</v>
      </c>
      <c r="K677">
        <v>676</v>
      </c>
      <c r="L677" s="3">
        <f>SUM($I$2:$I677)</f>
        <v>5867400</v>
      </c>
      <c r="M677" s="3">
        <f>SUM($J$2:$J677)</f>
        <v>20931945</v>
      </c>
      <c r="N677" s="2">
        <f>SUM($D$2:$D677)</f>
        <v>3122.2300000000014</v>
      </c>
      <c r="O677" s="2">
        <f t="shared" si="29"/>
        <v>0.18606432035508155</v>
      </c>
      <c r="P677" s="2" cm="1">
        <f t="array" ref="P677">SUMPRODUCT((O677&gt;$T$9:$T$14)*(O677&lt;=$U$9:$U$14),$S$9:$S$14)</f>
        <v>3</v>
      </c>
    </row>
    <row r="678" spans="1:16" x14ac:dyDescent="0.25">
      <c r="A678">
        <v>780</v>
      </c>
      <c r="B678">
        <v>1567</v>
      </c>
      <c r="C678">
        <v>1050</v>
      </c>
      <c r="D678">
        <v>1.83</v>
      </c>
      <c r="E678">
        <v>31060</v>
      </c>
      <c r="F678">
        <v>6</v>
      </c>
      <c r="G678">
        <v>31060060</v>
      </c>
      <c r="H678">
        <v>48</v>
      </c>
      <c r="I678">
        <v>1350</v>
      </c>
      <c r="J678" s="2">
        <f t="shared" si="28"/>
        <v>2470.5</v>
      </c>
      <c r="K678">
        <v>677</v>
      </c>
      <c r="L678" s="3">
        <f>SUM($I$2:$I678)</f>
        <v>5868750</v>
      </c>
      <c r="M678" s="3">
        <f>SUM($J$2:$J678)</f>
        <v>20934415.5</v>
      </c>
      <c r="N678" s="2">
        <f>SUM($D$2:$D678)</f>
        <v>3124.0600000000013</v>
      </c>
      <c r="O678" s="2">
        <f t="shared" si="29"/>
        <v>0.18617337628826064</v>
      </c>
      <c r="P678" s="2" cm="1">
        <f t="array" ref="P678">SUMPRODUCT((O678&gt;$T$9:$T$14)*(O678&lt;=$U$9:$U$14),$S$9:$S$14)</f>
        <v>3</v>
      </c>
    </row>
    <row r="679" spans="1:16" x14ac:dyDescent="0.25">
      <c r="A679">
        <v>767</v>
      </c>
      <c r="B679">
        <v>1554</v>
      </c>
      <c r="C679">
        <v>1023</v>
      </c>
      <c r="D679">
        <v>1.37</v>
      </c>
      <c r="E679">
        <v>32746</v>
      </c>
      <c r="F679">
        <v>0</v>
      </c>
      <c r="G679">
        <v>32746000</v>
      </c>
      <c r="H679">
        <v>58</v>
      </c>
      <c r="I679">
        <v>1350</v>
      </c>
      <c r="J679" s="2">
        <f t="shared" si="28"/>
        <v>1849.5000000000002</v>
      </c>
      <c r="K679">
        <v>678</v>
      </c>
      <c r="L679" s="3">
        <f>SUM($I$2:$I679)</f>
        <v>5870100</v>
      </c>
      <c r="M679" s="3">
        <f>SUM($J$2:$J679)</f>
        <v>20936265</v>
      </c>
      <c r="N679" s="2">
        <f>SUM($D$2:$D679)</f>
        <v>3125.4300000000012</v>
      </c>
      <c r="O679" s="2">
        <f t="shared" si="29"/>
        <v>0.1862550192546297</v>
      </c>
      <c r="P679" s="2" cm="1">
        <f t="array" ref="P679">SUMPRODUCT((O679&gt;$T$9:$T$14)*(O679&lt;=$U$9:$U$14),$S$9:$S$14)</f>
        <v>3</v>
      </c>
    </row>
    <row r="680" spans="1:16" x14ac:dyDescent="0.25">
      <c r="A680">
        <v>562</v>
      </c>
      <c r="B680">
        <v>1349</v>
      </c>
      <c r="C680">
        <v>770</v>
      </c>
      <c r="D680">
        <v>1.01</v>
      </c>
      <c r="E680">
        <v>13605</v>
      </c>
      <c r="F680">
        <v>2.7</v>
      </c>
      <c r="G680">
        <v>13605027</v>
      </c>
      <c r="H680">
        <v>6</v>
      </c>
      <c r="I680">
        <v>1350</v>
      </c>
      <c r="J680" s="2">
        <f t="shared" si="28"/>
        <v>1363.5</v>
      </c>
      <c r="K680">
        <v>679</v>
      </c>
      <c r="L680" s="3">
        <f>SUM($I$2:$I680)</f>
        <v>5871450</v>
      </c>
      <c r="M680" s="3">
        <f>SUM($J$2:$J680)</f>
        <v>20937628.5</v>
      </c>
      <c r="N680" s="2">
        <f>SUM($D$2:$D680)</f>
        <v>3126.4400000000014</v>
      </c>
      <c r="O680" s="2">
        <f t="shared" si="29"/>
        <v>0.18631520859479961</v>
      </c>
      <c r="P680" s="2" cm="1">
        <f t="array" ref="P680">SUMPRODUCT((O680&gt;$T$9:$T$14)*(O680&lt;=$U$9:$U$14),$S$9:$S$14)</f>
        <v>3</v>
      </c>
    </row>
    <row r="681" spans="1:16" x14ac:dyDescent="0.25">
      <c r="A681">
        <v>1270</v>
      </c>
      <c r="B681">
        <v>102</v>
      </c>
      <c r="C681">
        <v>1178</v>
      </c>
      <c r="D681">
        <v>0.1</v>
      </c>
      <c r="E681">
        <v>39130</v>
      </c>
      <c r="F681">
        <v>0</v>
      </c>
      <c r="G681">
        <v>39130000</v>
      </c>
      <c r="H681">
        <v>93</v>
      </c>
      <c r="I681">
        <v>1350</v>
      </c>
      <c r="J681" s="2">
        <f t="shared" si="28"/>
        <v>135</v>
      </c>
      <c r="K681">
        <v>680</v>
      </c>
      <c r="L681" s="3">
        <f>SUM($I$2:$I681)</f>
        <v>5872800</v>
      </c>
      <c r="M681" s="3">
        <f>SUM($J$2:$J681)</f>
        <v>20937763.5</v>
      </c>
      <c r="N681" s="2">
        <f>SUM($D$2:$D681)</f>
        <v>3126.5400000000013</v>
      </c>
      <c r="O681" s="2">
        <f t="shared" si="29"/>
        <v>0.18632116793541048</v>
      </c>
      <c r="P681" s="2" cm="1">
        <f t="array" ref="P681">SUMPRODUCT((O681&gt;$T$9:$T$14)*(O681&lt;=$U$9:$U$14),$S$9:$S$14)</f>
        <v>3</v>
      </c>
    </row>
    <row r="682" spans="1:16" x14ac:dyDescent="0.25">
      <c r="A682">
        <v>564</v>
      </c>
      <c r="B682">
        <v>1351</v>
      </c>
      <c r="C682">
        <v>773</v>
      </c>
      <c r="D682">
        <v>38.58</v>
      </c>
      <c r="E682">
        <v>17280</v>
      </c>
      <c r="F682">
        <v>0</v>
      </c>
      <c r="G682">
        <v>17280000</v>
      </c>
      <c r="H682">
        <v>11</v>
      </c>
      <c r="I682">
        <v>1300</v>
      </c>
      <c r="J682" s="2">
        <f t="shared" si="28"/>
        <v>50154</v>
      </c>
      <c r="K682">
        <v>681</v>
      </c>
      <c r="L682" s="3">
        <f>SUM($I$2:$I682)</f>
        <v>5874100</v>
      </c>
      <c r="M682" s="3">
        <f>SUM($J$2:$J682)</f>
        <v>20987917.5</v>
      </c>
      <c r="N682" s="2">
        <f>SUM($D$2:$D682)</f>
        <v>3165.1200000000013</v>
      </c>
      <c r="O682" s="2">
        <f t="shared" si="29"/>
        <v>0.18862028154308802</v>
      </c>
      <c r="P682" s="2" cm="1">
        <f t="array" ref="P682">SUMPRODUCT((O682&gt;$T$9:$T$14)*(O682&lt;=$U$9:$U$14),$S$9:$S$14)</f>
        <v>3</v>
      </c>
    </row>
    <row r="683" spans="1:16" x14ac:dyDescent="0.25">
      <c r="A683">
        <v>1101</v>
      </c>
      <c r="B683">
        <v>727</v>
      </c>
      <c r="C683">
        <v>433</v>
      </c>
      <c r="D683">
        <v>32.17</v>
      </c>
      <c r="E683">
        <v>17285</v>
      </c>
      <c r="F683">
        <v>0</v>
      </c>
      <c r="G683">
        <v>17285000</v>
      </c>
      <c r="H683">
        <v>11</v>
      </c>
      <c r="I683">
        <v>1300</v>
      </c>
      <c r="J683" s="2">
        <f t="shared" si="28"/>
        <v>41821</v>
      </c>
      <c r="K683">
        <v>682</v>
      </c>
      <c r="L683" s="3">
        <f>SUM($I$2:$I683)</f>
        <v>5875400</v>
      </c>
      <c r="M683" s="3">
        <f>SUM($J$2:$J683)</f>
        <v>21029738.5</v>
      </c>
      <c r="N683" s="2">
        <f>SUM($D$2:$D683)</f>
        <v>3197.2900000000013</v>
      </c>
      <c r="O683" s="2">
        <f t="shared" si="29"/>
        <v>0.19053740141760814</v>
      </c>
      <c r="P683" s="2" cm="1">
        <f t="array" ref="P683">SUMPRODUCT((O683&gt;$T$9:$T$14)*(O683&lt;=$U$9:$U$14),$S$9:$S$14)</f>
        <v>3</v>
      </c>
    </row>
    <row r="684" spans="1:16" x14ac:dyDescent="0.25">
      <c r="A684">
        <v>1113</v>
      </c>
      <c r="B684">
        <v>739</v>
      </c>
      <c r="C684">
        <v>453</v>
      </c>
      <c r="D684">
        <v>21.2</v>
      </c>
      <c r="E684">
        <v>22020</v>
      </c>
      <c r="F684">
        <v>0</v>
      </c>
      <c r="G684">
        <v>22020000</v>
      </c>
      <c r="H684">
        <v>17</v>
      </c>
      <c r="I684">
        <v>1300</v>
      </c>
      <c r="J684" s="2">
        <f t="shared" si="28"/>
        <v>27560</v>
      </c>
      <c r="K684">
        <v>683</v>
      </c>
      <c r="L684" s="3">
        <f>SUM($I$2:$I684)</f>
        <v>5876700</v>
      </c>
      <c r="M684" s="3">
        <f>SUM($J$2:$J684)</f>
        <v>21057298.5</v>
      </c>
      <c r="N684" s="2">
        <f>SUM($D$2:$D684)</f>
        <v>3218.4900000000011</v>
      </c>
      <c r="O684" s="2">
        <f t="shared" si="29"/>
        <v>0.1918007816271147</v>
      </c>
      <c r="P684" s="2" cm="1">
        <f t="array" ref="P684">SUMPRODUCT((O684&gt;$T$9:$T$14)*(O684&lt;=$U$9:$U$14),$S$9:$S$14)</f>
        <v>3</v>
      </c>
    </row>
    <row r="685" spans="1:16" x14ac:dyDescent="0.25">
      <c r="A685">
        <v>900</v>
      </c>
      <c r="B685">
        <v>526</v>
      </c>
      <c r="C685">
        <v>161</v>
      </c>
      <c r="D685">
        <v>18.88</v>
      </c>
      <c r="E685">
        <v>17390</v>
      </c>
      <c r="F685">
        <v>0</v>
      </c>
      <c r="G685">
        <v>17390000</v>
      </c>
      <c r="H685">
        <v>11</v>
      </c>
      <c r="I685">
        <v>1300</v>
      </c>
      <c r="J685" s="2">
        <f t="shared" si="28"/>
        <v>24544</v>
      </c>
      <c r="K685">
        <v>684</v>
      </c>
      <c r="L685" s="3">
        <f>SUM($I$2:$I685)</f>
        <v>5878000</v>
      </c>
      <c r="M685" s="3">
        <f>SUM($J$2:$J685)</f>
        <v>21081842.5</v>
      </c>
      <c r="N685" s="2">
        <f>SUM($D$2:$D685)</f>
        <v>3237.3700000000013</v>
      </c>
      <c r="O685" s="2">
        <f t="shared" si="29"/>
        <v>0.19292590513444888</v>
      </c>
      <c r="P685" s="2" cm="1">
        <f t="array" ref="P685">SUMPRODUCT((O685&gt;$T$9:$T$14)*(O685&lt;=$U$9:$U$14),$S$9:$S$14)</f>
        <v>3</v>
      </c>
    </row>
    <row r="686" spans="1:16" x14ac:dyDescent="0.25">
      <c r="A686">
        <v>1013</v>
      </c>
      <c r="B686">
        <v>639</v>
      </c>
      <c r="C686">
        <v>315</v>
      </c>
      <c r="D686">
        <v>14.43</v>
      </c>
      <c r="E686">
        <v>22100</v>
      </c>
      <c r="F686">
        <v>0</v>
      </c>
      <c r="G686">
        <v>22100000</v>
      </c>
      <c r="H686">
        <v>17</v>
      </c>
      <c r="I686">
        <v>1300</v>
      </c>
      <c r="J686" s="2">
        <f t="shared" si="28"/>
        <v>18759</v>
      </c>
      <c r="K686">
        <v>685</v>
      </c>
      <c r="L686" s="3">
        <f>SUM($I$2:$I686)</f>
        <v>5879300</v>
      </c>
      <c r="M686" s="3">
        <f>SUM($J$2:$J686)</f>
        <v>21100601.5</v>
      </c>
      <c r="N686" s="2">
        <f>SUM($D$2:$D686)</f>
        <v>3251.8000000000011</v>
      </c>
      <c r="O686" s="2">
        <f t="shared" si="29"/>
        <v>0.19378583798459886</v>
      </c>
      <c r="P686" s="2" cm="1">
        <f t="array" ref="P686">SUMPRODUCT((O686&gt;$T$9:$T$14)*(O686&lt;=$U$9:$U$14),$S$9:$S$14)</f>
        <v>3</v>
      </c>
    </row>
    <row r="687" spans="1:16" x14ac:dyDescent="0.25">
      <c r="A687">
        <v>669</v>
      </c>
      <c r="B687">
        <v>1456</v>
      </c>
      <c r="C687">
        <v>903</v>
      </c>
      <c r="D687">
        <v>11.36</v>
      </c>
      <c r="E687">
        <v>21130</v>
      </c>
      <c r="F687">
        <v>0</v>
      </c>
      <c r="G687">
        <v>21130000</v>
      </c>
      <c r="H687">
        <v>17</v>
      </c>
      <c r="I687">
        <v>1300</v>
      </c>
      <c r="J687" s="2">
        <f t="shared" si="28"/>
        <v>14768</v>
      </c>
      <c r="K687">
        <v>686</v>
      </c>
      <c r="L687" s="3">
        <f>SUM($I$2:$I687)</f>
        <v>5880600</v>
      </c>
      <c r="M687" s="3">
        <f>SUM($J$2:$J687)</f>
        <v>21115369.5</v>
      </c>
      <c r="N687" s="2">
        <f>SUM($D$2:$D687)</f>
        <v>3263.1600000000012</v>
      </c>
      <c r="O687" s="2">
        <f t="shared" si="29"/>
        <v>0.19446281907799484</v>
      </c>
      <c r="P687" s="2" cm="1">
        <f t="array" ref="P687">SUMPRODUCT((O687&gt;$T$9:$T$14)*(O687&lt;=$U$9:$U$14),$S$9:$S$14)</f>
        <v>3</v>
      </c>
    </row>
    <row r="688" spans="1:16" x14ac:dyDescent="0.25">
      <c r="A688">
        <v>1023</v>
      </c>
      <c r="B688">
        <v>649</v>
      </c>
      <c r="C688">
        <v>327</v>
      </c>
      <c r="D688">
        <v>10.7</v>
      </c>
      <c r="E688">
        <v>20694</v>
      </c>
      <c r="F688">
        <v>0</v>
      </c>
      <c r="G688">
        <v>20694000</v>
      </c>
      <c r="H688">
        <v>17</v>
      </c>
      <c r="I688">
        <v>1300</v>
      </c>
      <c r="J688" s="2">
        <f t="shared" si="28"/>
        <v>13909.999999999998</v>
      </c>
      <c r="K688">
        <v>687</v>
      </c>
      <c r="L688" s="3">
        <f>SUM($I$2:$I688)</f>
        <v>5881900</v>
      </c>
      <c r="M688" s="3">
        <f>SUM($J$2:$J688)</f>
        <v>21129279.5</v>
      </c>
      <c r="N688" s="2">
        <f>SUM($D$2:$D688)</f>
        <v>3273.860000000001</v>
      </c>
      <c r="O688" s="2">
        <f t="shared" si="29"/>
        <v>0.19510046852335899</v>
      </c>
      <c r="P688" s="2" cm="1">
        <f t="array" ref="P688">SUMPRODUCT((O688&gt;$T$9:$T$14)*(O688&lt;=$U$9:$U$14),$S$9:$S$14)</f>
        <v>3</v>
      </c>
    </row>
    <row r="689" spans="1:16" x14ac:dyDescent="0.25">
      <c r="A689">
        <v>986</v>
      </c>
      <c r="B689">
        <v>612</v>
      </c>
      <c r="C689">
        <v>280</v>
      </c>
      <c r="D689">
        <v>8.35</v>
      </c>
      <c r="E689">
        <v>21280</v>
      </c>
      <c r="F689">
        <v>1.6</v>
      </c>
      <c r="G689">
        <v>21280016</v>
      </c>
      <c r="H689">
        <v>17</v>
      </c>
      <c r="I689">
        <v>1300</v>
      </c>
      <c r="J689" s="2">
        <f t="shared" si="28"/>
        <v>10855</v>
      </c>
      <c r="K689">
        <v>688</v>
      </c>
      <c r="L689" s="3">
        <f>SUM($I$2:$I689)</f>
        <v>5883200</v>
      </c>
      <c r="M689" s="3">
        <f>SUM($J$2:$J689)</f>
        <v>21140134.5</v>
      </c>
      <c r="N689" s="2">
        <f>SUM($D$2:$D689)</f>
        <v>3282.2100000000009</v>
      </c>
      <c r="O689" s="2">
        <f t="shared" si="29"/>
        <v>0.1955980734643675</v>
      </c>
      <c r="P689" s="2" cm="1">
        <f t="array" ref="P689">SUMPRODUCT((O689&gt;$T$9:$T$14)*(O689&lt;=$U$9:$U$14),$S$9:$S$14)</f>
        <v>3</v>
      </c>
    </row>
    <row r="690" spans="1:16" x14ac:dyDescent="0.25">
      <c r="A690">
        <v>919</v>
      </c>
      <c r="B690">
        <v>545</v>
      </c>
      <c r="C690">
        <v>193</v>
      </c>
      <c r="D690">
        <v>7.35</v>
      </c>
      <c r="E690">
        <v>21160</v>
      </c>
      <c r="F690">
        <v>0</v>
      </c>
      <c r="G690">
        <v>21160000</v>
      </c>
      <c r="H690">
        <v>17</v>
      </c>
      <c r="I690">
        <v>1300</v>
      </c>
      <c r="J690" s="2">
        <f t="shared" si="28"/>
        <v>9555</v>
      </c>
      <c r="K690">
        <v>689</v>
      </c>
      <c r="L690" s="3">
        <f>SUM($I$2:$I690)</f>
        <v>5884500</v>
      </c>
      <c r="M690" s="3">
        <f>SUM($J$2:$J690)</f>
        <v>21149689.5</v>
      </c>
      <c r="N690" s="2">
        <f>SUM($D$2:$D690)</f>
        <v>3289.5600000000009</v>
      </c>
      <c r="O690" s="2">
        <f t="shared" si="29"/>
        <v>0.19603608499926717</v>
      </c>
      <c r="P690" s="2" cm="1">
        <f t="array" ref="P690">SUMPRODUCT((O690&gt;$T$9:$T$14)*(O690&lt;=$U$9:$U$14),$S$9:$S$14)</f>
        <v>3</v>
      </c>
    </row>
    <row r="691" spans="1:16" x14ac:dyDescent="0.25">
      <c r="A691">
        <v>1148</v>
      </c>
      <c r="B691">
        <v>774</v>
      </c>
      <c r="C691">
        <v>492</v>
      </c>
      <c r="D691">
        <v>4.8099999999999996</v>
      </c>
      <c r="E691">
        <v>21180</v>
      </c>
      <c r="F691">
        <v>0</v>
      </c>
      <c r="G691">
        <v>21180000</v>
      </c>
      <c r="H691">
        <v>17</v>
      </c>
      <c r="I691">
        <v>1300</v>
      </c>
      <c r="J691" s="2">
        <f t="shared" si="28"/>
        <v>6252.9999999999991</v>
      </c>
      <c r="K691">
        <v>690</v>
      </c>
      <c r="L691" s="3">
        <f>SUM($I$2:$I691)</f>
        <v>5885800</v>
      </c>
      <c r="M691" s="3">
        <f>SUM($J$2:$J691)</f>
        <v>21155942.5</v>
      </c>
      <c r="N691" s="2">
        <f>SUM($D$2:$D691)</f>
        <v>3294.3700000000008</v>
      </c>
      <c r="O691" s="2">
        <f t="shared" si="29"/>
        <v>0.19632272928265049</v>
      </c>
      <c r="P691" s="2" cm="1">
        <f t="array" ref="P691">SUMPRODUCT((O691&gt;$T$9:$T$14)*(O691&lt;=$U$9:$U$14),$S$9:$S$14)</f>
        <v>3</v>
      </c>
    </row>
    <row r="692" spans="1:16" x14ac:dyDescent="0.25">
      <c r="A692">
        <v>721</v>
      </c>
      <c r="B692">
        <v>1508</v>
      </c>
      <c r="C692">
        <v>969</v>
      </c>
      <c r="D692">
        <v>4.43</v>
      </c>
      <c r="E692">
        <v>20740</v>
      </c>
      <c r="F692">
        <v>0</v>
      </c>
      <c r="G692">
        <v>20740000</v>
      </c>
      <c r="H692">
        <v>17</v>
      </c>
      <c r="I692">
        <v>1300</v>
      </c>
      <c r="J692" s="2">
        <f t="shared" si="28"/>
        <v>5759</v>
      </c>
      <c r="K692">
        <v>691</v>
      </c>
      <c r="L692" s="3">
        <f>SUM($I$2:$I692)</f>
        <v>5887100</v>
      </c>
      <c r="M692" s="3">
        <f>SUM($J$2:$J692)</f>
        <v>21161701.5</v>
      </c>
      <c r="N692" s="2">
        <f>SUM($D$2:$D692)</f>
        <v>3298.8000000000006</v>
      </c>
      <c r="O692" s="2">
        <f t="shared" si="29"/>
        <v>0.19658672807171249</v>
      </c>
      <c r="P692" s="2" cm="1">
        <f t="array" ref="P692">SUMPRODUCT((O692&gt;$T$9:$T$14)*(O692&lt;=$U$9:$U$14),$S$9:$S$14)</f>
        <v>3</v>
      </c>
    </row>
    <row r="693" spans="1:16" x14ac:dyDescent="0.25">
      <c r="A693">
        <v>657</v>
      </c>
      <c r="B693">
        <v>1444</v>
      </c>
      <c r="C693">
        <v>888</v>
      </c>
      <c r="D693">
        <v>3.09</v>
      </c>
      <c r="E693">
        <v>17260</v>
      </c>
      <c r="F693">
        <v>8.6</v>
      </c>
      <c r="G693">
        <v>17260086</v>
      </c>
      <c r="H693">
        <v>11</v>
      </c>
      <c r="I693">
        <v>1300</v>
      </c>
      <c r="J693" s="2">
        <f t="shared" si="28"/>
        <v>4017</v>
      </c>
      <c r="K693">
        <v>692</v>
      </c>
      <c r="L693" s="3">
        <f>SUM($I$2:$I693)</f>
        <v>5888400</v>
      </c>
      <c r="M693" s="3">
        <f>SUM($J$2:$J693)</f>
        <v>21165718.5</v>
      </c>
      <c r="N693" s="2">
        <f>SUM($D$2:$D693)</f>
        <v>3301.8900000000008</v>
      </c>
      <c r="O693" s="2">
        <f t="shared" si="29"/>
        <v>0.19677087169658869</v>
      </c>
      <c r="P693" s="2" cm="1">
        <f t="array" ref="P693">SUMPRODUCT((O693&gt;$T$9:$T$14)*(O693&lt;=$U$9:$U$14),$S$9:$S$14)</f>
        <v>3</v>
      </c>
    </row>
    <row r="694" spans="1:16" x14ac:dyDescent="0.25">
      <c r="A694">
        <v>809</v>
      </c>
      <c r="B694">
        <v>435</v>
      </c>
      <c r="C694">
        <v>44</v>
      </c>
      <c r="D694">
        <v>2.63</v>
      </c>
      <c r="E694">
        <v>12240</v>
      </c>
      <c r="F694">
        <v>5.3</v>
      </c>
      <c r="G694">
        <v>12240053</v>
      </c>
      <c r="H694">
        <v>3</v>
      </c>
      <c r="I694">
        <v>1300</v>
      </c>
      <c r="J694" s="2">
        <f t="shared" si="28"/>
        <v>3419</v>
      </c>
      <c r="K694">
        <v>693</v>
      </c>
      <c r="L694" s="3">
        <f>SUM($I$2:$I694)</f>
        <v>5889700</v>
      </c>
      <c r="M694" s="3">
        <f>SUM($J$2:$J694)</f>
        <v>21169137.5</v>
      </c>
      <c r="N694" s="2">
        <f>SUM($D$2:$D694)</f>
        <v>3304.5200000000009</v>
      </c>
      <c r="O694" s="2">
        <f t="shared" si="29"/>
        <v>0.19692760235465484</v>
      </c>
      <c r="P694" s="2" cm="1">
        <f t="array" ref="P694">SUMPRODUCT((O694&gt;$T$9:$T$14)*(O694&lt;=$U$9:$U$14),$S$9:$S$14)</f>
        <v>3</v>
      </c>
    </row>
    <row r="695" spans="1:16" x14ac:dyDescent="0.25">
      <c r="A695">
        <v>537</v>
      </c>
      <c r="B695">
        <v>1324</v>
      </c>
      <c r="C695">
        <v>742</v>
      </c>
      <c r="D695">
        <v>2.3199999999999998</v>
      </c>
      <c r="E695">
        <v>22265</v>
      </c>
      <c r="F695">
        <v>0</v>
      </c>
      <c r="G695">
        <v>22265000</v>
      </c>
      <c r="H695" t="s">
        <v>7</v>
      </c>
      <c r="I695">
        <v>1300</v>
      </c>
      <c r="J695" s="2">
        <f t="shared" si="28"/>
        <v>3016</v>
      </c>
      <c r="K695">
        <v>694</v>
      </c>
      <c r="L695" s="3">
        <f>SUM($I$2:$I695)</f>
        <v>5891000</v>
      </c>
      <c r="M695" s="3">
        <f>SUM($J$2:$J695)</f>
        <v>21172153.5</v>
      </c>
      <c r="N695" s="2">
        <f>SUM($D$2:$D695)</f>
        <v>3306.8400000000011</v>
      </c>
      <c r="O695" s="2">
        <f t="shared" si="29"/>
        <v>0.19706585905682725</v>
      </c>
      <c r="P695" s="2" cm="1">
        <f t="array" ref="P695">SUMPRODUCT((O695&gt;$T$9:$T$14)*(O695&lt;=$U$9:$U$14),$S$9:$S$14)</f>
        <v>3</v>
      </c>
    </row>
    <row r="696" spans="1:16" x14ac:dyDescent="0.25">
      <c r="A696">
        <v>665</v>
      </c>
      <c r="B696">
        <v>1452</v>
      </c>
      <c r="C696">
        <v>899</v>
      </c>
      <c r="D696">
        <v>2.21</v>
      </c>
      <c r="E696">
        <v>19435</v>
      </c>
      <c r="F696">
        <v>0</v>
      </c>
      <c r="G696">
        <v>19435000</v>
      </c>
      <c r="H696">
        <v>12</v>
      </c>
      <c r="I696">
        <v>1300</v>
      </c>
      <c r="J696" s="2">
        <f t="shared" si="28"/>
        <v>2873</v>
      </c>
      <c r="K696">
        <v>695</v>
      </c>
      <c r="L696" s="3">
        <f>SUM($I$2:$I696)</f>
        <v>5892300</v>
      </c>
      <c r="M696" s="3">
        <f>SUM($J$2:$J696)</f>
        <v>21175026.5</v>
      </c>
      <c r="N696" s="2">
        <f>SUM($D$2:$D696)</f>
        <v>3309.0500000000011</v>
      </c>
      <c r="O696" s="2">
        <f t="shared" si="29"/>
        <v>0.19719756048432771</v>
      </c>
      <c r="P696" s="2" cm="1">
        <f t="array" ref="P696">SUMPRODUCT((O696&gt;$T$9:$T$14)*(O696&lt;=$U$9:$U$14),$S$9:$S$14)</f>
        <v>3</v>
      </c>
    </row>
    <row r="697" spans="1:16" x14ac:dyDescent="0.25">
      <c r="A697">
        <v>851</v>
      </c>
      <c r="B697">
        <v>477</v>
      </c>
      <c r="C697">
        <v>96</v>
      </c>
      <c r="D697">
        <v>2.0099999999999998</v>
      </c>
      <c r="E697">
        <v>22110</v>
      </c>
      <c r="F697">
        <v>0</v>
      </c>
      <c r="G697">
        <v>22110000</v>
      </c>
      <c r="H697">
        <v>17</v>
      </c>
      <c r="I697">
        <v>1300</v>
      </c>
      <c r="J697" s="2">
        <f t="shared" si="28"/>
        <v>2612.9999999999995</v>
      </c>
      <c r="K697">
        <v>696</v>
      </c>
      <c r="L697" s="3">
        <f>SUM($I$2:$I697)</f>
        <v>5893600</v>
      </c>
      <c r="M697" s="3">
        <f>SUM($J$2:$J697)</f>
        <v>21177639.5</v>
      </c>
      <c r="N697" s="2">
        <f>SUM($D$2:$D697)</f>
        <v>3311.0600000000013</v>
      </c>
      <c r="O697" s="2">
        <f t="shared" si="29"/>
        <v>0.1973173432306064</v>
      </c>
      <c r="P697" s="2" cm="1">
        <f t="array" ref="P697">SUMPRODUCT((O697&gt;$T$9:$T$14)*(O697&lt;=$U$9:$U$14),$S$9:$S$14)</f>
        <v>3</v>
      </c>
    </row>
    <row r="698" spans="1:16" x14ac:dyDescent="0.25">
      <c r="A698">
        <v>1010</v>
      </c>
      <c r="B698">
        <v>636</v>
      </c>
      <c r="C698">
        <v>310</v>
      </c>
      <c r="D698">
        <v>1.72</v>
      </c>
      <c r="E698">
        <v>16120</v>
      </c>
      <c r="F698">
        <v>8</v>
      </c>
      <c r="G698">
        <v>16120080</v>
      </c>
      <c r="H698">
        <v>9</v>
      </c>
      <c r="I698">
        <v>1300</v>
      </c>
      <c r="J698" s="2">
        <f t="shared" si="28"/>
        <v>2236</v>
      </c>
      <c r="K698">
        <v>697</v>
      </c>
      <c r="L698" s="3">
        <f>SUM($I$2:$I698)</f>
        <v>5894900</v>
      </c>
      <c r="M698" s="3">
        <f>SUM($J$2:$J698)</f>
        <v>21179875.5</v>
      </c>
      <c r="N698" s="2">
        <f>SUM($D$2:$D698)</f>
        <v>3312.7800000000011</v>
      </c>
      <c r="O698" s="2">
        <f t="shared" si="29"/>
        <v>0.19741984388911354</v>
      </c>
      <c r="P698" s="2" cm="1">
        <f t="array" ref="P698">SUMPRODUCT((O698&gt;$T$9:$T$14)*(O698&lt;=$U$9:$U$14),$S$9:$S$14)</f>
        <v>3</v>
      </c>
    </row>
    <row r="699" spans="1:16" x14ac:dyDescent="0.25">
      <c r="A699">
        <v>1168</v>
      </c>
      <c r="B699">
        <v>794</v>
      </c>
      <c r="C699">
        <v>516</v>
      </c>
      <c r="D699">
        <v>1.59</v>
      </c>
      <c r="E699">
        <v>20940</v>
      </c>
      <c r="F699">
        <v>0</v>
      </c>
      <c r="G699">
        <v>20940000</v>
      </c>
      <c r="H699">
        <v>17</v>
      </c>
      <c r="I699">
        <v>1300</v>
      </c>
      <c r="J699" s="2">
        <f t="shared" si="28"/>
        <v>2067</v>
      </c>
      <c r="K699">
        <v>698</v>
      </c>
      <c r="L699" s="3">
        <f>SUM($I$2:$I699)</f>
        <v>5896200</v>
      </c>
      <c r="M699" s="3">
        <f>SUM($J$2:$J699)</f>
        <v>21181942.5</v>
      </c>
      <c r="N699" s="2">
        <f>SUM($D$2:$D699)</f>
        <v>3314.3700000000013</v>
      </c>
      <c r="O699" s="2">
        <f t="shared" si="29"/>
        <v>0.19751459740482655</v>
      </c>
      <c r="P699" s="2" cm="1">
        <f t="array" ref="P699">SUMPRODUCT((O699&gt;$T$9:$T$14)*(O699&lt;=$U$9:$U$14),$S$9:$S$14)</f>
        <v>3</v>
      </c>
    </row>
    <row r="700" spans="1:16" x14ac:dyDescent="0.25">
      <c r="A700">
        <v>695</v>
      </c>
      <c r="B700">
        <v>1482</v>
      </c>
      <c r="C700">
        <v>934</v>
      </c>
      <c r="D700">
        <v>1.54</v>
      </c>
      <c r="E700">
        <v>14290</v>
      </c>
      <c r="F700">
        <v>0</v>
      </c>
      <c r="G700">
        <v>14290000</v>
      </c>
      <c r="H700">
        <v>7</v>
      </c>
      <c r="I700">
        <v>1300</v>
      </c>
      <c r="J700" s="2">
        <f t="shared" si="28"/>
        <v>2002</v>
      </c>
      <c r="K700">
        <v>699</v>
      </c>
      <c r="L700" s="3">
        <f>SUM($I$2:$I700)</f>
        <v>5897500</v>
      </c>
      <c r="M700" s="3">
        <f>SUM($J$2:$J700)</f>
        <v>21183944.5</v>
      </c>
      <c r="N700" s="2">
        <f>SUM($D$2:$D700)</f>
        <v>3315.9100000000012</v>
      </c>
      <c r="O700" s="2">
        <f t="shared" si="29"/>
        <v>0.19760637125023409</v>
      </c>
      <c r="P700" s="2" cm="1">
        <f t="array" ref="P700">SUMPRODUCT((O700&gt;$T$9:$T$14)*(O700&lt;=$U$9:$U$14),$S$9:$S$14)</f>
        <v>3</v>
      </c>
    </row>
    <row r="701" spans="1:16" x14ac:dyDescent="0.25">
      <c r="A701">
        <v>926</v>
      </c>
      <c r="B701">
        <v>552</v>
      </c>
      <c r="C701">
        <v>202</v>
      </c>
      <c r="D701">
        <v>1.2</v>
      </c>
      <c r="E701">
        <v>14330</v>
      </c>
      <c r="F701">
        <v>2.8</v>
      </c>
      <c r="G701">
        <v>14330028</v>
      </c>
      <c r="H701">
        <v>7</v>
      </c>
      <c r="I701">
        <v>1300</v>
      </c>
      <c r="J701" s="2">
        <f t="shared" si="28"/>
        <v>1560</v>
      </c>
      <c r="K701">
        <v>700</v>
      </c>
      <c r="L701" s="3">
        <f>SUM($I$2:$I701)</f>
        <v>5898800</v>
      </c>
      <c r="M701" s="3">
        <f>SUM($J$2:$J701)</f>
        <v>21185504.5</v>
      </c>
      <c r="N701" s="2">
        <f>SUM($D$2:$D701)</f>
        <v>3317.110000000001</v>
      </c>
      <c r="O701" s="2">
        <f t="shared" si="29"/>
        <v>0.19767788333756464</v>
      </c>
      <c r="P701" s="2" cm="1">
        <f t="array" ref="P701">SUMPRODUCT((O701&gt;$T$9:$T$14)*(O701&lt;=$U$9:$U$14),$S$9:$S$14)</f>
        <v>3</v>
      </c>
    </row>
    <row r="702" spans="1:16" x14ac:dyDescent="0.25">
      <c r="A702">
        <v>603</v>
      </c>
      <c r="B702">
        <v>1390</v>
      </c>
      <c r="C702">
        <v>824</v>
      </c>
      <c r="D702">
        <v>1.2</v>
      </c>
      <c r="E702">
        <v>17960</v>
      </c>
      <c r="F702">
        <v>2.8</v>
      </c>
      <c r="G702">
        <v>17960028</v>
      </c>
      <c r="H702">
        <v>11</v>
      </c>
      <c r="I702">
        <v>1300</v>
      </c>
      <c r="J702" s="2">
        <f t="shared" si="28"/>
        <v>1560</v>
      </c>
      <c r="K702">
        <v>701</v>
      </c>
      <c r="L702" s="3">
        <f>SUM($I$2:$I702)</f>
        <v>5900100</v>
      </c>
      <c r="M702" s="3">
        <f>SUM($J$2:$J702)</f>
        <v>21187064.5</v>
      </c>
      <c r="N702" s="2">
        <f>SUM($D$2:$D702)</f>
        <v>3318.3100000000009</v>
      </c>
      <c r="O702" s="2">
        <f t="shared" si="29"/>
        <v>0.1977493954248952</v>
      </c>
      <c r="P702" s="2" cm="1">
        <f t="array" ref="P702">SUMPRODUCT((O702&gt;$T$9:$T$14)*(O702&lt;=$U$9:$U$14),$S$9:$S$14)</f>
        <v>3</v>
      </c>
    </row>
    <row r="703" spans="1:16" x14ac:dyDescent="0.25">
      <c r="A703">
        <v>114</v>
      </c>
      <c r="B703">
        <v>910</v>
      </c>
      <c r="C703">
        <v>1669</v>
      </c>
      <c r="D703">
        <v>1.0900000000000001</v>
      </c>
      <c r="E703">
        <v>49800</v>
      </c>
      <c r="F703">
        <v>1</v>
      </c>
      <c r="G703">
        <v>49800010</v>
      </c>
      <c r="H703">
        <v>420</v>
      </c>
      <c r="I703">
        <v>1300</v>
      </c>
      <c r="J703" s="2">
        <f t="shared" si="28"/>
        <v>1417</v>
      </c>
      <c r="K703">
        <v>702</v>
      </c>
      <c r="L703" s="3">
        <f>SUM($I$2:$I703)</f>
        <v>5901400</v>
      </c>
      <c r="M703" s="3">
        <f>SUM($J$2:$J703)</f>
        <v>21188481.5</v>
      </c>
      <c r="N703" s="2">
        <f>SUM($D$2:$D703)</f>
        <v>3319.400000000001</v>
      </c>
      <c r="O703" s="2">
        <f t="shared" si="29"/>
        <v>0.19781435223755381</v>
      </c>
      <c r="P703" s="2" cm="1">
        <f t="array" ref="P703">SUMPRODUCT((O703&gt;$T$9:$T$14)*(O703&lt;=$U$9:$U$14),$S$9:$S$14)</f>
        <v>3</v>
      </c>
    </row>
    <row r="704" spans="1:16" x14ac:dyDescent="0.25">
      <c r="A704">
        <v>994</v>
      </c>
      <c r="B704">
        <v>620</v>
      </c>
      <c r="C704">
        <v>291</v>
      </c>
      <c r="D704">
        <v>14.28</v>
      </c>
      <c r="E704">
        <v>17470</v>
      </c>
      <c r="F704">
        <v>0</v>
      </c>
      <c r="G704">
        <v>17470000</v>
      </c>
      <c r="H704">
        <v>11</v>
      </c>
      <c r="I704">
        <v>1250</v>
      </c>
      <c r="J704" s="2">
        <f t="shared" si="28"/>
        <v>17850</v>
      </c>
      <c r="K704">
        <v>703</v>
      </c>
      <c r="L704" s="3">
        <f>SUM($I$2:$I704)</f>
        <v>5902650</v>
      </c>
      <c r="M704" s="3">
        <f>SUM($J$2:$J704)</f>
        <v>21206331.5</v>
      </c>
      <c r="N704" s="2">
        <f>SUM($D$2:$D704)</f>
        <v>3333.6800000000012</v>
      </c>
      <c r="O704" s="2">
        <f t="shared" si="29"/>
        <v>0.19866534607678749</v>
      </c>
      <c r="P704" s="2" cm="1">
        <f t="array" ref="P704">SUMPRODUCT((O704&gt;$T$9:$T$14)*(O704&lt;=$U$9:$U$14),$S$9:$S$14)</f>
        <v>3</v>
      </c>
    </row>
    <row r="705" spans="1:16" x14ac:dyDescent="0.25">
      <c r="A705">
        <v>1108</v>
      </c>
      <c r="B705">
        <v>734</v>
      </c>
      <c r="C705">
        <v>448</v>
      </c>
      <c r="D705">
        <v>12.11</v>
      </c>
      <c r="E705">
        <v>20970</v>
      </c>
      <c r="F705">
        <v>3.5</v>
      </c>
      <c r="G705">
        <v>20970035</v>
      </c>
      <c r="H705">
        <v>17</v>
      </c>
      <c r="I705">
        <v>1250</v>
      </c>
      <c r="J705" s="2">
        <f t="shared" si="28"/>
        <v>15137.5</v>
      </c>
      <c r="K705">
        <v>704</v>
      </c>
      <c r="L705" s="3">
        <f>SUM($I$2:$I705)</f>
        <v>5903900</v>
      </c>
      <c r="M705" s="3">
        <f>SUM($J$2:$J705)</f>
        <v>21221469</v>
      </c>
      <c r="N705" s="2">
        <f>SUM($D$2:$D705)</f>
        <v>3345.7900000000013</v>
      </c>
      <c r="O705" s="2">
        <f t="shared" si="29"/>
        <v>0.19938702222476506</v>
      </c>
      <c r="P705" s="2" cm="1">
        <f t="array" ref="P705">SUMPRODUCT((O705&gt;$T$9:$T$14)*(O705&lt;=$U$9:$U$14),$S$9:$S$14)</f>
        <v>3</v>
      </c>
    </row>
    <row r="706" spans="1:16" x14ac:dyDescent="0.25">
      <c r="A706">
        <v>1035</v>
      </c>
      <c r="B706">
        <v>661</v>
      </c>
      <c r="C706">
        <v>344</v>
      </c>
      <c r="D706">
        <v>11.07</v>
      </c>
      <c r="E706">
        <v>21150</v>
      </c>
      <c r="F706">
        <v>0</v>
      </c>
      <c r="G706">
        <v>21150000</v>
      </c>
      <c r="H706">
        <v>17</v>
      </c>
      <c r="I706">
        <v>1250</v>
      </c>
      <c r="J706" s="2">
        <f t="shared" ref="J706:J769" si="30">I706*D706</f>
        <v>13837.5</v>
      </c>
      <c r="K706">
        <v>705</v>
      </c>
      <c r="L706" s="3">
        <f>SUM($I$2:$I706)</f>
        <v>5905150</v>
      </c>
      <c r="M706" s="3">
        <f>SUM($J$2:$J706)</f>
        <v>21235306.5</v>
      </c>
      <c r="N706" s="2">
        <f>SUM($D$2:$D706)</f>
        <v>3356.8600000000015</v>
      </c>
      <c r="O706" s="2">
        <f t="shared" ref="O706:O769" si="31">N706/$T$4</f>
        <v>0.2000467212303895</v>
      </c>
      <c r="P706" s="2" cm="1">
        <f t="array" ref="P706">SUMPRODUCT((O706&gt;$T$9:$T$14)*(O706&lt;=$U$9:$U$14),$S$9:$S$14)</f>
        <v>3</v>
      </c>
    </row>
    <row r="707" spans="1:16" x14ac:dyDescent="0.25">
      <c r="A707">
        <v>543</v>
      </c>
      <c r="B707">
        <v>1330</v>
      </c>
      <c r="C707">
        <v>748</v>
      </c>
      <c r="D707">
        <v>7.92</v>
      </c>
      <c r="E707">
        <v>21110</v>
      </c>
      <c r="F707">
        <v>0</v>
      </c>
      <c r="G707">
        <v>21110000</v>
      </c>
      <c r="H707">
        <v>17</v>
      </c>
      <c r="I707">
        <v>1250</v>
      </c>
      <c r="J707" s="2">
        <f t="shared" si="30"/>
        <v>9900</v>
      </c>
      <c r="K707">
        <v>706</v>
      </c>
      <c r="L707" s="3">
        <f>SUM($I$2:$I707)</f>
        <v>5906400</v>
      </c>
      <c r="M707" s="3">
        <f>SUM($J$2:$J707)</f>
        <v>21245206.5</v>
      </c>
      <c r="N707" s="2">
        <f>SUM($D$2:$D707)</f>
        <v>3364.7800000000016</v>
      </c>
      <c r="O707" s="2">
        <f t="shared" si="31"/>
        <v>0.20051870100677122</v>
      </c>
      <c r="P707" s="2" cm="1">
        <f t="array" ref="P707">SUMPRODUCT((O707&gt;$T$9:$T$14)*(O707&lt;=$U$9:$U$14),$S$9:$S$14)</f>
        <v>3</v>
      </c>
    </row>
    <row r="708" spans="1:16" x14ac:dyDescent="0.25">
      <c r="A708">
        <v>655</v>
      </c>
      <c r="B708">
        <v>1442</v>
      </c>
      <c r="C708">
        <v>886</v>
      </c>
      <c r="D708">
        <v>5.01</v>
      </c>
      <c r="E708">
        <v>24843</v>
      </c>
      <c r="F708">
        <v>0</v>
      </c>
      <c r="G708">
        <v>24843000</v>
      </c>
      <c r="H708">
        <v>24</v>
      </c>
      <c r="I708">
        <v>1250</v>
      </c>
      <c r="J708" s="2">
        <f t="shared" si="30"/>
        <v>6262.5</v>
      </c>
      <c r="K708">
        <v>707</v>
      </c>
      <c r="L708" s="3">
        <f>SUM($I$2:$I708)</f>
        <v>5907650</v>
      </c>
      <c r="M708" s="3">
        <f>SUM($J$2:$J708)</f>
        <v>21251469</v>
      </c>
      <c r="N708" s="2">
        <f>SUM($D$2:$D708)</f>
        <v>3369.7900000000018</v>
      </c>
      <c r="O708" s="2">
        <f t="shared" si="31"/>
        <v>0.20081726397137631</v>
      </c>
      <c r="P708" s="2" cm="1">
        <f t="array" ref="P708">SUMPRODUCT((O708&gt;$T$9:$T$14)*(O708&lt;=$U$9:$U$14),$S$9:$S$14)</f>
        <v>3</v>
      </c>
    </row>
    <row r="709" spans="1:16" x14ac:dyDescent="0.25">
      <c r="A709">
        <v>1153</v>
      </c>
      <c r="B709">
        <v>779</v>
      </c>
      <c r="C709">
        <v>497</v>
      </c>
      <c r="D709">
        <v>3.89</v>
      </c>
      <c r="E709">
        <v>21329</v>
      </c>
      <c r="F709">
        <v>0</v>
      </c>
      <c r="G709">
        <v>21329000</v>
      </c>
      <c r="H709">
        <v>17</v>
      </c>
      <c r="I709">
        <v>1250</v>
      </c>
      <c r="J709" s="2">
        <f t="shared" si="30"/>
        <v>4862.5</v>
      </c>
      <c r="K709">
        <v>708</v>
      </c>
      <c r="L709" s="3">
        <f>SUM($I$2:$I709)</f>
        <v>5908900</v>
      </c>
      <c r="M709" s="3">
        <f>SUM($J$2:$J709)</f>
        <v>21256331.5</v>
      </c>
      <c r="N709" s="2">
        <f>SUM($D$2:$D709)</f>
        <v>3373.6800000000017</v>
      </c>
      <c r="O709" s="2">
        <f t="shared" si="31"/>
        <v>0.20104908232113955</v>
      </c>
      <c r="P709" s="2" cm="1">
        <f t="array" ref="P709">SUMPRODUCT((O709&gt;$T$9:$T$14)*(O709&lt;=$U$9:$U$14),$S$9:$S$14)</f>
        <v>3</v>
      </c>
    </row>
    <row r="710" spans="1:16" x14ac:dyDescent="0.25">
      <c r="A710">
        <v>1071</v>
      </c>
      <c r="B710">
        <v>697</v>
      </c>
      <c r="C710">
        <v>389</v>
      </c>
      <c r="D710">
        <v>3.79</v>
      </c>
      <c r="E710">
        <v>24830</v>
      </c>
      <c r="F710">
        <v>0</v>
      </c>
      <c r="G710">
        <v>24830000</v>
      </c>
      <c r="H710">
        <v>24</v>
      </c>
      <c r="I710">
        <v>1250</v>
      </c>
      <c r="J710" s="2">
        <f t="shared" si="30"/>
        <v>4737.5</v>
      </c>
      <c r="K710">
        <v>709</v>
      </c>
      <c r="L710" s="3">
        <f>SUM($I$2:$I710)</f>
        <v>5910150</v>
      </c>
      <c r="M710" s="3">
        <f>SUM($J$2:$J710)</f>
        <v>21261069</v>
      </c>
      <c r="N710" s="2">
        <f>SUM($D$2:$D710)</f>
        <v>3377.4700000000016</v>
      </c>
      <c r="O710" s="2">
        <f t="shared" si="31"/>
        <v>0.20127494133029189</v>
      </c>
      <c r="P710" s="2" cm="1">
        <f t="array" ref="P710">SUMPRODUCT((O710&gt;$T$9:$T$14)*(O710&lt;=$U$9:$U$14),$S$9:$S$14)</f>
        <v>3</v>
      </c>
    </row>
    <row r="711" spans="1:16" x14ac:dyDescent="0.25">
      <c r="A711">
        <v>1201</v>
      </c>
      <c r="B711">
        <v>33</v>
      </c>
      <c r="C711">
        <v>1088</v>
      </c>
      <c r="D711">
        <v>2.65</v>
      </c>
      <c r="E711">
        <v>29206</v>
      </c>
      <c r="F711">
        <v>0</v>
      </c>
      <c r="G711">
        <v>29206000</v>
      </c>
      <c r="H711">
        <v>40</v>
      </c>
      <c r="I711">
        <v>1250</v>
      </c>
      <c r="J711" s="2">
        <f t="shared" si="30"/>
        <v>3312.5</v>
      </c>
      <c r="K711">
        <v>710</v>
      </c>
      <c r="L711" s="3">
        <f>SUM($I$2:$I711)</f>
        <v>5911400</v>
      </c>
      <c r="M711" s="3">
        <f>SUM($J$2:$J711)</f>
        <v>21264381.5</v>
      </c>
      <c r="N711" s="2">
        <f>SUM($D$2:$D711)</f>
        <v>3380.1200000000017</v>
      </c>
      <c r="O711" s="2">
        <f t="shared" si="31"/>
        <v>0.20143286385648024</v>
      </c>
      <c r="P711" s="2" cm="1">
        <f t="array" ref="P711">SUMPRODUCT((O711&gt;$T$9:$T$14)*(O711&lt;=$U$9:$U$14),$S$9:$S$14)</f>
        <v>3</v>
      </c>
    </row>
    <row r="712" spans="1:16" x14ac:dyDescent="0.25">
      <c r="A712">
        <v>1484</v>
      </c>
      <c r="B712">
        <v>316</v>
      </c>
      <c r="C712">
        <v>1448</v>
      </c>
      <c r="D712">
        <v>1.53</v>
      </c>
      <c r="E712">
        <v>45310</v>
      </c>
      <c r="F712">
        <v>0</v>
      </c>
      <c r="G712">
        <v>45310000</v>
      </c>
      <c r="H712">
        <v>137</v>
      </c>
      <c r="I712">
        <v>1250</v>
      </c>
      <c r="J712" s="2">
        <f t="shared" si="30"/>
        <v>1912.5</v>
      </c>
      <c r="K712">
        <v>711</v>
      </c>
      <c r="L712" s="3">
        <f>SUM($I$2:$I712)</f>
        <v>5912650</v>
      </c>
      <c r="M712" s="3">
        <f>SUM($J$2:$J712)</f>
        <v>21266294</v>
      </c>
      <c r="N712" s="2">
        <f>SUM($D$2:$D712)</f>
        <v>3381.6500000000019</v>
      </c>
      <c r="O712" s="2">
        <f t="shared" si="31"/>
        <v>0.20152404176782671</v>
      </c>
      <c r="P712" s="2" cm="1">
        <f t="array" ref="P712">SUMPRODUCT((O712&gt;$T$9:$T$14)*(O712&lt;=$U$9:$U$14),$S$9:$S$14)</f>
        <v>3</v>
      </c>
    </row>
    <row r="713" spans="1:16" x14ac:dyDescent="0.25">
      <c r="A713">
        <v>849</v>
      </c>
      <c r="B713">
        <v>475</v>
      </c>
      <c r="C713">
        <v>94</v>
      </c>
      <c r="D713">
        <v>0.7</v>
      </c>
      <c r="E713">
        <v>21329</v>
      </c>
      <c r="F713">
        <v>8</v>
      </c>
      <c r="G713">
        <v>21329080</v>
      </c>
      <c r="H713">
        <v>17</v>
      </c>
      <c r="I713">
        <v>1250</v>
      </c>
      <c r="J713" s="2">
        <f t="shared" si="30"/>
        <v>875</v>
      </c>
      <c r="K713">
        <v>712</v>
      </c>
      <c r="L713" s="3">
        <f>SUM($I$2:$I713)</f>
        <v>5913900</v>
      </c>
      <c r="M713" s="3">
        <f>SUM($J$2:$J713)</f>
        <v>21267169</v>
      </c>
      <c r="N713" s="2">
        <f>SUM($D$2:$D713)</f>
        <v>3382.3500000000017</v>
      </c>
      <c r="O713" s="2">
        <f t="shared" si="31"/>
        <v>0.20156575715210284</v>
      </c>
      <c r="P713" s="2" cm="1">
        <f t="array" ref="P713">SUMPRODUCT((O713&gt;$T$9:$T$14)*(O713&lt;=$U$9:$U$14),$S$9:$S$14)</f>
        <v>3</v>
      </c>
    </row>
    <row r="714" spans="1:16" x14ac:dyDescent="0.25">
      <c r="A714">
        <v>708</v>
      </c>
      <c r="B714">
        <v>1495</v>
      </c>
      <c r="C714">
        <v>951</v>
      </c>
      <c r="D714">
        <v>0.2</v>
      </c>
      <c r="E714">
        <v>13640</v>
      </c>
      <c r="F714">
        <v>0</v>
      </c>
      <c r="G714">
        <v>13640000</v>
      </c>
      <c r="H714">
        <v>6</v>
      </c>
      <c r="I714">
        <v>1250</v>
      </c>
      <c r="J714" s="2">
        <f t="shared" si="30"/>
        <v>250</v>
      </c>
      <c r="K714">
        <v>713</v>
      </c>
      <c r="L714" s="3">
        <f>SUM($I$2:$I714)</f>
        <v>5915150</v>
      </c>
      <c r="M714" s="3">
        <f>SUM($J$2:$J714)</f>
        <v>21267419</v>
      </c>
      <c r="N714" s="2">
        <f>SUM($D$2:$D714)</f>
        <v>3382.5500000000015</v>
      </c>
      <c r="O714" s="2">
        <f t="shared" si="31"/>
        <v>0.20157767583332462</v>
      </c>
      <c r="P714" s="2" cm="1">
        <f t="array" ref="P714">SUMPRODUCT((O714&gt;$T$9:$T$14)*(O714&lt;=$U$9:$U$14),$S$9:$S$14)</f>
        <v>3</v>
      </c>
    </row>
    <row r="715" spans="1:16" x14ac:dyDescent="0.25">
      <c r="A715">
        <v>1064</v>
      </c>
      <c r="B715">
        <v>690</v>
      </c>
      <c r="C715">
        <v>381</v>
      </c>
      <c r="D715">
        <v>33.21</v>
      </c>
      <c r="E715">
        <v>21530</v>
      </c>
      <c r="F715">
        <v>0</v>
      </c>
      <c r="G715">
        <v>21530000</v>
      </c>
      <c r="H715">
        <v>17</v>
      </c>
      <c r="I715">
        <v>1200</v>
      </c>
      <c r="J715" s="2">
        <f t="shared" si="30"/>
        <v>39852</v>
      </c>
      <c r="K715">
        <v>714</v>
      </c>
      <c r="L715" s="3">
        <f>SUM($I$2:$I715)</f>
        <v>5916350</v>
      </c>
      <c r="M715" s="3">
        <f>SUM($J$2:$J715)</f>
        <v>21307271</v>
      </c>
      <c r="N715" s="2">
        <f>SUM($D$2:$D715)</f>
        <v>3415.7600000000016</v>
      </c>
      <c r="O715" s="2">
        <f t="shared" si="31"/>
        <v>0.20355677285019788</v>
      </c>
      <c r="P715" s="2" cm="1">
        <f t="array" ref="P715">SUMPRODUCT((O715&gt;$T$9:$T$14)*(O715&lt;=$U$9:$U$14),$S$9:$S$14)</f>
        <v>3</v>
      </c>
    </row>
    <row r="716" spans="1:16" x14ac:dyDescent="0.25">
      <c r="A716">
        <v>417</v>
      </c>
      <c r="B716">
        <v>4</v>
      </c>
      <c r="C716">
        <v>1054</v>
      </c>
      <c r="D716">
        <v>10.43</v>
      </c>
      <c r="E716">
        <v>31040</v>
      </c>
      <c r="F716">
        <v>0</v>
      </c>
      <c r="G716">
        <v>31040000</v>
      </c>
      <c r="H716">
        <v>48</v>
      </c>
      <c r="I716">
        <v>1200</v>
      </c>
      <c r="J716" s="2">
        <f t="shared" si="30"/>
        <v>12516</v>
      </c>
      <c r="K716">
        <v>715</v>
      </c>
      <c r="L716" s="3">
        <f>SUM($I$2:$I716)</f>
        <v>5917550</v>
      </c>
      <c r="M716" s="3">
        <f>SUM($J$2:$J716)</f>
        <v>21319787</v>
      </c>
      <c r="N716" s="2">
        <f>SUM($D$2:$D716)</f>
        <v>3426.1900000000014</v>
      </c>
      <c r="O716" s="2">
        <f t="shared" si="31"/>
        <v>0.20417833207591268</v>
      </c>
      <c r="P716" s="2" cm="1">
        <f t="array" ref="P716">SUMPRODUCT((O716&gt;$T$9:$T$14)*(O716&lt;=$U$9:$U$14),$S$9:$S$14)</f>
        <v>3</v>
      </c>
    </row>
    <row r="717" spans="1:16" x14ac:dyDescent="0.25">
      <c r="A717">
        <v>507</v>
      </c>
      <c r="B717">
        <v>1294</v>
      </c>
      <c r="C717">
        <v>704</v>
      </c>
      <c r="D717">
        <v>10.33</v>
      </c>
      <c r="E717">
        <v>14070</v>
      </c>
      <c r="F717">
        <v>0</v>
      </c>
      <c r="G717">
        <v>14070000</v>
      </c>
      <c r="H717">
        <v>7</v>
      </c>
      <c r="I717">
        <v>1200</v>
      </c>
      <c r="J717" s="2">
        <f t="shared" si="30"/>
        <v>12396</v>
      </c>
      <c r="K717">
        <v>716</v>
      </c>
      <c r="L717" s="3">
        <f>SUM($I$2:$I717)</f>
        <v>5918750</v>
      </c>
      <c r="M717" s="3">
        <f>SUM($J$2:$J717)</f>
        <v>21332183</v>
      </c>
      <c r="N717" s="2">
        <f>SUM($D$2:$D717)</f>
        <v>3436.5200000000013</v>
      </c>
      <c r="O717" s="2">
        <f t="shared" si="31"/>
        <v>0.20479393196101658</v>
      </c>
      <c r="P717" s="2" cm="1">
        <f t="array" ref="P717">SUMPRODUCT((O717&gt;$T$9:$T$14)*(O717&lt;=$U$9:$U$14),$S$9:$S$14)</f>
        <v>3</v>
      </c>
    </row>
    <row r="718" spans="1:16" x14ac:dyDescent="0.25">
      <c r="A718">
        <v>724</v>
      </c>
      <c r="B718">
        <v>1511</v>
      </c>
      <c r="C718">
        <v>972</v>
      </c>
      <c r="D718">
        <v>10.119999999999999</v>
      </c>
      <c r="E718">
        <v>21290</v>
      </c>
      <c r="F718">
        <v>0</v>
      </c>
      <c r="G718">
        <v>21290000</v>
      </c>
      <c r="H718">
        <v>17</v>
      </c>
      <c r="I718">
        <v>1200</v>
      </c>
      <c r="J718" s="2">
        <f t="shared" si="30"/>
        <v>12143.999999999998</v>
      </c>
      <c r="K718">
        <v>717</v>
      </c>
      <c r="L718" s="3">
        <f>SUM($I$2:$I718)</f>
        <v>5919950</v>
      </c>
      <c r="M718" s="3">
        <f>SUM($J$2:$J718)</f>
        <v>21344327</v>
      </c>
      <c r="N718" s="2">
        <f>SUM($D$2:$D718)</f>
        <v>3446.6400000000012</v>
      </c>
      <c r="O718" s="2">
        <f t="shared" si="31"/>
        <v>0.20539701723083764</v>
      </c>
      <c r="P718" s="2" cm="1">
        <f t="array" ref="P718">SUMPRODUCT((O718&gt;$T$9:$T$14)*(O718&lt;=$U$9:$U$14),$S$9:$S$14)</f>
        <v>3</v>
      </c>
    </row>
    <row r="719" spans="1:16" x14ac:dyDescent="0.25">
      <c r="A719">
        <v>538</v>
      </c>
      <c r="B719">
        <v>1325</v>
      </c>
      <c r="C719">
        <v>743</v>
      </c>
      <c r="D719">
        <v>9.8699999999999992</v>
      </c>
      <c r="E719">
        <v>19380</v>
      </c>
      <c r="F719">
        <v>0</v>
      </c>
      <c r="G719">
        <v>19380000</v>
      </c>
      <c r="H719">
        <v>12</v>
      </c>
      <c r="I719">
        <v>1200</v>
      </c>
      <c r="J719" s="2">
        <f t="shared" si="30"/>
        <v>11843.999999999998</v>
      </c>
      <c r="K719">
        <v>718</v>
      </c>
      <c r="L719" s="3">
        <f>SUM($I$2:$I719)</f>
        <v>5921150</v>
      </c>
      <c r="M719" s="3">
        <f>SUM($J$2:$J719)</f>
        <v>21356171</v>
      </c>
      <c r="N719" s="2">
        <f>SUM($D$2:$D719)</f>
        <v>3456.5100000000011</v>
      </c>
      <c r="O719" s="2">
        <f t="shared" si="31"/>
        <v>0.20598520414913149</v>
      </c>
      <c r="P719" s="2" cm="1">
        <f t="array" ref="P719">SUMPRODUCT((O719&gt;$T$9:$T$14)*(O719&lt;=$U$9:$U$14),$S$9:$S$14)</f>
        <v>3</v>
      </c>
    </row>
    <row r="720" spans="1:16" x14ac:dyDescent="0.25">
      <c r="A720">
        <v>568</v>
      </c>
      <c r="B720">
        <v>1355</v>
      </c>
      <c r="C720">
        <v>778</v>
      </c>
      <c r="D720">
        <v>9.7100000000000009</v>
      </c>
      <c r="E720">
        <v>17480</v>
      </c>
      <c r="F720">
        <v>0</v>
      </c>
      <c r="G720">
        <v>17480000</v>
      </c>
      <c r="H720">
        <v>11</v>
      </c>
      <c r="I720">
        <v>1200</v>
      </c>
      <c r="J720" s="2">
        <f t="shared" si="30"/>
        <v>11652.000000000002</v>
      </c>
      <c r="K720">
        <v>719</v>
      </c>
      <c r="L720" s="3">
        <f>SUM($I$2:$I720)</f>
        <v>5922350</v>
      </c>
      <c r="M720" s="3">
        <f>SUM($J$2:$J720)</f>
        <v>21367823</v>
      </c>
      <c r="N720" s="2">
        <f>SUM($D$2:$D720)</f>
        <v>3466.2200000000012</v>
      </c>
      <c r="O720" s="2">
        <f t="shared" si="31"/>
        <v>0.20656385612244796</v>
      </c>
      <c r="P720" s="2" cm="1">
        <f t="array" ref="P720">SUMPRODUCT((O720&gt;$T$9:$T$14)*(O720&lt;=$U$9:$U$14),$S$9:$S$14)</f>
        <v>3</v>
      </c>
    </row>
    <row r="721" spans="1:16" x14ac:dyDescent="0.25">
      <c r="A721">
        <v>1044</v>
      </c>
      <c r="B721">
        <v>670</v>
      </c>
      <c r="C721">
        <v>354</v>
      </c>
      <c r="D721">
        <v>9.06</v>
      </c>
      <c r="E721">
        <v>17205</v>
      </c>
      <c r="F721">
        <v>0</v>
      </c>
      <c r="G721">
        <v>17205000</v>
      </c>
      <c r="H721">
        <v>11</v>
      </c>
      <c r="I721">
        <v>1200</v>
      </c>
      <c r="J721" s="2">
        <f t="shared" si="30"/>
        <v>10872</v>
      </c>
      <c r="K721">
        <v>720</v>
      </c>
      <c r="L721" s="3">
        <f>SUM($I$2:$I721)</f>
        <v>5923550</v>
      </c>
      <c r="M721" s="3">
        <f>SUM($J$2:$J721)</f>
        <v>21378695</v>
      </c>
      <c r="N721" s="2">
        <f>SUM($D$2:$D721)</f>
        <v>3475.2800000000011</v>
      </c>
      <c r="O721" s="2">
        <f t="shared" si="31"/>
        <v>0.2071037723817937</v>
      </c>
      <c r="P721" s="2" cm="1">
        <f t="array" ref="P721">SUMPRODUCT((O721&gt;$T$9:$T$14)*(O721&lt;=$U$9:$U$14),$S$9:$S$14)</f>
        <v>3</v>
      </c>
    </row>
    <row r="722" spans="1:16" x14ac:dyDescent="0.25">
      <c r="A722">
        <v>1078</v>
      </c>
      <c r="B722">
        <v>704</v>
      </c>
      <c r="C722">
        <v>400</v>
      </c>
      <c r="D722">
        <v>8.08</v>
      </c>
      <c r="E722">
        <v>22250</v>
      </c>
      <c r="F722">
        <v>0</v>
      </c>
      <c r="G722">
        <v>22250000</v>
      </c>
      <c r="H722" t="s">
        <v>7</v>
      </c>
      <c r="I722">
        <v>1200</v>
      </c>
      <c r="J722" s="2">
        <f t="shared" si="30"/>
        <v>9696</v>
      </c>
      <c r="K722">
        <v>721</v>
      </c>
      <c r="L722" s="3">
        <f>SUM($I$2:$I722)</f>
        <v>5924750</v>
      </c>
      <c r="M722" s="3">
        <f>SUM($J$2:$J722)</f>
        <v>21388391</v>
      </c>
      <c r="N722" s="2">
        <f>SUM($D$2:$D722)</f>
        <v>3483.360000000001</v>
      </c>
      <c r="O722" s="2">
        <f t="shared" si="31"/>
        <v>0.2075852871031528</v>
      </c>
      <c r="P722" s="2" cm="1">
        <f t="array" ref="P722">SUMPRODUCT((O722&gt;$T$9:$T$14)*(O722&lt;=$U$9:$U$14),$S$9:$S$14)</f>
        <v>3</v>
      </c>
    </row>
    <row r="723" spans="1:16" x14ac:dyDescent="0.25">
      <c r="A723">
        <v>812</v>
      </c>
      <c r="B723">
        <v>438</v>
      </c>
      <c r="C723">
        <v>47</v>
      </c>
      <c r="D723">
        <v>6.2</v>
      </c>
      <c r="E723">
        <v>12219</v>
      </c>
      <c r="F723">
        <v>0</v>
      </c>
      <c r="G723">
        <v>12219000</v>
      </c>
      <c r="H723">
        <v>3</v>
      </c>
      <c r="I723">
        <v>1200</v>
      </c>
      <c r="J723" s="2">
        <f t="shared" si="30"/>
        <v>7440</v>
      </c>
      <c r="K723">
        <v>722</v>
      </c>
      <c r="L723" s="3">
        <f>SUM($I$2:$I723)</f>
        <v>5925950</v>
      </c>
      <c r="M723" s="3">
        <f>SUM($J$2:$J723)</f>
        <v>21395831</v>
      </c>
      <c r="N723" s="2">
        <f>SUM($D$2:$D723)</f>
        <v>3489.5600000000009</v>
      </c>
      <c r="O723" s="2">
        <f t="shared" si="31"/>
        <v>0.20795476622102735</v>
      </c>
      <c r="P723" s="2" cm="1">
        <f t="array" ref="P723">SUMPRODUCT((O723&gt;$T$9:$T$14)*(O723&lt;=$U$9:$U$14),$S$9:$S$14)</f>
        <v>3</v>
      </c>
    </row>
    <row r="724" spans="1:16" x14ac:dyDescent="0.25">
      <c r="A724">
        <v>810</v>
      </c>
      <c r="B724">
        <v>436</v>
      </c>
      <c r="C724">
        <v>45</v>
      </c>
      <c r="D724">
        <v>5.09</v>
      </c>
      <c r="E724">
        <v>12240</v>
      </c>
      <c r="F724">
        <v>0</v>
      </c>
      <c r="G724">
        <v>12240000</v>
      </c>
      <c r="H724">
        <v>3</v>
      </c>
      <c r="I724">
        <v>1200</v>
      </c>
      <c r="J724" s="2">
        <f t="shared" si="30"/>
        <v>6108</v>
      </c>
      <c r="K724">
        <v>723</v>
      </c>
      <c r="L724" s="3">
        <f>SUM($I$2:$I724)</f>
        <v>5927150</v>
      </c>
      <c r="M724" s="3">
        <f>SUM($J$2:$J724)</f>
        <v>21401939</v>
      </c>
      <c r="N724" s="2">
        <f>SUM($D$2:$D724)</f>
        <v>3494.650000000001</v>
      </c>
      <c r="O724" s="2">
        <f t="shared" si="31"/>
        <v>0.20825809665812114</v>
      </c>
      <c r="P724" s="2" cm="1">
        <f t="array" ref="P724">SUMPRODUCT((O724&gt;$T$9:$T$14)*(O724&lt;=$U$9:$U$14),$S$9:$S$14)</f>
        <v>3</v>
      </c>
    </row>
    <row r="725" spans="1:16" x14ac:dyDescent="0.25">
      <c r="A725">
        <v>935</v>
      </c>
      <c r="B725">
        <v>561</v>
      </c>
      <c r="C725">
        <v>214</v>
      </c>
      <c r="D725">
        <v>4.0599999999999996</v>
      </c>
      <c r="E725">
        <v>25640</v>
      </c>
      <c r="F725">
        <v>0</v>
      </c>
      <c r="G725">
        <v>25640000</v>
      </c>
      <c r="H725">
        <v>26</v>
      </c>
      <c r="I725">
        <v>1200</v>
      </c>
      <c r="J725" s="2">
        <f t="shared" si="30"/>
        <v>4871.9999999999991</v>
      </c>
      <c r="K725">
        <v>724</v>
      </c>
      <c r="L725" s="3">
        <f>SUM($I$2:$I725)</f>
        <v>5928350</v>
      </c>
      <c r="M725" s="3">
        <f>SUM($J$2:$J725)</f>
        <v>21406811</v>
      </c>
      <c r="N725" s="2">
        <f>SUM($D$2:$D725)</f>
        <v>3498.7100000000009</v>
      </c>
      <c r="O725" s="2">
        <f t="shared" si="31"/>
        <v>0.20850004588692289</v>
      </c>
      <c r="P725" s="2" cm="1">
        <f t="array" ref="P725">SUMPRODUCT((O725&gt;$T$9:$T$14)*(O725&lt;=$U$9:$U$14),$S$9:$S$14)</f>
        <v>3</v>
      </c>
    </row>
    <row r="726" spans="1:16" x14ac:dyDescent="0.25">
      <c r="A726">
        <v>1073</v>
      </c>
      <c r="B726">
        <v>699</v>
      </c>
      <c r="C726">
        <v>392</v>
      </c>
      <c r="D726">
        <v>3.51</v>
      </c>
      <c r="E726">
        <v>17148</v>
      </c>
      <c r="F726">
        <v>0</v>
      </c>
      <c r="G726">
        <v>17148000</v>
      </c>
      <c r="H726">
        <v>11</v>
      </c>
      <c r="I726">
        <v>1200</v>
      </c>
      <c r="J726" s="2">
        <f t="shared" si="30"/>
        <v>4212</v>
      </c>
      <c r="K726">
        <v>725</v>
      </c>
      <c r="L726" s="3">
        <f>SUM($I$2:$I726)</f>
        <v>5929550</v>
      </c>
      <c r="M726" s="3">
        <f>SUM($J$2:$J726)</f>
        <v>21411023</v>
      </c>
      <c r="N726" s="2">
        <f>SUM($D$2:$D726)</f>
        <v>3502.2200000000012</v>
      </c>
      <c r="O726" s="2">
        <f t="shared" si="31"/>
        <v>0.20870921874236478</v>
      </c>
      <c r="P726" s="2" cm="1">
        <f t="array" ref="P726">SUMPRODUCT((O726&gt;$T$9:$T$14)*(O726&lt;=$U$9:$U$14),$S$9:$S$14)</f>
        <v>3</v>
      </c>
    </row>
    <row r="727" spans="1:16" x14ac:dyDescent="0.25">
      <c r="A727">
        <v>1051</v>
      </c>
      <c r="B727">
        <v>677</v>
      </c>
      <c r="C727">
        <v>365</v>
      </c>
      <c r="D727">
        <v>3.25</v>
      </c>
      <c r="E727">
        <v>14570</v>
      </c>
      <c r="F727">
        <v>1</v>
      </c>
      <c r="G727">
        <v>14570010</v>
      </c>
      <c r="H727">
        <v>7</v>
      </c>
      <c r="I727">
        <v>1200</v>
      </c>
      <c r="J727" s="2">
        <f t="shared" si="30"/>
        <v>3900</v>
      </c>
      <c r="K727">
        <v>726</v>
      </c>
      <c r="L727" s="3">
        <f>SUM($I$2:$I727)</f>
        <v>5930750</v>
      </c>
      <c r="M727" s="3">
        <f>SUM($J$2:$J727)</f>
        <v>21414923</v>
      </c>
      <c r="N727" s="2">
        <f>SUM($D$2:$D727)</f>
        <v>3505.4700000000012</v>
      </c>
      <c r="O727" s="2">
        <f t="shared" si="31"/>
        <v>0.20890289731221839</v>
      </c>
      <c r="P727" s="2" cm="1">
        <f t="array" ref="P727">SUMPRODUCT((O727&gt;$T$9:$T$14)*(O727&lt;=$U$9:$U$14),$S$9:$S$14)</f>
        <v>3</v>
      </c>
    </row>
    <row r="728" spans="1:16" x14ac:dyDescent="0.25">
      <c r="A728">
        <v>1154</v>
      </c>
      <c r="B728">
        <v>780</v>
      </c>
      <c r="C728">
        <v>498</v>
      </c>
      <c r="D728">
        <v>2.99</v>
      </c>
      <c r="E728">
        <v>21329</v>
      </c>
      <c r="F728">
        <v>14.3</v>
      </c>
      <c r="G728">
        <v>21329143</v>
      </c>
      <c r="H728">
        <v>17</v>
      </c>
      <c r="I728">
        <v>1200</v>
      </c>
      <c r="J728" s="2">
        <f t="shared" si="30"/>
        <v>3588.0000000000005</v>
      </c>
      <c r="K728">
        <v>727</v>
      </c>
      <c r="L728" s="3">
        <f>SUM($I$2:$I728)</f>
        <v>5931950</v>
      </c>
      <c r="M728" s="3">
        <f>SUM($J$2:$J728)</f>
        <v>21418511</v>
      </c>
      <c r="N728" s="2">
        <f>SUM($D$2:$D728)</f>
        <v>3508.4600000000009</v>
      </c>
      <c r="O728" s="2">
        <f t="shared" si="31"/>
        <v>0.2090810815964837</v>
      </c>
      <c r="P728" s="2" cm="1">
        <f t="array" ref="P728">SUMPRODUCT((O728&gt;$T$9:$T$14)*(O728&lt;=$U$9:$U$14),$S$9:$S$14)</f>
        <v>3</v>
      </c>
    </row>
    <row r="729" spans="1:16" x14ac:dyDescent="0.25">
      <c r="A729">
        <v>689</v>
      </c>
      <c r="B729">
        <v>1476</v>
      </c>
      <c r="C729">
        <v>928</v>
      </c>
      <c r="D729">
        <v>2.2000000000000002</v>
      </c>
      <c r="E729">
        <v>20870</v>
      </c>
      <c r="F729">
        <v>0</v>
      </c>
      <c r="G729">
        <v>20870000</v>
      </c>
      <c r="H729">
        <v>17</v>
      </c>
      <c r="I729">
        <v>1200</v>
      </c>
      <c r="J729" s="2">
        <f t="shared" si="30"/>
        <v>2640</v>
      </c>
      <c r="K729">
        <v>728</v>
      </c>
      <c r="L729" s="3">
        <f>SUM($I$2:$I729)</f>
        <v>5933150</v>
      </c>
      <c r="M729" s="3">
        <f>SUM($J$2:$J729)</f>
        <v>21421151</v>
      </c>
      <c r="N729" s="2">
        <f>SUM($D$2:$D729)</f>
        <v>3510.6600000000008</v>
      </c>
      <c r="O729" s="2">
        <f t="shared" si="31"/>
        <v>0.20921218708992304</v>
      </c>
      <c r="P729" s="2" cm="1">
        <f t="array" ref="P729">SUMPRODUCT((O729&gt;$T$9:$T$14)*(O729&lt;=$U$9:$U$14),$S$9:$S$14)</f>
        <v>3</v>
      </c>
    </row>
    <row r="730" spans="1:16" x14ac:dyDescent="0.25">
      <c r="A730">
        <v>673</v>
      </c>
      <c r="B730">
        <v>1460</v>
      </c>
      <c r="C730">
        <v>908</v>
      </c>
      <c r="D730">
        <v>1.58</v>
      </c>
      <c r="E730">
        <v>25640</v>
      </c>
      <c r="F730">
        <v>4.0999999999999996</v>
      </c>
      <c r="G730">
        <v>25640041</v>
      </c>
      <c r="H730">
        <v>26</v>
      </c>
      <c r="I730">
        <v>1200</v>
      </c>
      <c r="J730" s="2">
        <f t="shared" si="30"/>
        <v>1896</v>
      </c>
      <c r="K730">
        <v>729</v>
      </c>
      <c r="L730" s="3">
        <f>SUM($I$2:$I730)</f>
        <v>5934350</v>
      </c>
      <c r="M730" s="3">
        <f>SUM($J$2:$J730)</f>
        <v>21423047</v>
      </c>
      <c r="N730" s="2">
        <f>SUM($D$2:$D730)</f>
        <v>3512.2400000000007</v>
      </c>
      <c r="O730" s="2">
        <f t="shared" si="31"/>
        <v>0.20930634467157494</v>
      </c>
      <c r="P730" s="2" cm="1">
        <f t="array" ref="P730">SUMPRODUCT((O730&gt;$T$9:$T$14)*(O730&lt;=$U$9:$U$14),$S$9:$S$14)</f>
        <v>3</v>
      </c>
    </row>
    <row r="731" spans="1:16" x14ac:dyDescent="0.25">
      <c r="A731">
        <v>1822</v>
      </c>
      <c r="B731">
        <v>1822</v>
      </c>
      <c r="C731">
        <v>0</v>
      </c>
      <c r="D731">
        <v>1.05</v>
      </c>
      <c r="E731">
        <v>12260</v>
      </c>
      <c r="F731">
        <v>0</v>
      </c>
      <c r="G731">
        <v>12260000</v>
      </c>
      <c r="H731">
        <v>3</v>
      </c>
      <c r="I731">
        <v>1200</v>
      </c>
      <c r="J731" s="2">
        <f t="shared" si="30"/>
        <v>1260</v>
      </c>
      <c r="K731">
        <v>730</v>
      </c>
      <c r="L731" s="3">
        <f>SUM($I$2:$I731)</f>
        <v>5935550</v>
      </c>
      <c r="M731" s="3">
        <f>SUM($J$2:$J731)</f>
        <v>21424307</v>
      </c>
      <c r="N731" s="2">
        <f>SUM($D$2:$D731)</f>
        <v>3513.2900000000009</v>
      </c>
      <c r="O731" s="2">
        <f t="shared" si="31"/>
        <v>0.20936891774798919</v>
      </c>
      <c r="P731" s="2" cm="1">
        <f t="array" ref="P731">SUMPRODUCT((O731&gt;$T$9:$T$14)*(O731&lt;=$U$9:$U$14),$S$9:$S$14)</f>
        <v>3</v>
      </c>
    </row>
    <row r="732" spans="1:16" x14ac:dyDescent="0.25">
      <c r="A732">
        <v>443</v>
      </c>
      <c r="B732">
        <v>1230</v>
      </c>
      <c r="C732">
        <v>615</v>
      </c>
      <c r="D732">
        <v>0.9</v>
      </c>
      <c r="E732">
        <v>21270</v>
      </c>
      <c r="F732">
        <v>10.4</v>
      </c>
      <c r="G732">
        <v>21270104</v>
      </c>
      <c r="H732">
        <v>17</v>
      </c>
      <c r="I732">
        <v>1200</v>
      </c>
      <c r="J732" s="2">
        <f t="shared" si="30"/>
        <v>1080</v>
      </c>
      <c r="K732">
        <v>731</v>
      </c>
      <c r="L732" s="3">
        <f>SUM($I$2:$I732)</f>
        <v>5936750</v>
      </c>
      <c r="M732" s="3">
        <f>SUM($J$2:$J732)</f>
        <v>21425387</v>
      </c>
      <c r="N732" s="2">
        <f>SUM($D$2:$D732)</f>
        <v>3514.190000000001</v>
      </c>
      <c r="O732" s="2">
        <f t="shared" si="31"/>
        <v>0.20942255181348712</v>
      </c>
      <c r="P732" s="2" cm="1">
        <f t="array" ref="P732">SUMPRODUCT((O732&gt;$T$9:$T$14)*(O732&lt;=$U$9:$U$14),$S$9:$S$14)</f>
        <v>3</v>
      </c>
    </row>
    <row r="733" spans="1:16" x14ac:dyDescent="0.25">
      <c r="A733">
        <v>1160</v>
      </c>
      <c r="B733">
        <v>786</v>
      </c>
      <c r="C733">
        <v>505</v>
      </c>
      <c r="D733">
        <v>0.71</v>
      </c>
      <c r="E733">
        <v>14080</v>
      </c>
      <c r="F733">
        <v>0</v>
      </c>
      <c r="G733">
        <v>14080000</v>
      </c>
      <c r="H733">
        <v>7</v>
      </c>
      <c r="I733">
        <v>1200</v>
      </c>
      <c r="J733" s="2">
        <f t="shared" si="30"/>
        <v>852</v>
      </c>
      <c r="K733">
        <v>732</v>
      </c>
      <c r="L733" s="3">
        <f>SUM($I$2:$I733)</f>
        <v>5937950</v>
      </c>
      <c r="M733" s="3">
        <f>SUM($J$2:$J733)</f>
        <v>21426239</v>
      </c>
      <c r="N733" s="2">
        <f>SUM($D$2:$D733)</f>
        <v>3514.900000000001</v>
      </c>
      <c r="O733" s="2">
        <f t="shared" si="31"/>
        <v>0.20946486313182439</v>
      </c>
      <c r="P733" s="2" cm="1">
        <f t="array" ref="P733">SUMPRODUCT((O733&gt;$T$9:$T$14)*(O733&lt;=$U$9:$U$14),$S$9:$S$14)</f>
        <v>3</v>
      </c>
    </row>
    <row r="734" spans="1:16" x14ac:dyDescent="0.25">
      <c r="A734">
        <v>832</v>
      </c>
      <c r="B734">
        <v>458</v>
      </c>
      <c r="C734">
        <v>69</v>
      </c>
      <c r="D734">
        <v>0.3</v>
      </c>
      <c r="E734">
        <v>17480</v>
      </c>
      <c r="F734">
        <v>0</v>
      </c>
      <c r="G734">
        <v>17480000</v>
      </c>
      <c r="H734">
        <v>11</v>
      </c>
      <c r="I734">
        <v>1200</v>
      </c>
      <c r="J734" s="2">
        <f t="shared" si="30"/>
        <v>360</v>
      </c>
      <c r="K734">
        <v>733</v>
      </c>
      <c r="L734" s="3">
        <f>SUM($I$2:$I734)</f>
        <v>5939150</v>
      </c>
      <c r="M734" s="3">
        <f>SUM($J$2:$J734)</f>
        <v>21426599</v>
      </c>
      <c r="N734" s="2">
        <f>SUM($D$2:$D734)</f>
        <v>3515.2000000000012</v>
      </c>
      <c r="O734" s="2">
        <f t="shared" si="31"/>
        <v>0.20948274115365703</v>
      </c>
      <c r="P734" s="2" cm="1">
        <f t="array" ref="P734">SUMPRODUCT((O734&gt;$T$9:$T$14)*(O734&lt;=$U$9:$U$14),$S$9:$S$14)</f>
        <v>3</v>
      </c>
    </row>
    <row r="735" spans="1:16" x14ac:dyDescent="0.25">
      <c r="A735">
        <v>1841</v>
      </c>
      <c r="B735">
        <v>1841</v>
      </c>
      <c r="C735">
        <v>0</v>
      </c>
      <c r="D735">
        <v>0.28000000000000003</v>
      </c>
      <c r="E735">
        <v>13175</v>
      </c>
      <c r="F735">
        <v>0</v>
      </c>
      <c r="G735">
        <v>13175000</v>
      </c>
      <c r="H735">
        <v>5</v>
      </c>
      <c r="I735">
        <v>1200</v>
      </c>
      <c r="J735" s="2">
        <f t="shared" si="30"/>
        <v>336.00000000000006</v>
      </c>
      <c r="K735">
        <v>734</v>
      </c>
      <c r="L735" s="3">
        <f>SUM($I$2:$I735)</f>
        <v>5940350</v>
      </c>
      <c r="M735" s="3">
        <f>SUM($J$2:$J735)</f>
        <v>21426935</v>
      </c>
      <c r="N735" s="2">
        <f>SUM($D$2:$D735)</f>
        <v>3515.4800000000014</v>
      </c>
      <c r="O735" s="2">
        <f t="shared" si="31"/>
        <v>0.20949942730736751</v>
      </c>
      <c r="P735" s="2" cm="1">
        <f t="array" ref="P735">SUMPRODUCT((O735&gt;$T$9:$T$14)*(O735&lt;=$U$9:$U$14),$S$9:$S$14)</f>
        <v>3</v>
      </c>
    </row>
    <row r="736" spans="1:16" x14ac:dyDescent="0.25">
      <c r="A736">
        <v>554</v>
      </c>
      <c r="B736">
        <v>1341</v>
      </c>
      <c r="C736">
        <v>760</v>
      </c>
      <c r="D736">
        <v>15.52</v>
      </c>
      <c r="E736">
        <v>21300</v>
      </c>
      <c r="F736">
        <v>0</v>
      </c>
      <c r="G736">
        <v>21300000</v>
      </c>
      <c r="H736">
        <v>17</v>
      </c>
      <c r="I736">
        <v>1150</v>
      </c>
      <c r="J736" s="2">
        <f t="shared" si="30"/>
        <v>17848</v>
      </c>
      <c r="K736">
        <v>735</v>
      </c>
      <c r="L736" s="3">
        <f>SUM($I$2:$I736)</f>
        <v>5941500</v>
      </c>
      <c r="M736" s="3">
        <f>SUM($J$2:$J736)</f>
        <v>21444783</v>
      </c>
      <c r="N736" s="2">
        <f>SUM($D$2:$D736)</f>
        <v>3531.0000000000014</v>
      </c>
      <c r="O736" s="2">
        <f t="shared" si="31"/>
        <v>0.21042431697017608</v>
      </c>
      <c r="P736" s="2" cm="1">
        <f t="array" ref="P736">SUMPRODUCT((O736&gt;$T$9:$T$14)*(O736&lt;=$U$9:$U$14),$S$9:$S$14)</f>
        <v>3</v>
      </c>
    </row>
    <row r="737" spans="1:16" x14ac:dyDescent="0.25">
      <c r="A737">
        <v>617</v>
      </c>
      <c r="B737">
        <v>1404</v>
      </c>
      <c r="C737">
        <v>842</v>
      </c>
      <c r="D737">
        <v>14.54</v>
      </c>
      <c r="E737">
        <v>21170</v>
      </c>
      <c r="F737">
        <v>0</v>
      </c>
      <c r="G737">
        <v>21170000</v>
      </c>
      <c r="H737">
        <v>17</v>
      </c>
      <c r="I737">
        <v>1150</v>
      </c>
      <c r="J737" s="2">
        <f t="shared" si="30"/>
        <v>16721</v>
      </c>
      <c r="K737">
        <v>736</v>
      </c>
      <c r="L737" s="3">
        <f>SUM($I$2:$I737)</f>
        <v>5942650</v>
      </c>
      <c r="M737" s="3">
        <f>SUM($J$2:$J737)</f>
        <v>21461504</v>
      </c>
      <c r="N737" s="2">
        <f>SUM($D$2:$D737)</f>
        <v>3545.5400000000013</v>
      </c>
      <c r="O737" s="2">
        <f t="shared" si="31"/>
        <v>0.21129080509499806</v>
      </c>
      <c r="P737" s="2" cm="1">
        <f t="array" ref="P737">SUMPRODUCT((O737&gt;$T$9:$T$14)*(O737&lt;=$U$9:$U$14),$S$9:$S$14)</f>
        <v>3</v>
      </c>
    </row>
    <row r="738" spans="1:16" x14ac:dyDescent="0.25">
      <c r="A738">
        <v>830</v>
      </c>
      <c r="B738">
        <v>456</v>
      </c>
      <c r="C738">
        <v>66</v>
      </c>
      <c r="D738">
        <v>10.79</v>
      </c>
      <c r="E738">
        <v>17585</v>
      </c>
      <c r="F738">
        <v>0</v>
      </c>
      <c r="G738">
        <v>17585000</v>
      </c>
      <c r="H738">
        <v>11</v>
      </c>
      <c r="I738">
        <v>1150</v>
      </c>
      <c r="J738" s="2">
        <f t="shared" si="30"/>
        <v>12408.499999999998</v>
      </c>
      <c r="K738">
        <v>737</v>
      </c>
      <c r="L738" s="3">
        <f>SUM($I$2:$I738)</f>
        <v>5943800</v>
      </c>
      <c r="M738" s="3">
        <f>SUM($J$2:$J738)</f>
        <v>21473912.5</v>
      </c>
      <c r="N738" s="2">
        <f>SUM($D$2:$D738)</f>
        <v>3556.3300000000013</v>
      </c>
      <c r="O738" s="2">
        <f t="shared" si="31"/>
        <v>0.21193381794691202</v>
      </c>
      <c r="P738" s="2" cm="1">
        <f t="array" ref="P738">SUMPRODUCT((O738&gt;$T$9:$T$14)*(O738&lt;=$U$9:$U$14),$S$9:$S$14)</f>
        <v>3</v>
      </c>
    </row>
    <row r="739" spans="1:16" x14ac:dyDescent="0.25">
      <c r="A739">
        <v>1255</v>
      </c>
      <c r="B739">
        <v>87</v>
      </c>
      <c r="C739">
        <v>1153</v>
      </c>
      <c r="D739">
        <v>10.07</v>
      </c>
      <c r="E739">
        <v>38610</v>
      </c>
      <c r="F739">
        <v>0.6</v>
      </c>
      <c r="G739">
        <v>38610006</v>
      </c>
      <c r="H739">
        <v>89</v>
      </c>
      <c r="I739">
        <v>1150</v>
      </c>
      <c r="J739" s="2">
        <f t="shared" si="30"/>
        <v>11580.5</v>
      </c>
      <c r="K739">
        <v>738</v>
      </c>
      <c r="L739" s="3">
        <f>SUM($I$2:$I739)</f>
        <v>5944950</v>
      </c>
      <c r="M739" s="3">
        <f>SUM($J$2:$J739)</f>
        <v>21485493</v>
      </c>
      <c r="N739" s="2">
        <f>SUM($D$2:$D739)</f>
        <v>3566.4000000000015</v>
      </c>
      <c r="O739" s="2">
        <f t="shared" si="31"/>
        <v>0.21253392354642764</v>
      </c>
      <c r="P739" s="2" cm="1">
        <f t="array" ref="P739">SUMPRODUCT((O739&gt;$T$9:$T$14)*(O739&lt;=$U$9:$U$14),$S$9:$S$14)</f>
        <v>3</v>
      </c>
    </row>
    <row r="740" spans="1:16" x14ac:dyDescent="0.25">
      <c r="A740">
        <v>844</v>
      </c>
      <c r="B740">
        <v>470</v>
      </c>
      <c r="C740">
        <v>85</v>
      </c>
      <c r="D740">
        <v>8.18</v>
      </c>
      <c r="E740">
        <v>14620</v>
      </c>
      <c r="F740">
        <v>5.5</v>
      </c>
      <c r="G740">
        <v>14620055</v>
      </c>
      <c r="H740">
        <v>7</v>
      </c>
      <c r="I740">
        <v>1150</v>
      </c>
      <c r="J740" s="2">
        <f t="shared" si="30"/>
        <v>9407</v>
      </c>
      <c r="K740">
        <v>739</v>
      </c>
      <c r="L740" s="3">
        <f>SUM($I$2:$I740)</f>
        <v>5946100</v>
      </c>
      <c r="M740" s="3">
        <f>SUM($J$2:$J740)</f>
        <v>21494900</v>
      </c>
      <c r="N740" s="2">
        <f>SUM($D$2:$D740)</f>
        <v>3574.5800000000013</v>
      </c>
      <c r="O740" s="2">
        <f t="shared" si="31"/>
        <v>0.21302139760839764</v>
      </c>
      <c r="P740" s="2" cm="1">
        <f t="array" ref="P740">SUMPRODUCT((O740&gt;$T$9:$T$14)*(O740&lt;=$U$9:$U$14),$S$9:$S$14)</f>
        <v>3</v>
      </c>
    </row>
    <row r="741" spans="1:16" x14ac:dyDescent="0.25">
      <c r="A741">
        <v>1115</v>
      </c>
      <c r="B741">
        <v>741</v>
      </c>
      <c r="C741">
        <v>455</v>
      </c>
      <c r="D741">
        <v>8.11</v>
      </c>
      <c r="E741">
        <v>16120</v>
      </c>
      <c r="F741">
        <v>0</v>
      </c>
      <c r="G741">
        <v>16120000</v>
      </c>
      <c r="H741">
        <v>9</v>
      </c>
      <c r="I741">
        <v>1150</v>
      </c>
      <c r="J741" s="2">
        <f t="shared" si="30"/>
        <v>9326.5</v>
      </c>
      <c r="K741">
        <v>740</v>
      </c>
      <c r="L741" s="3">
        <f>SUM($I$2:$I741)</f>
        <v>5947250</v>
      </c>
      <c r="M741" s="3">
        <f>SUM($J$2:$J741)</f>
        <v>21504226.5</v>
      </c>
      <c r="N741" s="2">
        <f>SUM($D$2:$D741)</f>
        <v>3582.6900000000014</v>
      </c>
      <c r="O741" s="2">
        <f t="shared" si="31"/>
        <v>0.21350470013194001</v>
      </c>
      <c r="P741" s="2" cm="1">
        <f t="array" ref="P741">SUMPRODUCT((O741&gt;$T$9:$T$14)*(O741&lt;=$U$9:$U$14),$S$9:$S$14)</f>
        <v>3</v>
      </c>
    </row>
    <row r="742" spans="1:16" x14ac:dyDescent="0.25">
      <c r="A742">
        <v>694</v>
      </c>
      <c r="B742">
        <v>1481</v>
      </c>
      <c r="C742">
        <v>933</v>
      </c>
      <c r="D742">
        <v>7.36</v>
      </c>
      <c r="E742">
        <v>14260</v>
      </c>
      <c r="F742">
        <v>0</v>
      </c>
      <c r="G742">
        <v>14260000</v>
      </c>
      <c r="H742">
        <v>7</v>
      </c>
      <c r="I742">
        <v>1150</v>
      </c>
      <c r="J742" s="2">
        <f t="shared" si="30"/>
        <v>8464</v>
      </c>
      <c r="K742">
        <v>741</v>
      </c>
      <c r="L742" s="3">
        <f>SUM($I$2:$I742)</f>
        <v>5948400</v>
      </c>
      <c r="M742" s="3">
        <f>SUM($J$2:$J742)</f>
        <v>21512690.5</v>
      </c>
      <c r="N742" s="2">
        <f>SUM($D$2:$D742)</f>
        <v>3590.0500000000015</v>
      </c>
      <c r="O742" s="2">
        <f t="shared" si="31"/>
        <v>0.2139433076009008</v>
      </c>
      <c r="P742" s="2" cm="1">
        <f t="array" ref="P742">SUMPRODUCT((O742&gt;$T$9:$T$14)*(O742&lt;=$U$9:$U$14),$S$9:$S$14)</f>
        <v>3</v>
      </c>
    </row>
    <row r="743" spans="1:16" x14ac:dyDescent="0.25">
      <c r="A743">
        <v>505</v>
      </c>
      <c r="B743">
        <v>1292</v>
      </c>
      <c r="C743">
        <v>701</v>
      </c>
      <c r="D743">
        <v>6.68</v>
      </c>
      <c r="E743">
        <v>17310</v>
      </c>
      <c r="F743">
        <v>0</v>
      </c>
      <c r="G743">
        <v>17310000</v>
      </c>
      <c r="H743">
        <v>11</v>
      </c>
      <c r="I743">
        <v>1150</v>
      </c>
      <c r="J743" s="2">
        <f t="shared" si="30"/>
        <v>7682</v>
      </c>
      <c r="K743">
        <v>742</v>
      </c>
      <c r="L743" s="3">
        <f>SUM($I$2:$I743)</f>
        <v>5949550</v>
      </c>
      <c r="M743" s="3">
        <f>SUM($J$2:$J743)</f>
        <v>21520372.5</v>
      </c>
      <c r="N743" s="2">
        <f>SUM($D$2:$D743)</f>
        <v>3596.7300000000014</v>
      </c>
      <c r="O743" s="2">
        <f t="shared" si="31"/>
        <v>0.21434139155370757</v>
      </c>
      <c r="P743" s="2" cm="1">
        <f t="array" ref="P743">SUMPRODUCT((O743&gt;$T$9:$T$14)*(O743&lt;=$U$9:$U$14),$S$9:$S$14)</f>
        <v>3</v>
      </c>
    </row>
    <row r="744" spans="1:16" x14ac:dyDescent="0.25">
      <c r="A744">
        <v>734</v>
      </c>
      <c r="B744">
        <v>1521</v>
      </c>
      <c r="C744">
        <v>984</v>
      </c>
      <c r="D744">
        <v>6.52</v>
      </c>
      <c r="E744">
        <v>33550</v>
      </c>
      <c r="F744">
        <v>0</v>
      </c>
      <c r="G744">
        <v>33550000</v>
      </c>
      <c r="H744">
        <v>61</v>
      </c>
      <c r="I744">
        <v>1150</v>
      </c>
      <c r="J744" s="2">
        <f t="shared" si="30"/>
        <v>7497.9999999999991</v>
      </c>
      <c r="K744">
        <v>743</v>
      </c>
      <c r="L744" s="3">
        <f>SUM($I$2:$I744)</f>
        <v>5950700</v>
      </c>
      <c r="M744" s="3">
        <f>SUM($J$2:$J744)</f>
        <v>21527870.5</v>
      </c>
      <c r="N744" s="2">
        <f>SUM($D$2:$D744)</f>
        <v>3603.2500000000014</v>
      </c>
      <c r="O744" s="2">
        <f t="shared" si="31"/>
        <v>0.21472994056153696</v>
      </c>
      <c r="P744" s="2" cm="1">
        <f t="array" ref="P744">SUMPRODUCT((O744&gt;$T$9:$T$14)*(O744&lt;=$U$9:$U$14),$S$9:$S$14)</f>
        <v>3</v>
      </c>
    </row>
    <row r="745" spans="1:16" x14ac:dyDescent="0.25">
      <c r="A745">
        <v>984</v>
      </c>
      <c r="B745">
        <v>610</v>
      </c>
      <c r="C745">
        <v>278</v>
      </c>
      <c r="D745">
        <v>4.25</v>
      </c>
      <c r="E745">
        <v>20761</v>
      </c>
      <c r="F745">
        <v>0</v>
      </c>
      <c r="G745">
        <v>20761000</v>
      </c>
      <c r="H745">
        <v>17</v>
      </c>
      <c r="I745">
        <v>1150</v>
      </c>
      <c r="J745" s="2">
        <f t="shared" si="30"/>
        <v>4887.5</v>
      </c>
      <c r="K745">
        <v>744</v>
      </c>
      <c r="L745" s="3">
        <f>SUM($I$2:$I745)</f>
        <v>5951850</v>
      </c>
      <c r="M745" s="3">
        <f>SUM($J$2:$J745)</f>
        <v>21532758</v>
      </c>
      <c r="N745" s="2">
        <f>SUM($D$2:$D745)</f>
        <v>3607.5000000000014</v>
      </c>
      <c r="O745" s="2">
        <f t="shared" si="31"/>
        <v>0.21498321253749936</v>
      </c>
      <c r="P745" s="2" cm="1">
        <f t="array" ref="P745">SUMPRODUCT((O745&gt;$T$9:$T$14)*(O745&lt;=$U$9:$U$14),$S$9:$S$14)</f>
        <v>3</v>
      </c>
    </row>
    <row r="746" spans="1:16" x14ac:dyDescent="0.25">
      <c r="A746">
        <v>414</v>
      </c>
      <c r="B746">
        <v>407</v>
      </c>
      <c r="C746">
        <v>1555</v>
      </c>
      <c r="D746">
        <v>2.42</v>
      </c>
      <c r="E746">
        <v>48715</v>
      </c>
      <c r="F746">
        <v>0</v>
      </c>
      <c r="G746">
        <v>48715000</v>
      </c>
      <c r="H746">
        <v>406</v>
      </c>
      <c r="I746">
        <v>1150</v>
      </c>
      <c r="J746" s="2">
        <f t="shared" si="30"/>
        <v>2783</v>
      </c>
      <c r="K746">
        <v>745</v>
      </c>
      <c r="L746" s="3">
        <f>SUM($I$2:$I746)</f>
        <v>5953000</v>
      </c>
      <c r="M746" s="3">
        <f>SUM($J$2:$J746)</f>
        <v>21535541</v>
      </c>
      <c r="N746" s="2">
        <f>SUM($D$2:$D746)</f>
        <v>3609.9200000000014</v>
      </c>
      <c r="O746" s="2">
        <f t="shared" si="31"/>
        <v>0.21512742858028266</v>
      </c>
      <c r="P746" s="2" cm="1">
        <f t="array" ref="P746">SUMPRODUCT((O746&gt;$T$9:$T$14)*(O746&lt;=$U$9:$U$14),$S$9:$S$14)</f>
        <v>3</v>
      </c>
    </row>
    <row r="747" spans="1:16" x14ac:dyDescent="0.25">
      <c r="A747">
        <v>765</v>
      </c>
      <c r="B747">
        <v>1552</v>
      </c>
      <c r="C747">
        <v>1021</v>
      </c>
      <c r="D747">
        <v>1.49</v>
      </c>
      <c r="E747">
        <v>32755</v>
      </c>
      <c r="F747">
        <v>0</v>
      </c>
      <c r="G747">
        <v>32755000</v>
      </c>
      <c r="H747">
        <v>58</v>
      </c>
      <c r="I747">
        <v>1150</v>
      </c>
      <c r="J747" s="2">
        <f t="shared" si="30"/>
        <v>1713.5</v>
      </c>
      <c r="K747">
        <v>746</v>
      </c>
      <c r="L747" s="3">
        <f>SUM($I$2:$I747)</f>
        <v>5954150</v>
      </c>
      <c r="M747" s="3">
        <f>SUM($J$2:$J747)</f>
        <v>21537254.5</v>
      </c>
      <c r="N747" s="2">
        <f>SUM($D$2:$D747)</f>
        <v>3611.4100000000012</v>
      </c>
      <c r="O747" s="2">
        <f t="shared" si="31"/>
        <v>0.21521622275538477</v>
      </c>
      <c r="P747" s="2" cm="1">
        <f t="array" ref="P747">SUMPRODUCT((O747&gt;$T$9:$T$14)*(O747&lt;=$U$9:$U$14),$S$9:$S$14)</f>
        <v>3</v>
      </c>
    </row>
    <row r="748" spans="1:16" x14ac:dyDescent="0.25">
      <c r="A748">
        <v>1823</v>
      </c>
      <c r="B748">
        <v>1823</v>
      </c>
      <c r="C748">
        <v>0</v>
      </c>
      <c r="D748">
        <v>0.76</v>
      </c>
      <c r="E748">
        <v>12260</v>
      </c>
      <c r="F748">
        <v>1.3</v>
      </c>
      <c r="G748">
        <v>12260013</v>
      </c>
      <c r="H748">
        <v>3</v>
      </c>
      <c r="I748">
        <v>1150</v>
      </c>
      <c r="J748" s="2">
        <f t="shared" si="30"/>
        <v>874</v>
      </c>
      <c r="K748">
        <v>747</v>
      </c>
      <c r="L748" s="3">
        <f>SUM($I$2:$I748)</f>
        <v>5955300</v>
      </c>
      <c r="M748" s="3">
        <f>SUM($J$2:$J748)</f>
        <v>21538128.5</v>
      </c>
      <c r="N748" s="2">
        <f>SUM($D$2:$D748)</f>
        <v>3612.1700000000014</v>
      </c>
      <c r="O748" s="2">
        <f t="shared" si="31"/>
        <v>0.21526151374402747</v>
      </c>
      <c r="P748" s="2" cm="1">
        <f t="array" ref="P748">SUMPRODUCT((O748&gt;$T$9:$T$14)*(O748&lt;=$U$9:$U$14),$S$9:$S$14)</f>
        <v>3</v>
      </c>
    </row>
    <row r="749" spans="1:16" x14ac:dyDescent="0.25">
      <c r="A749">
        <v>1022</v>
      </c>
      <c r="B749">
        <v>648</v>
      </c>
      <c r="C749">
        <v>326</v>
      </c>
      <c r="D749">
        <v>0.21</v>
      </c>
      <c r="E749">
        <v>27650</v>
      </c>
      <c r="F749">
        <v>0</v>
      </c>
      <c r="G749">
        <v>27650000</v>
      </c>
      <c r="H749">
        <v>34</v>
      </c>
      <c r="I749">
        <v>1150</v>
      </c>
      <c r="J749" s="2">
        <f t="shared" si="30"/>
        <v>241.5</v>
      </c>
      <c r="K749">
        <v>748</v>
      </c>
      <c r="L749" s="3">
        <f>SUM($I$2:$I749)</f>
        <v>5956450</v>
      </c>
      <c r="M749" s="3">
        <f>SUM($J$2:$J749)</f>
        <v>21538370</v>
      </c>
      <c r="N749" s="2">
        <f>SUM($D$2:$D749)</f>
        <v>3612.3800000000015</v>
      </c>
      <c r="O749" s="2">
        <f t="shared" si="31"/>
        <v>0.21527402835931031</v>
      </c>
      <c r="P749" s="2" cm="1">
        <f t="array" ref="P749">SUMPRODUCT((O749&gt;$T$9:$T$14)*(O749&lt;=$U$9:$U$14),$S$9:$S$14)</f>
        <v>3</v>
      </c>
    </row>
    <row r="750" spans="1:16" x14ac:dyDescent="0.25">
      <c r="A750">
        <v>517</v>
      </c>
      <c r="B750">
        <v>1304</v>
      </c>
      <c r="C750">
        <v>717</v>
      </c>
      <c r="D750">
        <v>32.29</v>
      </c>
      <c r="E750">
        <v>21910</v>
      </c>
      <c r="F750">
        <v>0.8</v>
      </c>
      <c r="G750">
        <v>21910008</v>
      </c>
      <c r="H750">
        <v>17</v>
      </c>
      <c r="I750">
        <v>1100</v>
      </c>
      <c r="J750" s="2">
        <f t="shared" si="30"/>
        <v>35519</v>
      </c>
      <c r="K750">
        <v>749</v>
      </c>
      <c r="L750" s="3">
        <f>SUM($I$2:$I750)</f>
        <v>5957550</v>
      </c>
      <c r="M750" s="3">
        <f>SUM($J$2:$J750)</f>
        <v>21573889</v>
      </c>
      <c r="N750" s="2">
        <f>SUM($D$2:$D750)</f>
        <v>3644.6700000000014</v>
      </c>
      <c r="O750" s="2">
        <f t="shared" si="31"/>
        <v>0.2171982994425635</v>
      </c>
      <c r="P750" s="2" cm="1">
        <f t="array" ref="P750">SUMPRODUCT((O750&gt;$T$9:$T$14)*(O750&lt;=$U$9:$U$14),$S$9:$S$14)</f>
        <v>3</v>
      </c>
    </row>
    <row r="751" spans="1:16" x14ac:dyDescent="0.25">
      <c r="A751">
        <v>700</v>
      </c>
      <c r="B751">
        <v>1487</v>
      </c>
      <c r="C751">
        <v>939</v>
      </c>
      <c r="D751">
        <v>21.58</v>
      </c>
      <c r="E751">
        <v>17520</v>
      </c>
      <c r="F751">
        <v>17.899999999999999</v>
      </c>
      <c r="G751">
        <v>17520179</v>
      </c>
      <c r="H751">
        <v>11</v>
      </c>
      <c r="I751">
        <v>1100</v>
      </c>
      <c r="J751" s="2">
        <f t="shared" si="30"/>
        <v>23737.999999999996</v>
      </c>
      <c r="K751">
        <v>750</v>
      </c>
      <c r="L751" s="3">
        <f>SUM($I$2:$I751)</f>
        <v>5958650</v>
      </c>
      <c r="M751" s="3">
        <f>SUM($J$2:$J751)</f>
        <v>21597627</v>
      </c>
      <c r="N751" s="2">
        <f>SUM($D$2:$D751)</f>
        <v>3666.2500000000014</v>
      </c>
      <c r="O751" s="2">
        <f t="shared" si="31"/>
        <v>0.21848432514639141</v>
      </c>
      <c r="P751" s="2" cm="1">
        <f t="array" ref="P751">SUMPRODUCT((O751&gt;$T$9:$T$14)*(O751&lt;=$U$9:$U$14),$S$9:$S$14)</f>
        <v>3</v>
      </c>
    </row>
    <row r="752" spans="1:16" x14ac:dyDescent="0.25">
      <c r="A752">
        <v>1085</v>
      </c>
      <c r="B752">
        <v>711</v>
      </c>
      <c r="C752">
        <v>412</v>
      </c>
      <c r="D752">
        <v>13.44</v>
      </c>
      <c r="E752">
        <v>25630</v>
      </c>
      <c r="F752">
        <v>0</v>
      </c>
      <c r="G752">
        <v>25630000</v>
      </c>
      <c r="H752">
        <v>26</v>
      </c>
      <c r="I752">
        <v>1100</v>
      </c>
      <c r="J752" s="2">
        <f t="shared" si="30"/>
        <v>14784</v>
      </c>
      <c r="K752">
        <v>751</v>
      </c>
      <c r="L752" s="3">
        <f>SUM($I$2:$I752)</f>
        <v>5959750</v>
      </c>
      <c r="M752" s="3">
        <f>SUM($J$2:$J752)</f>
        <v>21612411</v>
      </c>
      <c r="N752" s="2">
        <f>SUM($D$2:$D752)</f>
        <v>3679.6900000000014</v>
      </c>
      <c r="O752" s="2">
        <f t="shared" si="31"/>
        <v>0.21928526052449371</v>
      </c>
      <c r="P752" s="2" cm="1">
        <f t="array" ref="P752">SUMPRODUCT((O752&gt;$T$9:$T$14)*(O752&lt;=$U$9:$U$14),$S$9:$S$14)</f>
        <v>3</v>
      </c>
    </row>
    <row r="753" spans="1:16" x14ac:dyDescent="0.25">
      <c r="A753">
        <v>1844</v>
      </c>
      <c r="B753">
        <v>1844</v>
      </c>
      <c r="C753">
        <v>0</v>
      </c>
      <c r="D753">
        <v>9.73</v>
      </c>
      <c r="E753">
        <v>21140</v>
      </c>
      <c r="F753">
        <v>0</v>
      </c>
      <c r="G753">
        <v>21140000</v>
      </c>
      <c r="H753">
        <v>17</v>
      </c>
      <c r="I753">
        <v>1100</v>
      </c>
      <c r="J753" s="2">
        <f t="shared" si="30"/>
        <v>10703</v>
      </c>
      <c r="K753">
        <v>752</v>
      </c>
      <c r="L753" s="3">
        <f>SUM($I$2:$I753)</f>
        <v>5960850</v>
      </c>
      <c r="M753" s="3">
        <f>SUM($J$2:$J753)</f>
        <v>21623114</v>
      </c>
      <c r="N753" s="2">
        <f>SUM($D$2:$D753)</f>
        <v>3689.4200000000014</v>
      </c>
      <c r="O753" s="2">
        <f t="shared" si="31"/>
        <v>0.21986510436593235</v>
      </c>
      <c r="P753" s="2" cm="1">
        <f t="array" ref="P753">SUMPRODUCT((O753&gt;$T$9:$T$14)*(O753&lt;=$U$9:$U$14),$S$9:$S$14)</f>
        <v>3</v>
      </c>
    </row>
    <row r="754" spans="1:16" x14ac:dyDescent="0.25">
      <c r="A754">
        <v>1003</v>
      </c>
      <c r="B754">
        <v>629</v>
      </c>
      <c r="C754">
        <v>302</v>
      </c>
      <c r="D754">
        <v>9.6999999999999993</v>
      </c>
      <c r="E754">
        <v>23450</v>
      </c>
      <c r="F754">
        <v>0</v>
      </c>
      <c r="G754">
        <v>23450000</v>
      </c>
      <c r="H754">
        <v>19</v>
      </c>
      <c r="I754">
        <v>1100</v>
      </c>
      <c r="J754" s="2">
        <f t="shared" si="30"/>
        <v>10670</v>
      </c>
      <c r="K754">
        <v>753</v>
      </c>
      <c r="L754" s="3">
        <f>SUM($I$2:$I754)</f>
        <v>5961950</v>
      </c>
      <c r="M754" s="3">
        <f>SUM($J$2:$J754)</f>
        <v>21633784</v>
      </c>
      <c r="N754" s="2">
        <f>SUM($D$2:$D754)</f>
        <v>3699.1200000000013</v>
      </c>
      <c r="O754" s="2">
        <f t="shared" si="31"/>
        <v>0.22044316040518769</v>
      </c>
      <c r="P754" s="2" cm="1">
        <f t="array" ref="P754">SUMPRODUCT((O754&gt;$T$9:$T$14)*(O754&lt;=$U$9:$U$14),$S$9:$S$14)</f>
        <v>3</v>
      </c>
    </row>
    <row r="755" spans="1:16" x14ac:dyDescent="0.25">
      <c r="A755">
        <v>941</v>
      </c>
      <c r="B755">
        <v>567</v>
      </c>
      <c r="C755">
        <v>223</v>
      </c>
      <c r="D755">
        <v>8.9700000000000006</v>
      </c>
      <c r="E755">
        <v>14050</v>
      </c>
      <c r="F755">
        <v>0</v>
      </c>
      <c r="G755">
        <v>14050000</v>
      </c>
      <c r="H755">
        <v>7</v>
      </c>
      <c r="I755">
        <v>1100</v>
      </c>
      <c r="J755" s="2">
        <f t="shared" si="30"/>
        <v>9867</v>
      </c>
      <c r="K755">
        <v>754</v>
      </c>
      <c r="L755" s="3">
        <f>SUM($I$2:$I755)</f>
        <v>5963050</v>
      </c>
      <c r="M755" s="3">
        <f>SUM($J$2:$J755)</f>
        <v>21643651</v>
      </c>
      <c r="N755" s="2">
        <f>SUM($D$2:$D755)</f>
        <v>3708.0900000000011</v>
      </c>
      <c r="O755" s="2">
        <f t="shared" si="31"/>
        <v>0.22097771325798363</v>
      </c>
      <c r="P755" s="2" cm="1">
        <f t="array" ref="P755">SUMPRODUCT((O755&gt;$T$9:$T$14)*(O755&lt;=$U$9:$U$14),$S$9:$S$14)</f>
        <v>3</v>
      </c>
    </row>
    <row r="756" spans="1:16" x14ac:dyDescent="0.25">
      <c r="A756">
        <v>1118</v>
      </c>
      <c r="B756">
        <v>744</v>
      </c>
      <c r="C756">
        <v>458</v>
      </c>
      <c r="D756">
        <v>8.76</v>
      </c>
      <c r="E756">
        <v>18105</v>
      </c>
      <c r="F756">
        <v>0</v>
      </c>
      <c r="G756">
        <v>18105000</v>
      </c>
      <c r="H756">
        <v>11</v>
      </c>
      <c r="I756">
        <v>1100</v>
      </c>
      <c r="J756" s="2">
        <f t="shared" si="30"/>
        <v>9636</v>
      </c>
      <c r="K756">
        <v>755</v>
      </c>
      <c r="L756" s="3">
        <f>SUM($I$2:$I756)</f>
        <v>5964150</v>
      </c>
      <c r="M756" s="3">
        <f>SUM($J$2:$J756)</f>
        <v>21653287</v>
      </c>
      <c r="N756" s="2">
        <f>SUM($D$2:$D756)</f>
        <v>3716.8500000000013</v>
      </c>
      <c r="O756" s="2">
        <f t="shared" si="31"/>
        <v>0.22149975149549672</v>
      </c>
      <c r="P756" s="2" cm="1">
        <f t="array" ref="P756">SUMPRODUCT((O756&gt;$T$9:$T$14)*(O756&lt;=$U$9:$U$14),$S$9:$S$14)</f>
        <v>3</v>
      </c>
    </row>
    <row r="757" spans="1:16" x14ac:dyDescent="0.25">
      <c r="A757">
        <v>646</v>
      </c>
      <c r="B757">
        <v>1433</v>
      </c>
      <c r="C757">
        <v>874</v>
      </c>
      <c r="D757">
        <v>8.2799999999999994</v>
      </c>
      <c r="E757">
        <v>14675</v>
      </c>
      <c r="F757">
        <v>2</v>
      </c>
      <c r="G757">
        <v>14675020</v>
      </c>
      <c r="H757">
        <v>7</v>
      </c>
      <c r="I757">
        <v>1100</v>
      </c>
      <c r="J757" s="2">
        <f t="shared" si="30"/>
        <v>9108</v>
      </c>
      <c r="K757">
        <v>756</v>
      </c>
      <c r="L757" s="3">
        <f>SUM($I$2:$I757)</f>
        <v>5965250</v>
      </c>
      <c r="M757" s="3">
        <f>SUM($J$2:$J757)</f>
        <v>21662395</v>
      </c>
      <c r="N757" s="2">
        <f>SUM($D$2:$D757)</f>
        <v>3725.1300000000015</v>
      </c>
      <c r="O757" s="2">
        <f t="shared" si="31"/>
        <v>0.22199318489807762</v>
      </c>
      <c r="P757" s="2" cm="1">
        <f t="array" ref="P757">SUMPRODUCT((O757&gt;$T$9:$T$14)*(O757&lt;=$U$9:$U$14),$S$9:$S$14)</f>
        <v>3</v>
      </c>
    </row>
    <row r="758" spans="1:16" x14ac:dyDescent="0.25">
      <c r="A758">
        <v>552</v>
      </c>
      <c r="B758">
        <v>1339</v>
      </c>
      <c r="C758">
        <v>758</v>
      </c>
      <c r="D758">
        <v>5.66</v>
      </c>
      <c r="E758">
        <v>20746</v>
      </c>
      <c r="F758">
        <v>0</v>
      </c>
      <c r="G758">
        <v>20746000</v>
      </c>
      <c r="H758">
        <v>17</v>
      </c>
      <c r="I758">
        <v>1100</v>
      </c>
      <c r="J758" s="2">
        <f t="shared" si="30"/>
        <v>6226</v>
      </c>
      <c r="K758">
        <v>757</v>
      </c>
      <c r="L758" s="3">
        <f>SUM($I$2:$I758)</f>
        <v>5966350</v>
      </c>
      <c r="M758" s="3">
        <f>SUM($J$2:$J758)</f>
        <v>21668621</v>
      </c>
      <c r="N758" s="2">
        <f>SUM($D$2:$D758)</f>
        <v>3730.7900000000013</v>
      </c>
      <c r="O758" s="2">
        <f t="shared" si="31"/>
        <v>0.22233048357665341</v>
      </c>
      <c r="P758" s="2" cm="1">
        <f t="array" ref="P758">SUMPRODUCT((O758&gt;$T$9:$T$14)*(O758&lt;=$U$9:$U$14),$S$9:$S$14)</f>
        <v>3</v>
      </c>
    </row>
    <row r="759" spans="1:16" x14ac:dyDescent="0.25">
      <c r="A759">
        <v>1099</v>
      </c>
      <c r="B759">
        <v>725</v>
      </c>
      <c r="C759">
        <v>431</v>
      </c>
      <c r="D759">
        <v>4.95</v>
      </c>
      <c r="E759">
        <v>14247</v>
      </c>
      <c r="F759">
        <v>0</v>
      </c>
      <c r="G759">
        <v>14247000</v>
      </c>
      <c r="H759">
        <v>7</v>
      </c>
      <c r="I759">
        <v>1100</v>
      </c>
      <c r="J759" s="2">
        <f t="shared" si="30"/>
        <v>5445</v>
      </c>
      <c r="K759">
        <v>758</v>
      </c>
      <c r="L759" s="3">
        <f>SUM($I$2:$I759)</f>
        <v>5967450</v>
      </c>
      <c r="M759" s="3">
        <f>SUM($J$2:$J759)</f>
        <v>21674066</v>
      </c>
      <c r="N759" s="2">
        <f>SUM($D$2:$D759)</f>
        <v>3735.7400000000011</v>
      </c>
      <c r="O759" s="2">
        <f t="shared" si="31"/>
        <v>0.22262547093689197</v>
      </c>
      <c r="P759" s="2" cm="1">
        <f t="array" ref="P759">SUMPRODUCT((O759&gt;$T$9:$T$14)*(O759&lt;=$U$9:$U$14),$S$9:$S$14)</f>
        <v>3</v>
      </c>
    </row>
    <row r="760" spans="1:16" x14ac:dyDescent="0.25">
      <c r="A760">
        <v>974</v>
      </c>
      <c r="B760">
        <v>600</v>
      </c>
      <c r="C760">
        <v>263</v>
      </c>
      <c r="D760">
        <v>4.46</v>
      </c>
      <c r="E760">
        <v>22255</v>
      </c>
      <c r="F760">
        <v>0</v>
      </c>
      <c r="G760">
        <v>22255000</v>
      </c>
      <c r="H760" t="s">
        <v>7</v>
      </c>
      <c r="I760">
        <v>1100</v>
      </c>
      <c r="J760" s="2">
        <f t="shared" si="30"/>
        <v>4906</v>
      </c>
      <c r="K760">
        <v>759</v>
      </c>
      <c r="L760" s="3">
        <f>SUM($I$2:$I760)</f>
        <v>5968550</v>
      </c>
      <c r="M760" s="3">
        <f>SUM($J$2:$J760)</f>
        <v>21678972</v>
      </c>
      <c r="N760" s="2">
        <f>SUM($D$2:$D760)</f>
        <v>3740.2000000000012</v>
      </c>
      <c r="O760" s="2">
        <f t="shared" si="31"/>
        <v>0.22289125752813724</v>
      </c>
      <c r="P760" s="2" cm="1">
        <f t="array" ref="P760">SUMPRODUCT((O760&gt;$T$9:$T$14)*(O760&lt;=$U$9:$U$14),$S$9:$S$14)</f>
        <v>3</v>
      </c>
    </row>
    <row r="761" spans="1:16" x14ac:dyDescent="0.25">
      <c r="A761">
        <v>627</v>
      </c>
      <c r="B761">
        <v>1414</v>
      </c>
      <c r="C761">
        <v>852</v>
      </c>
      <c r="D761">
        <v>3.49</v>
      </c>
      <c r="E761">
        <v>19420</v>
      </c>
      <c r="F761">
        <v>11.9</v>
      </c>
      <c r="G761">
        <v>19420119</v>
      </c>
      <c r="H761">
        <v>12</v>
      </c>
      <c r="I761">
        <v>1100</v>
      </c>
      <c r="J761" s="2">
        <f t="shared" si="30"/>
        <v>3839.0000000000005</v>
      </c>
      <c r="K761">
        <v>760</v>
      </c>
      <c r="L761" s="3">
        <f>SUM($I$2:$I761)</f>
        <v>5969650</v>
      </c>
      <c r="M761" s="3">
        <f>SUM($J$2:$J761)</f>
        <v>21682811</v>
      </c>
      <c r="N761" s="2">
        <f>SUM($D$2:$D761)</f>
        <v>3743.690000000001</v>
      </c>
      <c r="O761" s="2">
        <f t="shared" si="31"/>
        <v>0.22309923851545693</v>
      </c>
      <c r="P761" s="2" cm="1">
        <f t="array" ref="P761">SUMPRODUCT((O761&gt;$T$9:$T$14)*(O761&lt;=$U$9:$U$14),$S$9:$S$14)</f>
        <v>3</v>
      </c>
    </row>
    <row r="762" spans="1:16" x14ac:dyDescent="0.25">
      <c r="A762">
        <v>676</v>
      </c>
      <c r="B762">
        <v>1463</v>
      </c>
      <c r="C762">
        <v>912</v>
      </c>
      <c r="D762">
        <v>2.95</v>
      </c>
      <c r="E762">
        <v>20766</v>
      </c>
      <c r="F762">
        <v>0</v>
      </c>
      <c r="G762">
        <v>20766000</v>
      </c>
      <c r="H762">
        <v>17</v>
      </c>
      <c r="I762">
        <v>1100</v>
      </c>
      <c r="J762" s="2">
        <f t="shared" si="30"/>
        <v>3245</v>
      </c>
      <c r="K762">
        <v>761</v>
      </c>
      <c r="L762" s="3">
        <f>SUM($I$2:$I762)</f>
        <v>5970750</v>
      </c>
      <c r="M762" s="3">
        <f>SUM($J$2:$J762)</f>
        <v>21686056</v>
      </c>
      <c r="N762" s="2">
        <f>SUM($D$2:$D762)</f>
        <v>3746.6400000000008</v>
      </c>
      <c r="O762" s="2">
        <f t="shared" si="31"/>
        <v>0.22327503906347787</v>
      </c>
      <c r="P762" s="2" cm="1">
        <f t="array" ref="P762">SUMPRODUCT((O762&gt;$T$9:$T$14)*(O762&lt;=$U$9:$U$14),$S$9:$S$14)</f>
        <v>3</v>
      </c>
    </row>
    <row r="763" spans="1:16" x14ac:dyDescent="0.25">
      <c r="A763">
        <v>1021</v>
      </c>
      <c r="B763">
        <v>647</v>
      </c>
      <c r="C763">
        <v>325</v>
      </c>
      <c r="D763">
        <v>2.94</v>
      </c>
      <c r="E763">
        <v>14350</v>
      </c>
      <c r="F763">
        <v>4.2</v>
      </c>
      <c r="G763">
        <v>14350042</v>
      </c>
      <c r="H763">
        <v>7</v>
      </c>
      <c r="I763">
        <v>1100</v>
      </c>
      <c r="J763" s="2">
        <f t="shared" si="30"/>
        <v>3234</v>
      </c>
      <c r="K763">
        <v>762</v>
      </c>
      <c r="L763" s="3">
        <f>SUM($I$2:$I763)</f>
        <v>5971850</v>
      </c>
      <c r="M763" s="3">
        <f>SUM($J$2:$J763)</f>
        <v>21689290</v>
      </c>
      <c r="N763" s="2">
        <f>SUM($D$2:$D763)</f>
        <v>3749.5800000000008</v>
      </c>
      <c r="O763" s="2">
        <f t="shared" si="31"/>
        <v>0.22345024367743777</v>
      </c>
      <c r="P763" s="2" cm="1">
        <f t="array" ref="P763">SUMPRODUCT((O763&gt;$T$9:$T$14)*(O763&lt;=$U$9:$U$14),$S$9:$S$14)</f>
        <v>3</v>
      </c>
    </row>
    <row r="764" spans="1:16" x14ac:dyDescent="0.25">
      <c r="A764">
        <v>1614</v>
      </c>
      <c r="B764">
        <v>1614</v>
      </c>
      <c r="C764">
        <v>2104</v>
      </c>
      <c r="D764">
        <v>2.67</v>
      </c>
      <c r="E764">
        <v>48670</v>
      </c>
      <c r="F764">
        <v>0</v>
      </c>
      <c r="G764">
        <v>48670000</v>
      </c>
      <c r="H764">
        <v>406</v>
      </c>
      <c r="I764">
        <v>1100</v>
      </c>
      <c r="J764" s="2">
        <f t="shared" si="30"/>
        <v>2937</v>
      </c>
      <c r="K764">
        <v>763</v>
      </c>
      <c r="L764" s="3">
        <f>SUM($I$2:$I764)</f>
        <v>5972950</v>
      </c>
      <c r="M764" s="3">
        <f>SUM($J$2:$J764)</f>
        <v>21692227</v>
      </c>
      <c r="N764" s="2">
        <f>SUM($D$2:$D764)</f>
        <v>3752.2500000000009</v>
      </c>
      <c r="O764" s="2">
        <f t="shared" si="31"/>
        <v>0.22360935807174825</v>
      </c>
      <c r="P764" s="2" cm="1">
        <f t="array" ref="P764">SUMPRODUCT((O764&gt;$T$9:$T$14)*(O764&lt;=$U$9:$U$14),$S$9:$S$14)</f>
        <v>3</v>
      </c>
    </row>
    <row r="765" spans="1:16" x14ac:dyDescent="0.25">
      <c r="A765">
        <v>1569</v>
      </c>
      <c r="B765">
        <v>1569</v>
      </c>
      <c r="C765">
        <v>1052</v>
      </c>
      <c r="D765">
        <v>2.64</v>
      </c>
      <c r="E765">
        <v>31060</v>
      </c>
      <c r="F765">
        <v>0</v>
      </c>
      <c r="G765">
        <v>31060000</v>
      </c>
      <c r="H765">
        <v>48</v>
      </c>
      <c r="I765">
        <v>1100</v>
      </c>
      <c r="J765" s="2">
        <f t="shared" si="30"/>
        <v>2904</v>
      </c>
      <c r="K765">
        <v>764</v>
      </c>
      <c r="L765" s="3">
        <f>SUM($I$2:$I765)</f>
        <v>5974050</v>
      </c>
      <c r="M765" s="3">
        <f>SUM($J$2:$J765)</f>
        <v>21695131</v>
      </c>
      <c r="N765" s="2">
        <f>SUM($D$2:$D765)</f>
        <v>3754.8900000000008</v>
      </c>
      <c r="O765" s="2">
        <f t="shared" si="31"/>
        <v>0.2237666846638755</v>
      </c>
      <c r="P765" s="2" cm="1">
        <f t="array" ref="P765">SUMPRODUCT((O765&gt;$T$9:$T$14)*(O765&lt;=$U$9:$U$14),$S$9:$S$14)</f>
        <v>3</v>
      </c>
    </row>
    <row r="766" spans="1:16" x14ac:dyDescent="0.25">
      <c r="A766">
        <v>453</v>
      </c>
      <c r="B766">
        <v>1240</v>
      </c>
      <c r="C766">
        <v>629</v>
      </c>
      <c r="D766">
        <v>2.57</v>
      </c>
      <c r="E766">
        <v>17500</v>
      </c>
      <c r="F766">
        <v>0</v>
      </c>
      <c r="G766">
        <v>17500000</v>
      </c>
      <c r="H766">
        <v>11</v>
      </c>
      <c r="I766">
        <v>1100</v>
      </c>
      <c r="J766" s="2">
        <f t="shared" si="30"/>
        <v>2827</v>
      </c>
      <c r="K766">
        <v>765</v>
      </c>
      <c r="L766" s="3">
        <f>SUM($I$2:$I766)</f>
        <v>5975150</v>
      </c>
      <c r="M766" s="3">
        <f>SUM($J$2:$J766)</f>
        <v>21697958</v>
      </c>
      <c r="N766" s="2">
        <f>SUM($D$2:$D766)</f>
        <v>3757.4600000000009</v>
      </c>
      <c r="O766" s="2">
        <f t="shared" si="31"/>
        <v>0.22391983971757512</v>
      </c>
      <c r="P766" s="2" cm="1">
        <f t="array" ref="P766">SUMPRODUCT((O766&gt;$T$9:$T$14)*(O766&lt;=$U$9:$U$14),$S$9:$S$14)</f>
        <v>3</v>
      </c>
    </row>
    <row r="767" spans="1:16" x14ac:dyDescent="0.25">
      <c r="A767">
        <v>570</v>
      </c>
      <c r="B767">
        <v>1357</v>
      </c>
      <c r="C767">
        <v>780</v>
      </c>
      <c r="D767">
        <v>2.5499999999999998</v>
      </c>
      <c r="E767">
        <v>14024</v>
      </c>
      <c r="F767">
        <v>0</v>
      </c>
      <c r="G767">
        <v>14024000</v>
      </c>
      <c r="H767">
        <v>7</v>
      </c>
      <c r="I767">
        <v>1100</v>
      </c>
      <c r="J767" s="2">
        <f t="shared" si="30"/>
        <v>2805</v>
      </c>
      <c r="K767">
        <v>766</v>
      </c>
      <c r="L767" s="3">
        <f>SUM($I$2:$I767)</f>
        <v>5976250</v>
      </c>
      <c r="M767" s="3">
        <f>SUM($J$2:$J767)</f>
        <v>21700763</v>
      </c>
      <c r="N767" s="2">
        <f>SUM($D$2:$D767)</f>
        <v>3760.0100000000011</v>
      </c>
      <c r="O767" s="2">
        <f t="shared" si="31"/>
        <v>0.22407180290315257</v>
      </c>
      <c r="P767" s="2" cm="1">
        <f t="array" ref="P767">SUMPRODUCT((O767&gt;$T$9:$T$14)*(O767&lt;=$U$9:$U$14),$S$9:$S$14)</f>
        <v>3</v>
      </c>
    </row>
    <row r="768" spans="1:16" x14ac:dyDescent="0.25">
      <c r="A768">
        <v>346</v>
      </c>
      <c r="B768">
        <v>1141</v>
      </c>
      <c r="C768">
        <v>2001</v>
      </c>
      <c r="D768">
        <v>1.0900000000000001</v>
      </c>
      <c r="E768">
        <v>85165</v>
      </c>
      <c r="F768">
        <v>0</v>
      </c>
      <c r="G768">
        <v>85165000</v>
      </c>
      <c r="H768">
        <v>7279</v>
      </c>
      <c r="I768">
        <v>1100</v>
      </c>
      <c r="J768" s="2">
        <f t="shared" si="30"/>
        <v>1199</v>
      </c>
      <c r="K768">
        <v>767</v>
      </c>
      <c r="L768" s="3">
        <f>SUM($I$2:$I768)</f>
        <v>5977350</v>
      </c>
      <c r="M768" s="3">
        <f>SUM($J$2:$J768)</f>
        <v>21701962</v>
      </c>
      <c r="N768" s="2">
        <f>SUM($D$2:$D768)</f>
        <v>3761.1000000000013</v>
      </c>
      <c r="O768" s="2">
        <f t="shared" si="31"/>
        <v>0.22413675971581118</v>
      </c>
      <c r="P768" s="2" cm="1">
        <f t="array" ref="P768">SUMPRODUCT((O768&gt;$T$9:$T$14)*(O768&lt;=$U$9:$U$14),$S$9:$S$14)</f>
        <v>3</v>
      </c>
    </row>
    <row r="769" spans="1:16" x14ac:dyDescent="0.25">
      <c r="A769">
        <v>518</v>
      </c>
      <c r="B769">
        <v>1305</v>
      </c>
      <c r="C769">
        <v>718</v>
      </c>
      <c r="D769">
        <v>1.01</v>
      </c>
      <c r="E769">
        <v>21980</v>
      </c>
      <c r="F769">
        <v>0</v>
      </c>
      <c r="G769">
        <v>21980000</v>
      </c>
      <c r="H769">
        <v>17</v>
      </c>
      <c r="I769">
        <v>1100</v>
      </c>
      <c r="J769" s="2">
        <f t="shared" si="30"/>
        <v>1111</v>
      </c>
      <c r="K769">
        <v>768</v>
      </c>
      <c r="L769" s="3">
        <f>SUM($I$2:$I769)</f>
        <v>5978450</v>
      </c>
      <c r="M769" s="3">
        <f>SUM($J$2:$J769)</f>
        <v>21703073</v>
      </c>
      <c r="N769" s="2">
        <f>SUM($D$2:$D769)</f>
        <v>3762.1100000000015</v>
      </c>
      <c r="O769" s="2">
        <f t="shared" si="31"/>
        <v>0.22419694905598109</v>
      </c>
      <c r="P769" s="2" cm="1">
        <f t="array" ref="P769">SUMPRODUCT((O769&gt;$T$9:$T$14)*(O769&lt;=$U$9:$U$14),$S$9:$S$14)</f>
        <v>3</v>
      </c>
    </row>
    <row r="770" spans="1:16" x14ac:dyDescent="0.25">
      <c r="A770">
        <v>336</v>
      </c>
      <c r="B770">
        <v>1131</v>
      </c>
      <c r="C770">
        <v>1975</v>
      </c>
      <c r="D770">
        <v>1</v>
      </c>
      <c r="E770">
        <v>71100</v>
      </c>
      <c r="F770">
        <v>0</v>
      </c>
      <c r="G770">
        <v>71100000</v>
      </c>
      <c r="H770">
        <v>655</v>
      </c>
      <c r="I770">
        <v>1100</v>
      </c>
      <c r="J770" s="2">
        <f t="shared" ref="J770:J833" si="32">I770*D770</f>
        <v>1100</v>
      </c>
      <c r="K770">
        <v>769</v>
      </c>
      <c r="L770" s="3">
        <f>SUM($I$2:$I770)</f>
        <v>5979550</v>
      </c>
      <c r="M770" s="3">
        <f>SUM($J$2:$J770)</f>
        <v>21704173</v>
      </c>
      <c r="N770" s="2">
        <f>SUM($D$2:$D770)</f>
        <v>3763.1100000000015</v>
      </c>
      <c r="O770" s="2">
        <f t="shared" ref="O770:O833" si="33">N770/$T$4</f>
        <v>0.22425654246208987</v>
      </c>
      <c r="P770" s="2" cm="1">
        <f t="array" ref="P770">SUMPRODUCT((O770&gt;$T$9:$T$14)*(O770&lt;=$U$9:$U$14),$S$9:$S$14)</f>
        <v>3</v>
      </c>
    </row>
    <row r="771" spans="1:16" x14ac:dyDescent="0.25">
      <c r="A771">
        <v>772</v>
      </c>
      <c r="B771">
        <v>1559</v>
      </c>
      <c r="C771">
        <v>1033</v>
      </c>
      <c r="D771">
        <v>0.79</v>
      </c>
      <c r="E771">
        <v>32700</v>
      </c>
      <c r="F771">
        <v>0</v>
      </c>
      <c r="G771">
        <v>32700000</v>
      </c>
      <c r="H771">
        <v>58</v>
      </c>
      <c r="I771">
        <v>1100</v>
      </c>
      <c r="J771" s="2">
        <f t="shared" si="32"/>
        <v>869</v>
      </c>
      <c r="K771">
        <v>770</v>
      </c>
      <c r="L771" s="3">
        <f>SUM($I$2:$I771)</f>
        <v>5980650</v>
      </c>
      <c r="M771" s="3">
        <f>SUM($J$2:$J771)</f>
        <v>21705042</v>
      </c>
      <c r="N771" s="2">
        <f>SUM($D$2:$D771)</f>
        <v>3763.9000000000015</v>
      </c>
      <c r="O771" s="2">
        <f t="shared" si="33"/>
        <v>0.22430362125291584</v>
      </c>
      <c r="P771" s="2" cm="1">
        <f t="array" ref="P771">SUMPRODUCT((O771&gt;$T$9:$T$14)*(O771&lt;=$U$9:$U$14),$S$9:$S$14)</f>
        <v>3</v>
      </c>
    </row>
    <row r="772" spans="1:16" x14ac:dyDescent="0.25">
      <c r="A772">
        <v>1167</v>
      </c>
      <c r="B772">
        <v>793</v>
      </c>
      <c r="C772">
        <v>515</v>
      </c>
      <c r="D772">
        <v>59.71</v>
      </c>
      <c r="E772">
        <v>17800</v>
      </c>
      <c r="F772">
        <v>0</v>
      </c>
      <c r="G772">
        <v>17800000</v>
      </c>
      <c r="H772">
        <v>11</v>
      </c>
      <c r="I772">
        <v>1050</v>
      </c>
      <c r="J772" s="2">
        <f t="shared" si="32"/>
        <v>62695.5</v>
      </c>
      <c r="K772">
        <v>771</v>
      </c>
      <c r="L772" s="3">
        <f>SUM($I$2:$I772)</f>
        <v>5981700</v>
      </c>
      <c r="M772" s="3">
        <f>SUM($J$2:$J772)</f>
        <v>21767737.5</v>
      </c>
      <c r="N772" s="2">
        <f>SUM($D$2:$D772)</f>
        <v>3823.6100000000015</v>
      </c>
      <c r="O772" s="2">
        <f t="shared" si="33"/>
        <v>0.22786194353167233</v>
      </c>
      <c r="P772" s="2" cm="1">
        <f t="array" ref="P772">SUMPRODUCT((O772&gt;$T$9:$T$14)*(O772&lt;=$U$9:$U$14),$S$9:$S$14)</f>
        <v>3</v>
      </c>
    </row>
    <row r="773" spans="1:16" x14ac:dyDescent="0.25">
      <c r="A773">
        <v>482</v>
      </c>
      <c r="B773">
        <v>1269</v>
      </c>
      <c r="C773">
        <v>666</v>
      </c>
      <c r="D773">
        <v>54.54</v>
      </c>
      <c r="E773">
        <v>21554</v>
      </c>
      <c r="F773">
        <v>0</v>
      </c>
      <c r="G773">
        <v>21554000</v>
      </c>
      <c r="H773">
        <v>17</v>
      </c>
      <c r="I773">
        <v>1050</v>
      </c>
      <c r="J773" s="2">
        <f t="shared" si="32"/>
        <v>57267</v>
      </c>
      <c r="K773">
        <v>772</v>
      </c>
      <c r="L773" s="3">
        <f>SUM($I$2:$I773)</f>
        <v>5982750</v>
      </c>
      <c r="M773" s="3">
        <f>SUM($J$2:$J773)</f>
        <v>21825004.5</v>
      </c>
      <c r="N773" s="2">
        <f>SUM($D$2:$D773)</f>
        <v>3878.1500000000015</v>
      </c>
      <c r="O773" s="2">
        <f t="shared" si="33"/>
        <v>0.23111216790084632</v>
      </c>
      <c r="P773" s="2" cm="1">
        <f t="array" ref="P773">SUMPRODUCT((O773&gt;$T$9:$T$14)*(O773&lt;=$U$9:$U$14),$S$9:$S$14)</f>
        <v>3</v>
      </c>
    </row>
    <row r="774" spans="1:16" x14ac:dyDescent="0.25">
      <c r="A774">
        <v>514</v>
      </c>
      <c r="B774">
        <v>1301</v>
      </c>
      <c r="C774">
        <v>712</v>
      </c>
      <c r="D774">
        <v>17.37</v>
      </c>
      <c r="E774">
        <v>17730</v>
      </c>
      <c r="F774">
        <v>10.4</v>
      </c>
      <c r="G774">
        <v>17730104</v>
      </c>
      <c r="H774">
        <v>11</v>
      </c>
      <c r="I774">
        <v>1050</v>
      </c>
      <c r="J774" s="2">
        <f t="shared" si="32"/>
        <v>18238.5</v>
      </c>
      <c r="K774">
        <v>773</v>
      </c>
      <c r="L774" s="3">
        <f>SUM($I$2:$I774)</f>
        <v>5983800</v>
      </c>
      <c r="M774" s="3">
        <f>SUM($J$2:$J774)</f>
        <v>21843243</v>
      </c>
      <c r="N774" s="2">
        <f>SUM($D$2:$D774)</f>
        <v>3895.5200000000013</v>
      </c>
      <c r="O774" s="2">
        <f t="shared" si="33"/>
        <v>0.2321473053649562</v>
      </c>
      <c r="P774" s="2" cm="1">
        <f t="array" ref="P774">SUMPRODUCT((O774&gt;$T$9:$T$14)*(O774&lt;=$U$9:$U$14),$S$9:$S$14)</f>
        <v>3</v>
      </c>
    </row>
    <row r="775" spans="1:16" x14ac:dyDescent="0.25">
      <c r="A775">
        <v>618</v>
      </c>
      <c r="B775">
        <v>1405</v>
      </c>
      <c r="C775">
        <v>843</v>
      </c>
      <c r="D775">
        <v>16.98</v>
      </c>
      <c r="E775">
        <v>21210</v>
      </c>
      <c r="F775">
        <v>1.7</v>
      </c>
      <c r="G775">
        <v>21210017</v>
      </c>
      <c r="H775">
        <v>17</v>
      </c>
      <c r="I775">
        <v>1050</v>
      </c>
      <c r="J775" s="2">
        <f t="shared" si="32"/>
        <v>17829</v>
      </c>
      <c r="K775">
        <v>774</v>
      </c>
      <c r="L775" s="3">
        <f>SUM($I$2:$I775)</f>
        <v>5984850</v>
      </c>
      <c r="M775" s="3">
        <f>SUM($J$2:$J775)</f>
        <v>21861072</v>
      </c>
      <c r="N775" s="2">
        <f>SUM($D$2:$D775)</f>
        <v>3912.5000000000014</v>
      </c>
      <c r="O775" s="2">
        <f t="shared" si="33"/>
        <v>0.23315920140068364</v>
      </c>
      <c r="P775" s="2" cm="1">
        <f t="array" ref="P775">SUMPRODUCT((O775&gt;$T$9:$T$14)*(O775&lt;=$U$9:$U$14),$S$9:$S$14)</f>
        <v>3</v>
      </c>
    </row>
    <row r="776" spans="1:16" x14ac:dyDescent="0.25">
      <c r="A776">
        <v>1059</v>
      </c>
      <c r="B776">
        <v>685</v>
      </c>
      <c r="C776">
        <v>374</v>
      </c>
      <c r="D776">
        <v>12.74</v>
      </c>
      <c r="E776">
        <v>20890</v>
      </c>
      <c r="F776">
        <v>0</v>
      </c>
      <c r="G776">
        <v>20890000</v>
      </c>
      <c r="H776">
        <v>17</v>
      </c>
      <c r="I776">
        <v>1050</v>
      </c>
      <c r="J776" s="2">
        <f t="shared" si="32"/>
        <v>13377</v>
      </c>
      <c r="K776">
        <v>775</v>
      </c>
      <c r="L776" s="3">
        <f>SUM($I$2:$I776)</f>
        <v>5985900</v>
      </c>
      <c r="M776" s="3">
        <f>SUM($J$2:$J776)</f>
        <v>21874449</v>
      </c>
      <c r="N776" s="2">
        <f>SUM($D$2:$D776)</f>
        <v>3925.2400000000011</v>
      </c>
      <c r="O776" s="2">
        <f t="shared" si="33"/>
        <v>0.23391842139450975</v>
      </c>
      <c r="P776" s="2" cm="1">
        <f t="array" ref="P776">SUMPRODUCT((O776&gt;$T$9:$T$14)*(O776&lt;=$U$9:$U$14),$S$9:$S$14)</f>
        <v>3</v>
      </c>
    </row>
    <row r="777" spans="1:16" x14ac:dyDescent="0.25">
      <c r="A777">
        <v>478</v>
      </c>
      <c r="B777">
        <v>1265</v>
      </c>
      <c r="C777">
        <v>662</v>
      </c>
      <c r="D777">
        <v>11.2</v>
      </c>
      <c r="E777">
        <v>20683</v>
      </c>
      <c r="F777">
        <v>0</v>
      </c>
      <c r="G777">
        <v>20683000</v>
      </c>
      <c r="H777">
        <v>17</v>
      </c>
      <c r="I777">
        <v>1050</v>
      </c>
      <c r="J777" s="2">
        <f t="shared" si="32"/>
        <v>11760</v>
      </c>
      <c r="K777">
        <v>776</v>
      </c>
      <c r="L777" s="3">
        <f>SUM($I$2:$I777)</f>
        <v>5986950</v>
      </c>
      <c r="M777" s="3">
        <f>SUM($J$2:$J777)</f>
        <v>21886209</v>
      </c>
      <c r="N777" s="2">
        <f>SUM($D$2:$D777)</f>
        <v>3936.440000000001</v>
      </c>
      <c r="O777" s="2">
        <f t="shared" si="33"/>
        <v>0.23458586754292832</v>
      </c>
      <c r="P777" s="2" cm="1">
        <f t="array" ref="P777">SUMPRODUCT((O777&gt;$T$9:$T$14)*(O777&lt;=$U$9:$U$14),$S$9:$S$14)</f>
        <v>3</v>
      </c>
    </row>
    <row r="778" spans="1:16" x14ac:dyDescent="0.25">
      <c r="A778">
        <v>396</v>
      </c>
      <c r="B778">
        <v>1191</v>
      </c>
      <c r="C778">
        <v>560</v>
      </c>
      <c r="D778">
        <v>10.52</v>
      </c>
      <c r="E778">
        <v>20781</v>
      </c>
      <c r="F778">
        <v>0</v>
      </c>
      <c r="G778">
        <v>20781000</v>
      </c>
      <c r="H778">
        <v>17</v>
      </c>
      <c r="I778">
        <v>1050</v>
      </c>
      <c r="J778" s="2">
        <f t="shared" si="32"/>
        <v>11046</v>
      </c>
      <c r="K778">
        <v>777</v>
      </c>
      <c r="L778" s="3">
        <f>SUM($I$2:$I778)</f>
        <v>5988000</v>
      </c>
      <c r="M778" s="3">
        <f>SUM($J$2:$J778)</f>
        <v>21897255</v>
      </c>
      <c r="N778" s="2">
        <f>SUM($D$2:$D778)</f>
        <v>3946.9600000000009</v>
      </c>
      <c r="O778" s="2">
        <f t="shared" si="33"/>
        <v>0.23521279017519289</v>
      </c>
      <c r="P778" s="2" cm="1">
        <f t="array" ref="P778">SUMPRODUCT((O778&gt;$T$9:$T$14)*(O778&lt;=$U$9:$U$14),$S$9:$S$14)</f>
        <v>3</v>
      </c>
    </row>
    <row r="779" spans="1:16" x14ac:dyDescent="0.25">
      <c r="A779">
        <v>789</v>
      </c>
      <c r="B779">
        <v>415</v>
      </c>
      <c r="C779">
        <v>15</v>
      </c>
      <c r="D779">
        <v>9.5299999999999994</v>
      </c>
      <c r="E779">
        <v>13170</v>
      </c>
      <c r="F779">
        <v>3</v>
      </c>
      <c r="G779">
        <v>13170030</v>
      </c>
      <c r="H779">
        <v>5</v>
      </c>
      <c r="I779">
        <v>1050</v>
      </c>
      <c r="J779" s="2">
        <f t="shared" si="32"/>
        <v>10006.5</v>
      </c>
      <c r="K779">
        <v>778</v>
      </c>
      <c r="L779" s="3">
        <f>SUM($I$2:$I779)</f>
        <v>5989050</v>
      </c>
      <c r="M779" s="3">
        <f>SUM($J$2:$J779)</f>
        <v>21907261.5</v>
      </c>
      <c r="N779" s="2">
        <f>SUM($D$2:$D779)</f>
        <v>3956.4900000000011</v>
      </c>
      <c r="O779" s="2">
        <f t="shared" si="33"/>
        <v>0.23578071533540979</v>
      </c>
      <c r="P779" s="2" cm="1">
        <f t="array" ref="P779">SUMPRODUCT((O779&gt;$T$9:$T$14)*(O779&lt;=$U$9:$U$14),$S$9:$S$14)</f>
        <v>3</v>
      </c>
    </row>
    <row r="780" spans="1:16" x14ac:dyDescent="0.25">
      <c r="A780">
        <v>1158</v>
      </c>
      <c r="B780">
        <v>784</v>
      </c>
      <c r="C780">
        <v>503</v>
      </c>
      <c r="D780">
        <v>8.65</v>
      </c>
      <c r="E780">
        <v>17350</v>
      </c>
      <c r="F780">
        <v>0</v>
      </c>
      <c r="G780">
        <v>17350000</v>
      </c>
      <c r="H780">
        <v>11</v>
      </c>
      <c r="I780">
        <v>1050</v>
      </c>
      <c r="J780" s="2">
        <f t="shared" si="32"/>
        <v>9082.5</v>
      </c>
      <c r="K780">
        <v>779</v>
      </c>
      <c r="L780" s="3">
        <f>SUM($I$2:$I780)</f>
        <v>5990100</v>
      </c>
      <c r="M780" s="3">
        <f>SUM($J$2:$J780)</f>
        <v>21916344</v>
      </c>
      <c r="N780" s="2">
        <f>SUM($D$2:$D780)</f>
        <v>3965.1400000000012</v>
      </c>
      <c r="O780" s="2">
        <f t="shared" si="33"/>
        <v>0.23629619829825091</v>
      </c>
      <c r="P780" s="2" cm="1">
        <f t="array" ref="P780">SUMPRODUCT((O780&gt;$T$9:$T$14)*(O780&lt;=$U$9:$U$14),$S$9:$S$14)</f>
        <v>3</v>
      </c>
    </row>
    <row r="781" spans="1:16" x14ac:dyDescent="0.25">
      <c r="A781">
        <v>1170</v>
      </c>
      <c r="B781">
        <v>796</v>
      </c>
      <c r="C781">
        <v>518</v>
      </c>
      <c r="D781">
        <v>8.65</v>
      </c>
      <c r="E781">
        <v>27640</v>
      </c>
      <c r="F781">
        <v>3.2</v>
      </c>
      <c r="G781">
        <v>27640032</v>
      </c>
      <c r="H781">
        <v>34</v>
      </c>
      <c r="I781">
        <v>1050</v>
      </c>
      <c r="J781" s="2">
        <f t="shared" si="32"/>
        <v>9082.5</v>
      </c>
      <c r="K781">
        <v>780</v>
      </c>
      <c r="L781" s="3">
        <f>SUM($I$2:$I781)</f>
        <v>5991150</v>
      </c>
      <c r="M781" s="3">
        <f>SUM($J$2:$J781)</f>
        <v>21925426.5</v>
      </c>
      <c r="N781" s="2">
        <f>SUM($D$2:$D781)</f>
        <v>3973.7900000000013</v>
      </c>
      <c r="O781" s="2">
        <f t="shared" si="33"/>
        <v>0.23681168126109203</v>
      </c>
      <c r="P781" s="2" cm="1">
        <f t="array" ref="P781">SUMPRODUCT((O781&gt;$T$9:$T$14)*(O781&lt;=$U$9:$U$14),$S$9:$S$14)</f>
        <v>3</v>
      </c>
    </row>
    <row r="782" spans="1:16" x14ac:dyDescent="0.25">
      <c r="A782">
        <v>563</v>
      </c>
      <c r="B782">
        <v>1350</v>
      </c>
      <c r="C782">
        <v>772</v>
      </c>
      <c r="D782">
        <v>8.6</v>
      </c>
      <c r="E782">
        <v>14270</v>
      </c>
      <c r="F782">
        <v>0</v>
      </c>
      <c r="G782">
        <v>14270000</v>
      </c>
      <c r="H782">
        <v>7</v>
      </c>
      <c r="I782">
        <v>1050</v>
      </c>
      <c r="J782" s="2">
        <f t="shared" si="32"/>
        <v>9030</v>
      </c>
      <c r="K782">
        <v>781</v>
      </c>
      <c r="L782" s="3">
        <f>SUM($I$2:$I782)</f>
        <v>5992200</v>
      </c>
      <c r="M782" s="3">
        <f>SUM($J$2:$J782)</f>
        <v>21934456.5</v>
      </c>
      <c r="N782" s="2">
        <f>SUM($D$2:$D782)</f>
        <v>3982.3900000000012</v>
      </c>
      <c r="O782" s="2">
        <f t="shared" si="33"/>
        <v>0.23732418455362772</v>
      </c>
      <c r="P782" s="2" cm="1">
        <f t="array" ref="P782">SUMPRODUCT((O782&gt;$T$9:$T$14)*(O782&lt;=$U$9:$U$14),$S$9:$S$14)</f>
        <v>3</v>
      </c>
    </row>
    <row r="783" spans="1:16" x14ac:dyDescent="0.25">
      <c r="A783">
        <v>598</v>
      </c>
      <c r="B783">
        <v>1385</v>
      </c>
      <c r="C783">
        <v>818</v>
      </c>
      <c r="D783">
        <v>7.97</v>
      </c>
      <c r="E783">
        <v>14330</v>
      </c>
      <c r="F783">
        <v>4</v>
      </c>
      <c r="G783">
        <v>14330040</v>
      </c>
      <c r="H783">
        <v>7</v>
      </c>
      <c r="I783">
        <v>1050</v>
      </c>
      <c r="J783" s="2">
        <f t="shared" si="32"/>
        <v>8368.5</v>
      </c>
      <c r="K783">
        <v>782</v>
      </c>
      <c r="L783" s="3">
        <f>SUM($I$2:$I783)</f>
        <v>5993250</v>
      </c>
      <c r="M783" s="3">
        <f>SUM($J$2:$J783)</f>
        <v>21942825</v>
      </c>
      <c r="N783" s="2">
        <f>SUM($D$2:$D783)</f>
        <v>3990.360000000001</v>
      </c>
      <c r="O783" s="2">
        <f t="shared" si="33"/>
        <v>0.23779914400031485</v>
      </c>
      <c r="P783" s="2" cm="1">
        <f t="array" ref="P783">SUMPRODUCT((O783&gt;$T$9:$T$14)*(O783&lt;=$U$9:$U$14),$S$9:$S$14)</f>
        <v>3</v>
      </c>
    </row>
    <row r="784" spans="1:16" x14ac:dyDescent="0.25">
      <c r="A784">
        <v>1053</v>
      </c>
      <c r="B784">
        <v>679</v>
      </c>
      <c r="C784">
        <v>367</v>
      </c>
      <c r="D784">
        <v>6.2</v>
      </c>
      <c r="E784">
        <v>17360</v>
      </c>
      <c r="F784">
        <v>0</v>
      </c>
      <c r="G784">
        <v>17360000</v>
      </c>
      <c r="H784">
        <v>11</v>
      </c>
      <c r="I784">
        <v>1050</v>
      </c>
      <c r="J784" s="2">
        <f t="shared" si="32"/>
        <v>6510</v>
      </c>
      <c r="K784">
        <v>783</v>
      </c>
      <c r="L784" s="3">
        <f>SUM($I$2:$I784)</f>
        <v>5994300</v>
      </c>
      <c r="M784" s="3">
        <f>SUM($J$2:$J784)</f>
        <v>21949335</v>
      </c>
      <c r="N784" s="2">
        <f>SUM($D$2:$D784)</f>
        <v>3996.5600000000009</v>
      </c>
      <c r="O784" s="2">
        <f t="shared" si="33"/>
        <v>0.2381686231181894</v>
      </c>
      <c r="P784" s="2" cm="1">
        <f t="array" ref="P784">SUMPRODUCT((O784&gt;$T$9:$T$14)*(O784&lt;=$U$9:$U$14),$S$9:$S$14)</f>
        <v>3</v>
      </c>
    </row>
    <row r="785" spans="1:16" x14ac:dyDescent="0.25">
      <c r="A785">
        <v>1180</v>
      </c>
      <c r="B785">
        <v>12</v>
      </c>
      <c r="C785">
        <v>1059</v>
      </c>
      <c r="D785">
        <v>6.08</v>
      </c>
      <c r="E785">
        <v>31010</v>
      </c>
      <c r="F785">
        <v>4</v>
      </c>
      <c r="G785">
        <v>31010040</v>
      </c>
      <c r="H785">
        <v>48</v>
      </c>
      <c r="I785">
        <v>1050</v>
      </c>
      <c r="J785" s="2">
        <f t="shared" si="32"/>
        <v>6384</v>
      </c>
      <c r="K785">
        <v>784</v>
      </c>
      <c r="L785" s="3">
        <f>SUM($I$2:$I785)</f>
        <v>5995350</v>
      </c>
      <c r="M785" s="3">
        <f>SUM($J$2:$J785)</f>
        <v>21955719</v>
      </c>
      <c r="N785" s="2">
        <f>SUM($D$2:$D785)</f>
        <v>4002.6400000000008</v>
      </c>
      <c r="O785" s="2">
        <f t="shared" si="33"/>
        <v>0.23853095102733091</v>
      </c>
      <c r="P785" s="2" cm="1">
        <f t="array" ref="P785">SUMPRODUCT((O785&gt;$T$9:$T$14)*(O785&lt;=$U$9:$U$14),$S$9:$S$14)</f>
        <v>3</v>
      </c>
    </row>
    <row r="786" spans="1:16" x14ac:dyDescent="0.25">
      <c r="A786">
        <v>950</v>
      </c>
      <c r="B786">
        <v>576</v>
      </c>
      <c r="C786">
        <v>234</v>
      </c>
      <c r="D786">
        <v>6.06</v>
      </c>
      <c r="E786">
        <v>20900</v>
      </c>
      <c r="F786">
        <v>0</v>
      </c>
      <c r="G786">
        <v>20900000</v>
      </c>
      <c r="H786">
        <v>17</v>
      </c>
      <c r="I786">
        <v>1050</v>
      </c>
      <c r="J786" s="2">
        <f t="shared" si="32"/>
        <v>6363</v>
      </c>
      <c r="K786">
        <v>785</v>
      </c>
      <c r="L786" s="3">
        <f>SUM($I$2:$I786)</f>
        <v>5996400</v>
      </c>
      <c r="M786" s="3">
        <f>SUM($J$2:$J786)</f>
        <v>21962082</v>
      </c>
      <c r="N786" s="2">
        <f>SUM($D$2:$D786)</f>
        <v>4008.7000000000007</v>
      </c>
      <c r="O786" s="2">
        <f t="shared" si="33"/>
        <v>0.23889208706835025</v>
      </c>
      <c r="P786" s="2" cm="1">
        <f t="array" ref="P786">SUMPRODUCT((O786&gt;$T$9:$T$14)*(O786&lt;=$U$9:$U$14),$S$9:$S$14)</f>
        <v>3</v>
      </c>
    </row>
    <row r="787" spans="1:16" x14ac:dyDescent="0.25">
      <c r="A787">
        <v>1202</v>
      </c>
      <c r="B787">
        <v>34</v>
      </c>
      <c r="C787">
        <v>1089</v>
      </c>
      <c r="D787">
        <v>5.49</v>
      </c>
      <c r="E787">
        <v>29205</v>
      </c>
      <c r="F787">
        <v>0</v>
      </c>
      <c r="G787">
        <v>29205000</v>
      </c>
      <c r="H787">
        <v>40</v>
      </c>
      <c r="I787">
        <v>1050</v>
      </c>
      <c r="J787" s="2">
        <f t="shared" si="32"/>
        <v>5764.5</v>
      </c>
      <c r="K787">
        <v>786</v>
      </c>
      <c r="L787" s="3">
        <f>SUM($I$2:$I787)</f>
        <v>5997450</v>
      </c>
      <c r="M787" s="3">
        <f>SUM($J$2:$J787)</f>
        <v>21967846.5</v>
      </c>
      <c r="N787" s="2">
        <f>SUM($D$2:$D787)</f>
        <v>4014.1900000000005</v>
      </c>
      <c r="O787" s="2">
        <f t="shared" si="33"/>
        <v>0.23921925486788756</v>
      </c>
      <c r="P787" s="2" cm="1">
        <f t="array" ref="P787">SUMPRODUCT((O787&gt;$T$9:$T$14)*(O787&lt;=$U$9:$U$14),$S$9:$S$14)</f>
        <v>3</v>
      </c>
    </row>
    <row r="788" spans="1:16" x14ac:dyDescent="0.25">
      <c r="A788">
        <v>442</v>
      </c>
      <c r="B788">
        <v>1229</v>
      </c>
      <c r="C788">
        <v>613</v>
      </c>
      <c r="D788">
        <v>5.45</v>
      </c>
      <c r="E788">
        <v>20751</v>
      </c>
      <c r="F788">
        <v>0</v>
      </c>
      <c r="G788">
        <v>20751000</v>
      </c>
      <c r="H788">
        <v>17</v>
      </c>
      <c r="I788">
        <v>1050</v>
      </c>
      <c r="J788" s="2">
        <f t="shared" si="32"/>
        <v>5722.5</v>
      </c>
      <c r="K788">
        <v>787</v>
      </c>
      <c r="L788" s="3">
        <f>SUM($I$2:$I788)</f>
        <v>5998500</v>
      </c>
      <c r="M788" s="3">
        <f>SUM($J$2:$J788)</f>
        <v>21973569</v>
      </c>
      <c r="N788" s="2">
        <f>SUM($D$2:$D788)</f>
        <v>4019.6400000000003</v>
      </c>
      <c r="O788" s="2">
        <f t="shared" si="33"/>
        <v>0.23954403893118051</v>
      </c>
      <c r="P788" s="2" cm="1">
        <f t="array" ref="P788">SUMPRODUCT((O788&gt;$T$9:$T$14)*(O788&lt;=$U$9:$U$14),$S$9:$S$14)</f>
        <v>3</v>
      </c>
    </row>
    <row r="789" spans="1:16" x14ac:dyDescent="0.25">
      <c r="A789">
        <v>1042</v>
      </c>
      <c r="B789">
        <v>668</v>
      </c>
      <c r="C789">
        <v>352</v>
      </c>
      <c r="D789">
        <v>4.09</v>
      </c>
      <c r="E789">
        <v>21329</v>
      </c>
      <c r="F789">
        <v>3.9</v>
      </c>
      <c r="G789">
        <v>21329039</v>
      </c>
      <c r="H789">
        <v>17</v>
      </c>
      <c r="I789">
        <v>1050</v>
      </c>
      <c r="J789" s="2">
        <f t="shared" si="32"/>
        <v>4294.5</v>
      </c>
      <c r="K789">
        <v>788</v>
      </c>
      <c r="L789" s="3">
        <f>SUM($I$2:$I789)</f>
        <v>5999550</v>
      </c>
      <c r="M789" s="3">
        <f>SUM($J$2:$J789)</f>
        <v>21977863.5</v>
      </c>
      <c r="N789" s="2">
        <f>SUM($D$2:$D789)</f>
        <v>4023.7300000000005</v>
      </c>
      <c r="O789" s="2">
        <f t="shared" si="33"/>
        <v>0.23978777596216549</v>
      </c>
      <c r="P789" s="2" cm="1">
        <f t="array" ref="P789">SUMPRODUCT((O789&gt;$T$9:$T$14)*(O789&lt;=$U$9:$U$14),$S$9:$S$14)</f>
        <v>3</v>
      </c>
    </row>
    <row r="790" spans="1:16" x14ac:dyDescent="0.25">
      <c r="A790">
        <v>625</v>
      </c>
      <c r="B790">
        <v>1412</v>
      </c>
      <c r="C790">
        <v>850</v>
      </c>
      <c r="D790">
        <v>3.69</v>
      </c>
      <c r="E790">
        <v>21329</v>
      </c>
      <c r="F790">
        <v>8.6999999999999993</v>
      </c>
      <c r="G790">
        <v>21329087</v>
      </c>
      <c r="H790">
        <v>17</v>
      </c>
      <c r="I790">
        <v>1050</v>
      </c>
      <c r="J790" s="2">
        <f t="shared" si="32"/>
        <v>3874.5</v>
      </c>
      <c r="K790">
        <v>789</v>
      </c>
      <c r="L790" s="3">
        <f>SUM($I$2:$I790)</f>
        <v>6000600</v>
      </c>
      <c r="M790" s="3">
        <f>SUM($J$2:$J790)</f>
        <v>21981738</v>
      </c>
      <c r="N790" s="2">
        <f>SUM($D$2:$D790)</f>
        <v>4027.4200000000005</v>
      </c>
      <c r="O790" s="2">
        <f t="shared" si="33"/>
        <v>0.24000767563070699</v>
      </c>
      <c r="P790" s="2" cm="1">
        <f t="array" ref="P790">SUMPRODUCT((O790&gt;$T$9:$T$14)*(O790&lt;=$U$9:$U$14),$S$9:$S$14)</f>
        <v>3</v>
      </c>
    </row>
    <row r="791" spans="1:16" x14ac:dyDescent="0.25">
      <c r="A791">
        <v>1280</v>
      </c>
      <c r="B791">
        <v>112</v>
      </c>
      <c r="C791">
        <v>1194</v>
      </c>
      <c r="D791">
        <v>3.32</v>
      </c>
      <c r="E791">
        <v>38600</v>
      </c>
      <c r="F791">
        <v>0</v>
      </c>
      <c r="G791">
        <v>38600000</v>
      </c>
      <c r="H791">
        <v>89</v>
      </c>
      <c r="I791">
        <v>1050</v>
      </c>
      <c r="J791" s="2">
        <f t="shared" si="32"/>
        <v>3486</v>
      </c>
      <c r="K791">
        <v>790</v>
      </c>
      <c r="L791" s="3">
        <f>SUM($I$2:$I791)</f>
        <v>6001650</v>
      </c>
      <c r="M791" s="3">
        <f>SUM($J$2:$J791)</f>
        <v>21985224</v>
      </c>
      <c r="N791" s="2">
        <f>SUM($D$2:$D791)</f>
        <v>4030.7400000000007</v>
      </c>
      <c r="O791" s="2">
        <f t="shared" si="33"/>
        <v>0.24020552573898821</v>
      </c>
      <c r="P791" s="2" cm="1">
        <f t="array" ref="P791">SUMPRODUCT((O791&gt;$T$9:$T$14)*(O791&lt;=$U$9:$U$14),$S$9:$S$14)</f>
        <v>3</v>
      </c>
    </row>
    <row r="792" spans="1:16" x14ac:dyDescent="0.25">
      <c r="A792">
        <v>813</v>
      </c>
      <c r="B792">
        <v>439</v>
      </c>
      <c r="C792">
        <v>48</v>
      </c>
      <c r="D792">
        <v>3.01</v>
      </c>
      <c r="E792">
        <v>12209</v>
      </c>
      <c r="F792">
        <v>6.6</v>
      </c>
      <c r="G792">
        <v>12209066</v>
      </c>
      <c r="H792">
        <v>3</v>
      </c>
      <c r="I792">
        <v>1050</v>
      </c>
      <c r="J792" s="2">
        <f t="shared" si="32"/>
        <v>3160.5</v>
      </c>
      <c r="K792">
        <v>791</v>
      </c>
      <c r="L792" s="3">
        <f>SUM($I$2:$I792)</f>
        <v>6002700</v>
      </c>
      <c r="M792" s="3">
        <f>SUM($J$2:$J792)</f>
        <v>21988384.5</v>
      </c>
      <c r="N792" s="2">
        <f>SUM($D$2:$D792)</f>
        <v>4033.7500000000009</v>
      </c>
      <c r="O792" s="2">
        <f t="shared" si="33"/>
        <v>0.24038490189137571</v>
      </c>
      <c r="P792" s="2" cm="1">
        <f t="array" ref="P792">SUMPRODUCT((O792&gt;$T$9:$T$14)*(O792&lt;=$U$9:$U$14),$S$9:$S$14)</f>
        <v>3</v>
      </c>
    </row>
    <row r="793" spans="1:16" x14ac:dyDescent="0.25">
      <c r="A793">
        <v>1485</v>
      </c>
      <c r="B793">
        <v>317</v>
      </c>
      <c r="C793">
        <v>1449</v>
      </c>
      <c r="D793">
        <v>2.88</v>
      </c>
      <c r="E793">
        <v>45300</v>
      </c>
      <c r="F793">
        <v>0</v>
      </c>
      <c r="G793">
        <v>45300000</v>
      </c>
      <c r="H793">
        <v>137</v>
      </c>
      <c r="I793">
        <v>1050</v>
      </c>
      <c r="J793" s="2">
        <f t="shared" si="32"/>
        <v>3024</v>
      </c>
      <c r="K793">
        <v>792</v>
      </c>
      <c r="L793" s="3">
        <f>SUM($I$2:$I793)</f>
        <v>6003750</v>
      </c>
      <c r="M793" s="3">
        <f>SUM($J$2:$J793)</f>
        <v>21991408.5</v>
      </c>
      <c r="N793" s="2">
        <f>SUM($D$2:$D793)</f>
        <v>4036.630000000001</v>
      </c>
      <c r="O793" s="2">
        <f t="shared" si="33"/>
        <v>0.24055653090096907</v>
      </c>
      <c r="P793" s="2" cm="1">
        <f t="array" ref="P793">SUMPRODUCT((O793&gt;$T$9:$T$14)*(O793&lt;=$U$9:$U$14),$S$9:$S$14)</f>
        <v>3</v>
      </c>
    </row>
    <row r="794" spans="1:16" x14ac:dyDescent="0.25">
      <c r="A794">
        <v>394</v>
      </c>
      <c r="B794">
        <v>1189</v>
      </c>
      <c r="C794">
        <v>556</v>
      </c>
      <c r="D794">
        <v>2.72</v>
      </c>
      <c r="E794">
        <v>25650</v>
      </c>
      <c r="F794">
        <v>1.2</v>
      </c>
      <c r="G794">
        <v>25650012</v>
      </c>
      <c r="H794">
        <v>26</v>
      </c>
      <c r="I794">
        <v>1050</v>
      </c>
      <c r="J794" s="2">
        <f t="shared" si="32"/>
        <v>2856</v>
      </c>
      <c r="K794">
        <v>793</v>
      </c>
      <c r="L794" s="3">
        <f>SUM($I$2:$I794)</f>
        <v>6004800</v>
      </c>
      <c r="M794" s="3">
        <f>SUM($J$2:$J794)</f>
        <v>21994264.5</v>
      </c>
      <c r="N794" s="2">
        <f>SUM($D$2:$D794)</f>
        <v>4039.3500000000008</v>
      </c>
      <c r="O794" s="2">
        <f t="shared" si="33"/>
        <v>0.24071862496558499</v>
      </c>
      <c r="P794" s="2" cm="1">
        <f t="array" ref="P794">SUMPRODUCT((O794&gt;$T$9:$T$14)*(O794&lt;=$U$9:$U$14),$S$9:$S$14)</f>
        <v>3</v>
      </c>
    </row>
    <row r="795" spans="1:16" x14ac:dyDescent="0.25">
      <c r="A795">
        <v>658</v>
      </c>
      <c r="B795">
        <v>1445</v>
      </c>
      <c r="C795">
        <v>890</v>
      </c>
      <c r="D795">
        <v>2.46</v>
      </c>
      <c r="E795">
        <v>17178</v>
      </c>
      <c r="F795">
        <v>0</v>
      </c>
      <c r="G795">
        <v>17178000</v>
      </c>
      <c r="H795">
        <v>11</v>
      </c>
      <c r="I795">
        <v>1050</v>
      </c>
      <c r="J795" s="2">
        <f t="shared" si="32"/>
        <v>2583</v>
      </c>
      <c r="K795">
        <v>794</v>
      </c>
      <c r="L795" s="3">
        <f>SUM($I$2:$I795)</f>
        <v>6005850</v>
      </c>
      <c r="M795" s="3">
        <f>SUM($J$2:$J795)</f>
        <v>21996847.5</v>
      </c>
      <c r="N795" s="2">
        <f>SUM($D$2:$D795)</f>
        <v>4041.8100000000009</v>
      </c>
      <c r="O795" s="2">
        <f t="shared" si="33"/>
        <v>0.24086522474461264</v>
      </c>
      <c r="P795" s="2" cm="1">
        <f t="array" ref="P795">SUMPRODUCT((O795&gt;$T$9:$T$14)*(O795&lt;=$U$9:$U$14),$S$9:$S$14)</f>
        <v>3</v>
      </c>
    </row>
    <row r="796" spans="1:16" x14ac:dyDescent="0.25">
      <c r="A796">
        <v>436</v>
      </c>
      <c r="B796">
        <v>1223</v>
      </c>
      <c r="C796">
        <v>606</v>
      </c>
      <c r="D796">
        <v>2.33</v>
      </c>
      <c r="E796">
        <v>18085</v>
      </c>
      <c r="F796">
        <v>10</v>
      </c>
      <c r="G796">
        <v>18085100</v>
      </c>
      <c r="H796">
        <v>11</v>
      </c>
      <c r="I796">
        <v>1050</v>
      </c>
      <c r="J796" s="2">
        <f t="shared" si="32"/>
        <v>2446.5</v>
      </c>
      <c r="K796">
        <v>795</v>
      </c>
      <c r="L796" s="3">
        <f>SUM($I$2:$I796)</f>
        <v>6006900</v>
      </c>
      <c r="M796" s="3">
        <f>SUM($J$2:$J796)</f>
        <v>21999294</v>
      </c>
      <c r="N796" s="2">
        <f>SUM($D$2:$D796)</f>
        <v>4044.1400000000008</v>
      </c>
      <c r="O796" s="2">
        <f t="shared" si="33"/>
        <v>0.24100407738084614</v>
      </c>
      <c r="P796" s="2" cm="1">
        <f t="array" ref="P796">SUMPRODUCT((O796&gt;$T$9:$T$14)*(O796&lt;=$U$9:$U$14),$S$9:$S$14)</f>
        <v>3</v>
      </c>
    </row>
    <row r="797" spans="1:16" x14ac:dyDescent="0.25">
      <c r="A797">
        <v>578</v>
      </c>
      <c r="B797">
        <v>1365</v>
      </c>
      <c r="C797">
        <v>789</v>
      </c>
      <c r="D797">
        <v>1.93</v>
      </c>
      <c r="E797">
        <v>23706</v>
      </c>
      <c r="F797">
        <v>4.9000000000000004</v>
      </c>
      <c r="G797">
        <v>23706049</v>
      </c>
      <c r="H797">
        <v>20</v>
      </c>
      <c r="I797">
        <v>1050</v>
      </c>
      <c r="J797" s="2">
        <f t="shared" si="32"/>
        <v>2026.5</v>
      </c>
      <c r="K797">
        <v>796</v>
      </c>
      <c r="L797" s="3">
        <f>SUM($I$2:$I797)</f>
        <v>6007950</v>
      </c>
      <c r="M797" s="3">
        <f>SUM($J$2:$J797)</f>
        <v>22001320.5</v>
      </c>
      <c r="N797" s="2">
        <f>SUM($D$2:$D797)</f>
        <v>4046.0700000000006</v>
      </c>
      <c r="O797" s="2">
        <f t="shared" si="33"/>
        <v>0.24111909265463613</v>
      </c>
      <c r="P797" s="2" cm="1">
        <f t="array" ref="P797">SUMPRODUCT((O797&gt;$T$9:$T$14)*(O797&lt;=$U$9:$U$14),$S$9:$S$14)</f>
        <v>3</v>
      </c>
    </row>
    <row r="798" spans="1:16" x14ac:dyDescent="0.25">
      <c r="A798">
        <v>1831</v>
      </c>
      <c r="B798">
        <v>1831</v>
      </c>
      <c r="C798">
        <v>42</v>
      </c>
      <c r="D798">
        <v>0.72</v>
      </c>
      <c r="E798">
        <v>12254</v>
      </c>
      <c r="F798">
        <v>0.8</v>
      </c>
      <c r="G798">
        <v>12254008</v>
      </c>
      <c r="H798">
        <v>3</v>
      </c>
      <c r="I798">
        <v>1050</v>
      </c>
      <c r="J798" s="2">
        <f t="shared" si="32"/>
        <v>756</v>
      </c>
      <c r="K798">
        <v>797</v>
      </c>
      <c r="L798" s="3">
        <f>SUM($I$2:$I798)</f>
        <v>6009000</v>
      </c>
      <c r="M798" s="3">
        <f>SUM($J$2:$J798)</f>
        <v>22002076.5</v>
      </c>
      <c r="N798" s="2">
        <f>SUM($D$2:$D798)</f>
        <v>4046.7900000000004</v>
      </c>
      <c r="O798" s="2">
        <f t="shared" si="33"/>
        <v>0.24116199990703446</v>
      </c>
      <c r="P798" s="2" cm="1">
        <f t="array" ref="P798">SUMPRODUCT((O798&gt;$T$9:$T$14)*(O798&lt;=$U$9:$U$14),$S$9:$S$14)</f>
        <v>3</v>
      </c>
    </row>
    <row r="799" spans="1:16" x14ac:dyDescent="0.25">
      <c r="A799">
        <v>948</v>
      </c>
      <c r="B799">
        <v>574</v>
      </c>
      <c r="C799">
        <v>232</v>
      </c>
      <c r="D799">
        <v>16</v>
      </c>
      <c r="E799">
        <v>17760</v>
      </c>
      <c r="F799">
        <v>1.1000000000000001</v>
      </c>
      <c r="G799">
        <v>17760011</v>
      </c>
      <c r="H799">
        <v>11</v>
      </c>
      <c r="I799">
        <v>1000</v>
      </c>
      <c r="J799" s="2">
        <f t="shared" si="32"/>
        <v>16000</v>
      </c>
      <c r="K799">
        <v>798</v>
      </c>
      <c r="L799" s="3">
        <f>SUM($I$2:$I799)</f>
        <v>6010000</v>
      </c>
      <c r="M799" s="3">
        <f>SUM($J$2:$J799)</f>
        <v>22018076.5</v>
      </c>
      <c r="N799" s="2">
        <f>SUM($D$2:$D799)</f>
        <v>4062.7900000000004</v>
      </c>
      <c r="O799" s="2">
        <f t="shared" si="33"/>
        <v>0.24211549440477526</v>
      </c>
      <c r="P799" s="2" cm="1">
        <f t="array" ref="P799">SUMPRODUCT((O799&gt;$T$9:$T$14)*(O799&lt;=$U$9:$U$14),$S$9:$S$14)</f>
        <v>3</v>
      </c>
    </row>
    <row r="800" spans="1:16" x14ac:dyDescent="0.25">
      <c r="A800">
        <v>475</v>
      </c>
      <c r="B800">
        <v>1262</v>
      </c>
      <c r="C800">
        <v>658</v>
      </c>
      <c r="D800">
        <v>13.74</v>
      </c>
      <c r="E800">
        <v>17420</v>
      </c>
      <c r="F800">
        <v>0</v>
      </c>
      <c r="G800">
        <v>17420000</v>
      </c>
      <c r="H800">
        <v>11</v>
      </c>
      <c r="I800">
        <v>1000</v>
      </c>
      <c r="J800" s="2">
        <f t="shared" si="32"/>
        <v>13740</v>
      </c>
      <c r="K800">
        <v>799</v>
      </c>
      <c r="L800" s="3">
        <f>SUM($I$2:$I800)</f>
        <v>6011000</v>
      </c>
      <c r="M800" s="3">
        <f>SUM($J$2:$J800)</f>
        <v>22031816.5</v>
      </c>
      <c r="N800" s="2">
        <f>SUM($D$2:$D800)</f>
        <v>4076.53</v>
      </c>
      <c r="O800" s="2">
        <f t="shared" si="33"/>
        <v>0.24293430780471018</v>
      </c>
      <c r="P800" s="2" cm="1">
        <f t="array" ref="P800">SUMPRODUCT((O800&gt;$T$9:$T$14)*(O800&lt;=$U$9:$U$14),$S$9:$S$14)</f>
        <v>3</v>
      </c>
    </row>
    <row r="801" spans="1:16" x14ac:dyDescent="0.25">
      <c r="A801">
        <v>787</v>
      </c>
      <c r="B801">
        <v>413</v>
      </c>
      <c r="C801">
        <v>12</v>
      </c>
      <c r="D801">
        <v>11.99</v>
      </c>
      <c r="E801">
        <v>13400</v>
      </c>
      <c r="F801">
        <v>8.3000000000000007</v>
      </c>
      <c r="G801">
        <v>13400083</v>
      </c>
      <c r="H801">
        <v>6</v>
      </c>
      <c r="I801">
        <v>1000</v>
      </c>
      <c r="J801" s="2">
        <f t="shared" si="32"/>
        <v>11990</v>
      </c>
      <c r="K801">
        <v>800</v>
      </c>
      <c r="L801" s="3">
        <f>SUM($I$2:$I801)</f>
        <v>6012000</v>
      </c>
      <c r="M801" s="3">
        <f>SUM($J$2:$J801)</f>
        <v>22043806.5</v>
      </c>
      <c r="N801" s="2">
        <f>SUM($D$2:$D801)</f>
        <v>4088.52</v>
      </c>
      <c r="O801" s="2">
        <f t="shared" si="33"/>
        <v>0.24364883274395469</v>
      </c>
      <c r="P801" s="2" cm="1">
        <f t="array" ref="P801">SUMPRODUCT((O801&gt;$T$9:$T$14)*(O801&lt;=$U$9:$U$14),$S$9:$S$14)</f>
        <v>3</v>
      </c>
    </row>
    <row r="802" spans="1:16" x14ac:dyDescent="0.25">
      <c r="A802">
        <v>920</v>
      </c>
      <c r="B802">
        <v>546</v>
      </c>
      <c r="C802">
        <v>194</v>
      </c>
      <c r="D802">
        <v>7.29</v>
      </c>
      <c r="E802">
        <v>17175</v>
      </c>
      <c r="F802">
        <v>0</v>
      </c>
      <c r="G802">
        <v>17175000</v>
      </c>
      <c r="H802">
        <v>11</v>
      </c>
      <c r="I802">
        <v>1000</v>
      </c>
      <c r="J802" s="2">
        <f t="shared" si="32"/>
        <v>7290</v>
      </c>
      <c r="K802">
        <v>801</v>
      </c>
      <c r="L802" s="3">
        <f>SUM($I$2:$I802)</f>
        <v>6013000</v>
      </c>
      <c r="M802" s="3">
        <f>SUM($J$2:$J802)</f>
        <v>22051096.5</v>
      </c>
      <c r="N802" s="2">
        <f>SUM($D$2:$D802)</f>
        <v>4095.81</v>
      </c>
      <c r="O802" s="2">
        <f t="shared" si="33"/>
        <v>0.24408326867448785</v>
      </c>
      <c r="P802" s="2" cm="1">
        <f t="array" ref="P802">SUMPRODUCT((O802&gt;$T$9:$T$14)*(O802&lt;=$U$9:$U$14),$S$9:$S$14)</f>
        <v>3</v>
      </c>
    </row>
    <row r="803" spans="1:16" x14ac:dyDescent="0.25">
      <c r="A803">
        <v>1316</v>
      </c>
      <c r="B803">
        <v>148</v>
      </c>
      <c r="C803">
        <v>1237</v>
      </c>
      <c r="D803">
        <v>1.59</v>
      </c>
      <c r="E803">
        <v>37010</v>
      </c>
      <c r="F803">
        <v>9.3000000000000007</v>
      </c>
      <c r="G803">
        <v>37010093</v>
      </c>
      <c r="H803">
        <v>77</v>
      </c>
      <c r="I803">
        <v>1000</v>
      </c>
      <c r="J803" s="2">
        <f t="shared" si="32"/>
        <v>1590</v>
      </c>
      <c r="K803">
        <v>802</v>
      </c>
      <c r="L803" s="3">
        <f>SUM($I$2:$I803)</f>
        <v>6014000</v>
      </c>
      <c r="M803" s="3">
        <f>SUM($J$2:$J803)</f>
        <v>22052686.5</v>
      </c>
      <c r="N803" s="2">
        <f>SUM($D$2:$D803)</f>
        <v>4097.3999999999996</v>
      </c>
      <c r="O803" s="2">
        <f t="shared" si="33"/>
        <v>0.24417802219020082</v>
      </c>
      <c r="P803" s="2" cm="1">
        <f t="array" ref="P803">SUMPRODUCT((O803&gt;$T$9:$T$14)*(O803&lt;=$U$9:$U$14),$S$9:$S$14)</f>
        <v>3</v>
      </c>
    </row>
    <row r="804" spans="1:16" x14ac:dyDescent="0.25">
      <c r="A804">
        <v>1477</v>
      </c>
      <c r="B804">
        <v>309</v>
      </c>
      <c r="C804">
        <v>1440</v>
      </c>
      <c r="D804">
        <v>1.59</v>
      </c>
      <c r="E804">
        <v>45714</v>
      </c>
      <c r="F804">
        <v>0</v>
      </c>
      <c r="G804">
        <v>45714000</v>
      </c>
      <c r="H804">
        <v>140</v>
      </c>
      <c r="I804">
        <v>1000</v>
      </c>
      <c r="J804" s="2">
        <f t="shared" si="32"/>
        <v>1590</v>
      </c>
      <c r="K804">
        <v>803</v>
      </c>
      <c r="L804" s="3">
        <f>SUM($I$2:$I804)</f>
        <v>6015000</v>
      </c>
      <c r="M804" s="3">
        <f>SUM($J$2:$J804)</f>
        <v>22054276.5</v>
      </c>
      <c r="N804" s="2">
        <f>SUM($D$2:$D804)</f>
        <v>4098.99</v>
      </c>
      <c r="O804" s="2">
        <f t="shared" si="33"/>
        <v>0.24427277570591382</v>
      </c>
      <c r="P804" s="2" cm="1">
        <f t="array" ref="P804">SUMPRODUCT((O804&gt;$T$9:$T$14)*(O804&lt;=$U$9:$U$14),$S$9:$S$14)</f>
        <v>3</v>
      </c>
    </row>
    <row r="805" spans="1:16" x14ac:dyDescent="0.25">
      <c r="A805">
        <v>907</v>
      </c>
      <c r="B805">
        <v>533</v>
      </c>
      <c r="C805">
        <v>174</v>
      </c>
      <c r="D805">
        <v>1.52</v>
      </c>
      <c r="E805">
        <v>14920</v>
      </c>
      <c r="F805">
        <v>0</v>
      </c>
      <c r="G805">
        <v>14920000</v>
      </c>
      <c r="H805" t="s">
        <v>8</v>
      </c>
      <c r="I805">
        <v>1000</v>
      </c>
      <c r="J805" s="2">
        <f t="shared" si="32"/>
        <v>1520</v>
      </c>
      <c r="K805">
        <v>804</v>
      </c>
      <c r="L805" s="3">
        <f>SUM($I$2:$I805)</f>
        <v>6016000</v>
      </c>
      <c r="M805" s="3">
        <f>SUM($J$2:$J805)</f>
        <v>22055796.5</v>
      </c>
      <c r="N805" s="2">
        <f>SUM($D$2:$D805)</f>
        <v>4100.51</v>
      </c>
      <c r="O805" s="2">
        <f t="shared" si="33"/>
        <v>0.24436335768319922</v>
      </c>
      <c r="P805" s="2" cm="1">
        <f t="array" ref="P805">SUMPRODUCT((O805&gt;$T$9:$T$14)*(O805&lt;=$U$9:$U$14),$S$9:$S$14)</f>
        <v>3</v>
      </c>
    </row>
    <row r="806" spans="1:16" x14ac:dyDescent="0.25">
      <c r="A806">
        <v>480</v>
      </c>
      <c r="B806">
        <v>1267</v>
      </c>
      <c r="C806">
        <v>664</v>
      </c>
      <c r="D806">
        <v>1.22</v>
      </c>
      <c r="E806">
        <v>14680</v>
      </c>
      <c r="F806">
        <v>0</v>
      </c>
      <c r="G806">
        <v>14680000</v>
      </c>
      <c r="H806">
        <v>7</v>
      </c>
      <c r="I806">
        <v>1000</v>
      </c>
      <c r="J806" s="2">
        <f t="shared" si="32"/>
        <v>1220</v>
      </c>
      <c r="K806">
        <v>805</v>
      </c>
      <c r="L806" s="3">
        <f>SUM($I$2:$I806)</f>
        <v>6017000</v>
      </c>
      <c r="M806" s="3">
        <f>SUM($J$2:$J806)</f>
        <v>22057016.5</v>
      </c>
      <c r="N806" s="2">
        <f>SUM($D$2:$D806)</f>
        <v>4101.7300000000005</v>
      </c>
      <c r="O806" s="2">
        <f t="shared" si="33"/>
        <v>0.24443606163865197</v>
      </c>
      <c r="P806" s="2" cm="1">
        <f t="array" ref="P806">SUMPRODUCT((O806&gt;$T$9:$T$14)*(O806&lt;=$U$9:$U$14),$S$9:$S$14)</f>
        <v>3</v>
      </c>
    </row>
    <row r="807" spans="1:16" x14ac:dyDescent="0.25">
      <c r="A807">
        <v>908</v>
      </c>
      <c r="B807">
        <v>534</v>
      </c>
      <c r="C807">
        <v>178</v>
      </c>
      <c r="D807">
        <v>0.51</v>
      </c>
      <c r="E807">
        <v>14946</v>
      </c>
      <c r="F807">
        <v>3.8</v>
      </c>
      <c r="G807">
        <v>14946038</v>
      </c>
      <c r="H807" t="s">
        <v>8</v>
      </c>
      <c r="I807">
        <v>1000</v>
      </c>
      <c r="J807" s="2">
        <f t="shared" si="32"/>
        <v>510</v>
      </c>
      <c r="K807">
        <v>806</v>
      </c>
      <c r="L807" s="3">
        <f>SUM($I$2:$I807)</f>
        <v>6018000</v>
      </c>
      <c r="M807" s="3">
        <f>SUM($J$2:$J807)</f>
        <v>22057526.5</v>
      </c>
      <c r="N807" s="2">
        <f>SUM($D$2:$D807)</f>
        <v>4102.2400000000007</v>
      </c>
      <c r="O807" s="2">
        <f t="shared" si="33"/>
        <v>0.24446645427576749</v>
      </c>
      <c r="P807" s="2" cm="1">
        <f t="array" ref="P807">SUMPRODUCT((O807&gt;$T$9:$T$14)*(O807&lt;=$U$9:$U$14),$S$9:$S$14)</f>
        <v>3</v>
      </c>
    </row>
    <row r="808" spans="1:16" x14ac:dyDescent="0.25">
      <c r="A808">
        <v>1200</v>
      </c>
      <c r="B808">
        <v>32</v>
      </c>
      <c r="C808">
        <v>1087</v>
      </c>
      <c r="D808">
        <v>0.49</v>
      </c>
      <c r="E808">
        <v>29206</v>
      </c>
      <c r="F808">
        <v>2.7</v>
      </c>
      <c r="G808">
        <v>29206027</v>
      </c>
      <c r="H808">
        <v>40</v>
      </c>
      <c r="I808">
        <v>1000</v>
      </c>
      <c r="J808" s="2">
        <f t="shared" si="32"/>
        <v>490</v>
      </c>
      <c r="K808">
        <v>807</v>
      </c>
      <c r="L808" s="3">
        <f>SUM($I$2:$I808)</f>
        <v>6019000</v>
      </c>
      <c r="M808" s="3">
        <f>SUM($J$2:$J808)</f>
        <v>22058016.5</v>
      </c>
      <c r="N808" s="2">
        <f>SUM($D$2:$D808)</f>
        <v>4102.7300000000005</v>
      </c>
      <c r="O808" s="2">
        <f t="shared" si="33"/>
        <v>0.24449565504476078</v>
      </c>
      <c r="P808" s="2" cm="1">
        <f t="array" ref="P808">SUMPRODUCT((O808&gt;$T$9:$T$14)*(O808&lt;=$U$9:$U$14),$S$9:$S$14)</f>
        <v>3</v>
      </c>
    </row>
    <row r="809" spans="1:16" x14ac:dyDescent="0.25">
      <c r="A809">
        <v>709</v>
      </c>
      <c r="B809">
        <v>1496</v>
      </c>
      <c r="C809">
        <v>953</v>
      </c>
      <c r="D809">
        <v>74.459999999999994</v>
      </c>
      <c r="E809">
        <v>21420</v>
      </c>
      <c r="F809">
        <v>18.5</v>
      </c>
      <c r="G809">
        <v>21420185</v>
      </c>
      <c r="H809">
        <v>17</v>
      </c>
      <c r="I809">
        <v>990</v>
      </c>
      <c r="J809" s="2">
        <f t="shared" si="32"/>
        <v>73715.399999999994</v>
      </c>
      <c r="K809">
        <v>808</v>
      </c>
      <c r="L809" s="3">
        <f>SUM($I$2:$I809)</f>
        <v>6019990</v>
      </c>
      <c r="M809" s="3">
        <f>SUM($J$2:$J809)</f>
        <v>22131731.899999999</v>
      </c>
      <c r="N809" s="2">
        <f>SUM($D$2:$D809)</f>
        <v>4177.1900000000005</v>
      </c>
      <c r="O809" s="2">
        <f t="shared" si="33"/>
        <v>0.24893298006362211</v>
      </c>
      <c r="P809" s="2" cm="1">
        <f t="array" ref="P809">SUMPRODUCT((O809&gt;$T$9:$T$14)*(O809&lt;=$U$9:$U$14),$S$9:$S$14)</f>
        <v>3</v>
      </c>
    </row>
    <row r="810" spans="1:16" x14ac:dyDescent="0.25">
      <c r="A810">
        <v>597</v>
      </c>
      <c r="B810">
        <v>1384</v>
      </c>
      <c r="C810">
        <v>817</v>
      </c>
      <c r="D810">
        <v>20.16</v>
      </c>
      <c r="E810">
        <v>17435</v>
      </c>
      <c r="F810">
        <v>0</v>
      </c>
      <c r="G810">
        <v>17435000</v>
      </c>
      <c r="H810">
        <v>11</v>
      </c>
      <c r="I810">
        <v>990</v>
      </c>
      <c r="J810" s="2">
        <f t="shared" si="32"/>
        <v>19958.400000000001</v>
      </c>
      <c r="K810">
        <v>809</v>
      </c>
      <c r="L810" s="3">
        <f>SUM($I$2:$I810)</f>
        <v>6020980</v>
      </c>
      <c r="M810" s="3">
        <f>SUM($J$2:$J810)</f>
        <v>22151690.299999997</v>
      </c>
      <c r="N810" s="2">
        <f>SUM($D$2:$D810)</f>
        <v>4197.3500000000004</v>
      </c>
      <c r="O810" s="2">
        <f t="shared" si="33"/>
        <v>0.25013438313077552</v>
      </c>
      <c r="P810" s="2" cm="1">
        <f t="array" ref="P810">SUMPRODUCT((O810&gt;$T$9:$T$14)*(O810&lt;=$U$9:$U$14),$S$9:$S$14)</f>
        <v>4</v>
      </c>
    </row>
    <row r="811" spans="1:16" x14ac:dyDescent="0.25">
      <c r="A811">
        <v>1128</v>
      </c>
      <c r="B811">
        <v>754</v>
      </c>
      <c r="C811">
        <v>468</v>
      </c>
      <c r="D811">
        <v>7.02</v>
      </c>
      <c r="E811">
        <v>21220</v>
      </c>
      <c r="F811">
        <v>0</v>
      </c>
      <c r="G811">
        <v>21220000</v>
      </c>
      <c r="H811">
        <v>17</v>
      </c>
      <c r="I811">
        <v>990</v>
      </c>
      <c r="J811" s="2">
        <f t="shared" si="32"/>
        <v>6949.7999999999993</v>
      </c>
      <c r="K811">
        <v>810</v>
      </c>
      <c r="L811" s="3">
        <f>SUM($I$2:$I811)</f>
        <v>6021970</v>
      </c>
      <c r="M811" s="3">
        <f>SUM($J$2:$J811)</f>
        <v>22158640.099999998</v>
      </c>
      <c r="N811" s="2">
        <f>SUM($D$2:$D811)</f>
        <v>4204.3700000000008</v>
      </c>
      <c r="O811" s="2">
        <f t="shared" si="33"/>
        <v>0.2505527288416593</v>
      </c>
      <c r="P811" s="2" cm="1">
        <f t="array" ref="P811">SUMPRODUCT((O811&gt;$T$9:$T$14)*(O811&lt;=$U$9:$U$14),$S$9:$S$14)</f>
        <v>4</v>
      </c>
    </row>
    <row r="812" spans="1:16" x14ac:dyDescent="0.25">
      <c r="A812">
        <v>493</v>
      </c>
      <c r="B812">
        <v>1280</v>
      </c>
      <c r="C812">
        <v>680</v>
      </c>
      <c r="D812">
        <v>4.08</v>
      </c>
      <c r="E812">
        <v>14655</v>
      </c>
      <c r="F812">
        <v>0</v>
      </c>
      <c r="G812">
        <v>14655000</v>
      </c>
      <c r="H812">
        <v>7</v>
      </c>
      <c r="I812">
        <v>990</v>
      </c>
      <c r="J812" s="2">
        <f t="shared" si="32"/>
        <v>4039.2000000000003</v>
      </c>
      <c r="K812">
        <v>811</v>
      </c>
      <c r="L812" s="3">
        <f>SUM($I$2:$I812)</f>
        <v>6022960</v>
      </c>
      <c r="M812" s="3">
        <f>SUM($J$2:$J812)</f>
        <v>22162679.299999997</v>
      </c>
      <c r="N812" s="2">
        <f>SUM($D$2:$D812)</f>
        <v>4208.4500000000007</v>
      </c>
      <c r="O812" s="2">
        <f t="shared" si="33"/>
        <v>0.25079586993858322</v>
      </c>
      <c r="P812" s="2" cm="1">
        <f t="array" ref="P812">SUMPRODUCT((O812&gt;$T$9:$T$14)*(O812&lt;=$U$9:$U$14),$S$9:$S$14)</f>
        <v>4</v>
      </c>
    </row>
    <row r="813" spans="1:16" x14ac:dyDescent="0.25">
      <c r="A813">
        <v>1445</v>
      </c>
      <c r="B813">
        <v>277</v>
      </c>
      <c r="C813">
        <v>1400</v>
      </c>
      <c r="D813">
        <v>0.4</v>
      </c>
      <c r="E813">
        <v>49810</v>
      </c>
      <c r="F813">
        <v>0</v>
      </c>
      <c r="G813">
        <v>49810000</v>
      </c>
      <c r="H813">
        <v>420</v>
      </c>
      <c r="I813">
        <v>990</v>
      </c>
      <c r="J813" s="2">
        <f t="shared" si="32"/>
        <v>396</v>
      </c>
      <c r="K813">
        <v>812</v>
      </c>
      <c r="L813" s="3">
        <f>SUM($I$2:$I813)</f>
        <v>6023950</v>
      </c>
      <c r="M813" s="3">
        <f>SUM($J$2:$J813)</f>
        <v>22163075.299999997</v>
      </c>
      <c r="N813" s="2">
        <f>SUM($D$2:$D813)</f>
        <v>4208.8500000000004</v>
      </c>
      <c r="O813" s="2">
        <f t="shared" si="33"/>
        <v>0.25081970730102671</v>
      </c>
      <c r="P813" s="2" cm="1">
        <f t="array" ref="P813">SUMPRODUCT((O813&gt;$T$9:$T$14)*(O813&lt;=$U$9:$U$14),$S$9:$S$14)</f>
        <v>4</v>
      </c>
    </row>
    <row r="814" spans="1:16" x14ac:dyDescent="0.25">
      <c r="A814">
        <v>1091</v>
      </c>
      <c r="B814">
        <v>717</v>
      </c>
      <c r="C814">
        <v>418</v>
      </c>
      <c r="D814">
        <v>9.1999999999999993</v>
      </c>
      <c r="E814">
        <v>20791</v>
      </c>
      <c r="F814">
        <v>0</v>
      </c>
      <c r="G814">
        <v>20791000</v>
      </c>
      <c r="H814">
        <v>17</v>
      </c>
      <c r="I814">
        <v>980</v>
      </c>
      <c r="J814" s="2">
        <f t="shared" si="32"/>
        <v>9016</v>
      </c>
      <c r="K814">
        <v>813</v>
      </c>
      <c r="L814" s="3">
        <f>SUM($I$2:$I814)</f>
        <v>6024930</v>
      </c>
      <c r="M814" s="3">
        <f>SUM($J$2:$J814)</f>
        <v>22172091.299999997</v>
      </c>
      <c r="N814" s="2">
        <f>SUM($D$2:$D814)</f>
        <v>4218.05</v>
      </c>
      <c r="O814" s="2">
        <f t="shared" si="33"/>
        <v>0.25136796663722766</v>
      </c>
      <c r="P814" s="2" cm="1">
        <f t="array" ref="P814">SUMPRODUCT((O814&gt;$T$9:$T$14)*(O814&lt;=$U$9:$U$14),$S$9:$S$14)</f>
        <v>4</v>
      </c>
    </row>
    <row r="815" spans="1:16" x14ac:dyDescent="0.25">
      <c r="A815">
        <v>1291</v>
      </c>
      <c r="B815">
        <v>123</v>
      </c>
      <c r="C815">
        <v>1208</v>
      </c>
      <c r="D815">
        <v>7.94</v>
      </c>
      <c r="E815">
        <v>40620</v>
      </c>
      <c r="F815">
        <v>0.2</v>
      </c>
      <c r="G815">
        <v>40620002</v>
      </c>
      <c r="H815">
        <v>102</v>
      </c>
      <c r="I815">
        <v>980</v>
      </c>
      <c r="J815" s="2">
        <f t="shared" si="32"/>
        <v>7781.2000000000007</v>
      </c>
      <c r="K815">
        <v>814</v>
      </c>
      <c r="L815" s="3">
        <f>SUM($I$2:$I815)</f>
        <v>6025910</v>
      </c>
      <c r="M815" s="3">
        <f>SUM($J$2:$J815)</f>
        <v>22179872.499999996</v>
      </c>
      <c r="N815" s="2">
        <f>SUM($D$2:$D815)</f>
        <v>4225.99</v>
      </c>
      <c r="O815" s="2">
        <f t="shared" si="33"/>
        <v>0.25184113828173155</v>
      </c>
      <c r="P815" s="2" cm="1">
        <f t="array" ref="P815">SUMPRODUCT((O815&gt;$T$9:$T$14)*(O815&lt;=$U$9:$U$14),$S$9:$S$14)</f>
        <v>4</v>
      </c>
    </row>
    <row r="816" spans="1:16" x14ac:dyDescent="0.25">
      <c r="A816">
        <v>815</v>
      </c>
      <c r="B816">
        <v>441</v>
      </c>
      <c r="C816">
        <v>50</v>
      </c>
      <c r="D816">
        <v>3.31</v>
      </c>
      <c r="E816">
        <v>12209</v>
      </c>
      <c r="F816">
        <v>0</v>
      </c>
      <c r="G816">
        <v>12209000</v>
      </c>
      <c r="H816">
        <v>3</v>
      </c>
      <c r="I816">
        <v>980</v>
      </c>
      <c r="J816" s="2">
        <f t="shared" si="32"/>
        <v>3243.8</v>
      </c>
      <c r="K816">
        <v>815</v>
      </c>
      <c r="L816" s="3">
        <f>SUM($I$2:$I816)</f>
        <v>6026890</v>
      </c>
      <c r="M816" s="3">
        <f>SUM($J$2:$J816)</f>
        <v>22183116.299999997</v>
      </c>
      <c r="N816" s="2">
        <f>SUM($D$2:$D816)</f>
        <v>4229.3</v>
      </c>
      <c r="O816" s="2">
        <f t="shared" si="33"/>
        <v>0.25203839245595172</v>
      </c>
      <c r="P816" s="2" cm="1">
        <f t="array" ref="P816">SUMPRODUCT((O816&gt;$T$9:$T$14)*(O816&lt;=$U$9:$U$14),$S$9:$S$14)</f>
        <v>4</v>
      </c>
    </row>
    <row r="817" spans="1:16" x14ac:dyDescent="0.25">
      <c r="A817">
        <v>32</v>
      </c>
      <c r="B817">
        <v>828</v>
      </c>
      <c r="C817">
        <v>1582</v>
      </c>
      <c r="D817">
        <v>2.9</v>
      </c>
      <c r="E817">
        <v>48010</v>
      </c>
      <c r="F817">
        <v>0</v>
      </c>
      <c r="G817">
        <v>48010000</v>
      </c>
      <c r="H817">
        <v>401</v>
      </c>
      <c r="I817">
        <v>980</v>
      </c>
      <c r="J817" s="2">
        <f t="shared" si="32"/>
        <v>2842</v>
      </c>
      <c r="K817">
        <v>816</v>
      </c>
      <c r="L817" s="3">
        <f>SUM($I$2:$I817)</f>
        <v>6027870</v>
      </c>
      <c r="M817" s="3">
        <f>SUM($J$2:$J817)</f>
        <v>22185958.299999997</v>
      </c>
      <c r="N817" s="2">
        <f>SUM($D$2:$D817)</f>
        <v>4232.2</v>
      </c>
      <c r="O817" s="2">
        <f t="shared" si="33"/>
        <v>0.25221121333366719</v>
      </c>
      <c r="P817" s="2" cm="1">
        <f t="array" ref="P817">SUMPRODUCT((O817&gt;$T$9:$T$14)*(O817&lt;=$U$9:$U$14),$S$9:$S$14)</f>
        <v>4</v>
      </c>
    </row>
    <row r="818" spans="1:16" x14ac:dyDescent="0.25">
      <c r="A818">
        <v>1412</v>
      </c>
      <c r="B818">
        <v>244</v>
      </c>
      <c r="C818">
        <v>1365</v>
      </c>
      <c r="D818">
        <v>2.85</v>
      </c>
      <c r="E818">
        <v>47016</v>
      </c>
      <c r="F818">
        <v>0</v>
      </c>
      <c r="G818">
        <v>47016000</v>
      </c>
      <c r="H818">
        <v>400</v>
      </c>
      <c r="I818">
        <v>980</v>
      </c>
      <c r="J818" s="2">
        <f t="shared" si="32"/>
        <v>2793</v>
      </c>
      <c r="K818">
        <v>817</v>
      </c>
      <c r="L818" s="3">
        <f>SUM($I$2:$I818)</f>
        <v>6028850</v>
      </c>
      <c r="M818" s="3">
        <f>SUM($J$2:$J818)</f>
        <v>22188751.299999997</v>
      </c>
      <c r="N818" s="2">
        <f>SUM($D$2:$D818)</f>
        <v>4235.05</v>
      </c>
      <c r="O818" s="2">
        <f t="shared" si="33"/>
        <v>0.25238105454107729</v>
      </c>
      <c r="P818" s="2" cm="1">
        <f t="array" ref="P818">SUMPRODUCT((O818&gt;$T$9:$T$14)*(O818&lt;=$U$9:$U$14),$S$9:$S$14)</f>
        <v>4</v>
      </c>
    </row>
    <row r="819" spans="1:16" x14ac:dyDescent="0.25">
      <c r="A819">
        <v>499</v>
      </c>
      <c r="B819">
        <v>1286</v>
      </c>
      <c r="C819">
        <v>686</v>
      </c>
      <c r="D819">
        <v>2.4900000000000002</v>
      </c>
      <c r="E819">
        <v>17190</v>
      </c>
      <c r="F819">
        <v>0</v>
      </c>
      <c r="G819">
        <v>17190000</v>
      </c>
      <c r="H819">
        <v>11</v>
      </c>
      <c r="I819">
        <v>980</v>
      </c>
      <c r="J819" s="2">
        <f t="shared" si="32"/>
        <v>2440.2000000000003</v>
      </c>
      <c r="K819">
        <v>818</v>
      </c>
      <c r="L819" s="3">
        <f>SUM($I$2:$I819)</f>
        <v>6029830</v>
      </c>
      <c r="M819" s="3">
        <f>SUM($J$2:$J819)</f>
        <v>22191191.499999996</v>
      </c>
      <c r="N819" s="2">
        <f>SUM($D$2:$D819)</f>
        <v>4237.54</v>
      </c>
      <c r="O819" s="2">
        <f t="shared" si="33"/>
        <v>0.25252944212228817</v>
      </c>
      <c r="P819" s="2" cm="1">
        <f t="array" ref="P819">SUMPRODUCT((O819&gt;$T$9:$T$14)*(O819&lt;=$U$9:$U$14),$S$9:$S$14)</f>
        <v>4</v>
      </c>
    </row>
    <row r="820" spans="1:16" x14ac:dyDescent="0.25">
      <c r="A820">
        <v>793</v>
      </c>
      <c r="B820">
        <v>419</v>
      </c>
      <c r="C820">
        <v>20</v>
      </c>
      <c r="D820">
        <v>0.5</v>
      </c>
      <c r="E820">
        <v>13135</v>
      </c>
      <c r="F820">
        <v>1.2</v>
      </c>
      <c r="G820">
        <v>13135012</v>
      </c>
      <c r="H820">
        <v>5</v>
      </c>
      <c r="I820">
        <v>980</v>
      </c>
      <c r="J820" s="2">
        <f t="shared" si="32"/>
        <v>490</v>
      </c>
      <c r="K820">
        <v>819</v>
      </c>
      <c r="L820" s="3">
        <f>SUM($I$2:$I820)</f>
        <v>6030810</v>
      </c>
      <c r="M820" s="3">
        <f>SUM($J$2:$J820)</f>
        <v>22191681.499999996</v>
      </c>
      <c r="N820" s="2">
        <f>SUM($D$2:$D820)</f>
        <v>4238.04</v>
      </c>
      <c r="O820" s="2">
        <f t="shared" si="33"/>
        <v>0.25255923882534259</v>
      </c>
      <c r="P820" s="2" cm="1">
        <f t="array" ref="P820">SUMPRODUCT((O820&gt;$T$9:$T$14)*(O820&lt;=$U$9:$U$14),$S$9:$S$14)</f>
        <v>4</v>
      </c>
    </row>
    <row r="821" spans="1:16" x14ac:dyDescent="0.25">
      <c r="A821">
        <v>33</v>
      </c>
      <c r="B821">
        <v>829</v>
      </c>
      <c r="C821">
        <v>2259</v>
      </c>
      <c r="D821">
        <v>0.05</v>
      </c>
      <c r="E821">
        <v>48010</v>
      </c>
      <c r="F821">
        <v>0</v>
      </c>
      <c r="G821">
        <v>48010000</v>
      </c>
      <c r="H821">
        <v>401</v>
      </c>
      <c r="I821">
        <v>980</v>
      </c>
      <c r="J821" s="2">
        <f t="shared" si="32"/>
        <v>49</v>
      </c>
      <c r="K821">
        <v>820</v>
      </c>
      <c r="L821" s="3">
        <f>SUM($I$2:$I821)</f>
        <v>6031790</v>
      </c>
      <c r="M821" s="3">
        <f>SUM($J$2:$J821)</f>
        <v>22191730.499999996</v>
      </c>
      <c r="N821" s="2">
        <f>SUM($D$2:$D821)</f>
        <v>4238.09</v>
      </c>
      <c r="O821" s="2">
        <f t="shared" si="33"/>
        <v>0.25256221849564803</v>
      </c>
      <c r="P821" s="2" cm="1">
        <f t="array" ref="P821">SUMPRODUCT((O821&gt;$T$9:$T$14)*(O821&lt;=$U$9:$U$14),$S$9:$S$14)</f>
        <v>4</v>
      </c>
    </row>
    <row r="822" spans="1:16" x14ac:dyDescent="0.25">
      <c r="A822">
        <v>1075</v>
      </c>
      <c r="B822">
        <v>701</v>
      </c>
      <c r="C822">
        <v>395</v>
      </c>
      <c r="D822">
        <v>89.87</v>
      </c>
      <c r="E822">
        <v>21470</v>
      </c>
      <c r="F822">
        <v>0</v>
      </c>
      <c r="G822">
        <v>21470000</v>
      </c>
      <c r="H822">
        <v>17</v>
      </c>
      <c r="I822">
        <v>970</v>
      </c>
      <c r="J822" s="2">
        <f t="shared" si="32"/>
        <v>87173.900000000009</v>
      </c>
      <c r="K822">
        <v>821</v>
      </c>
      <c r="L822" s="3">
        <f>SUM($I$2:$I822)</f>
        <v>6032760</v>
      </c>
      <c r="M822" s="3">
        <f>SUM($J$2:$J822)</f>
        <v>22278904.399999995</v>
      </c>
      <c r="N822" s="2">
        <f>SUM($D$2:$D822)</f>
        <v>4327.96</v>
      </c>
      <c r="O822" s="2">
        <f t="shared" si="33"/>
        <v>0.25791787790264598</v>
      </c>
      <c r="P822" s="2" cm="1">
        <f t="array" ref="P822">SUMPRODUCT((O822&gt;$T$9:$T$14)*(O822&lt;=$U$9:$U$14),$S$9:$S$14)</f>
        <v>4</v>
      </c>
    </row>
    <row r="823" spans="1:16" x14ac:dyDescent="0.25">
      <c r="A823">
        <v>516</v>
      </c>
      <c r="B823">
        <v>1303</v>
      </c>
      <c r="C823">
        <v>714</v>
      </c>
      <c r="D823">
        <v>16</v>
      </c>
      <c r="E823">
        <v>20870</v>
      </c>
      <c r="F823">
        <v>2.2999999999999998</v>
      </c>
      <c r="G823">
        <v>20870023</v>
      </c>
      <c r="H823">
        <v>17</v>
      </c>
      <c r="I823">
        <v>970</v>
      </c>
      <c r="J823" s="2">
        <f t="shared" si="32"/>
        <v>15520</v>
      </c>
      <c r="K823">
        <v>822</v>
      </c>
      <c r="L823" s="3">
        <f>SUM($I$2:$I823)</f>
        <v>6033730</v>
      </c>
      <c r="M823" s="3">
        <f>SUM($J$2:$J823)</f>
        <v>22294424.399999995</v>
      </c>
      <c r="N823" s="2">
        <f>SUM($D$2:$D823)</f>
        <v>4343.96</v>
      </c>
      <c r="O823" s="2">
        <f t="shared" si="33"/>
        <v>0.25887137240038682</v>
      </c>
      <c r="P823" s="2" cm="1">
        <f t="array" ref="P823">SUMPRODUCT((O823&gt;$T$9:$T$14)*(O823&lt;=$U$9:$U$14),$S$9:$S$14)</f>
        <v>4</v>
      </c>
    </row>
    <row r="824" spans="1:16" x14ac:dyDescent="0.25">
      <c r="A824">
        <v>1290</v>
      </c>
      <c r="B824">
        <v>122</v>
      </c>
      <c r="C824">
        <v>1207</v>
      </c>
      <c r="D824">
        <v>12.26</v>
      </c>
      <c r="E824">
        <v>38635</v>
      </c>
      <c r="F824">
        <v>0</v>
      </c>
      <c r="G824">
        <v>38635000</v>
      </c>
      <c r="H824">
        <v>89</v>
      </c>
      <c r="I824">
        <v>970</v>
      </c>
      <c r="J824" s="2">
        <f t="shared" si="32"/>
        <v>11892.199999999999</v>
      </c>
      <c r="K824">
        <v>823</v>
      </c>
      <c r="L824" s="3">
        <f>SUM($I$2:$I824)</f>
        <v>6034700</v>
      </c>
      <c r="M824" s="3">
        <f>SUM($J$2:$J824)</f>
        <v>22306316.599999994</v>
      </c>
      <c r="N824" s="2">
        <f>SUM($D$2:$D824)</f>
        <v>4356.22</v>
      </c>
      <c r="O824" s="2">
        <f t="shared" si="33"/>
        <v>0.25960198755928071</v>
      </c>
      <c r="P824" s="2" cm="1">
        <f t="array" ref="P824">SUMPRODUCT((O824&gt;$T$9:$T$14)*(O824&lt;=$U$9:$U$14),$S$9:$S$14)</f>
        <v>4</v>
      </c>
    </row>
    <row r="825" spans="1:16" x14ac:dyDescent="0.25">
      <c r="A825">
        <v>719</v>
      </c>
      <c r="B825">
        <v>1506</v>
      </c>
      <c r="C825">
        <v>966</v>
      </c>
      <c r="D825">
        <v>11.1</v>
      </c>
      <c r="E825">
        <v>13620</v>
      </c>
      <c r="F825">
        <v>3</v>
      </c>
      <c r="G825">
        <v>13620030</v>
      </c>
      <c r="H825">
        <v>6</v>
      </c>
      <c r="I825">
        <v>970</v>
      </c>
      <c r="J825" s="2">
        <f t="shared" si="32"/>
        <v>10767</v>
      </c>
      <c r="K825">
        <v>824</v>
      </c>
      <c r="L825" s="3">
        <f>SUM($I$2:$I825)</f>
        <v>6035670</v>
      </c>
      <c r="M825" s="3">
        <f>SUM($J$2:$J825)</f>
        <v>22317083.599999994</v>
      </c>
      <c r="N825" s="2">
        <f>SUM($D$2:$D825)</f>
        <v>4367.3200000000006</v>
      </c>
      <c r="O825" s="2">
        <f t="shared" si="33"/>
        <v>0.26026347436708841</v>
      </c>
      <c r="P825" s="2" cm="1">
        <f t="array" ref="P825">SUMPRODUCT((O825&gt;$T$9:$T$14)*(O825&lt;=$U$9:$U$14),$S$9:$S$14)</f>
        <v>4</v>
      </c>
    </row>
    <row r="826" spans="1:16" x14ac:dyDescent="0.25">
      <c r="A826">
        <v>1215</v>
      </c>
      <c r="B826">
        <v>47</v>
      </c>
      <c r="C826">
        <v>1105</v>
      </c>
      <c r="D826">
        <v>3.75</v>
      </c>
      <c r="E826">
        <v>28540</v>
      </c>
      <c r="F826">
        <v>0.6</v>
      </c>
      <c r="G826">
        <v>28540006</v>
      </c>
      <c r="H826">
        <v>37</v>
      </c>
      <c r="I826">
        <v>970</v>
      </c>
      <c r="J826" s="2">
        <f t="shared" si="32"/>
        <v>3637.5</v>
      </c>
      <c r="K826">
        <v>825</v>
      </c>
      <c r="L826" s="3">
        <f>SUM($I$2:$I826)</f>
        <v>6036640</v>
      </c>
      <c r="M826" s="3">
        <f>SUM($J$2:$J826)</f>
        <v>22320721.099999994</v>
      </c>
      <c r="N826" s="2">
        <f>SUM($D$2:$D826)</f>
        <v>4371.0700000000006</v>
      </c>
      <c r="O826" s="2">
        <f t="shared" si="33"/>
        <v>0.26048694963999641</v>
      </c>
      <c r="P826" s="2" cm="1">
        <f t="array" ref="P826">SUMPRODUCT((O826&gt;$T$9:$T$14)*(O826&lt;=$U$9:$U$14),$S$9:$S$14)</f>
        <v>4</v>
      </c>
    </row>
    <row r="827" spans="1:16" x14ac:dyDescent="0.25">
      <c r="A827">
        <v>930</v>
      </c>
      <c r="B827">
        <v>556</v>
      </c>
      <c r="C827">
        <v>206</v>
      </c>
      <c r="D827">
        <v>11.88</v>
      </c>
      <c r="E827">
        <v>19420</v>
      </c>
      <c r="F827">
        <v>0</v>
      </c>
      <c r="G827">
        <v>19420000</v>
      </c>
      <c r="H827">
        <v>12</v>
      </c>
      <c r="I827">
        <v>960</v>
      </c>
      <c r="J827" s="2">
        <f t="shared" si="32"/>
        <v>11404.800000000001</v>
      </c>
      <c r="K827">
        <v>826</v>
      </c>
      <c r="L827" s="3">
        <f>SUM($I$2:$I827)</f>
        <v>6037600</v>
      </c>
      <c r="M827" s="3">
        <f>SUM($J$2:$J827)</f>
        <v>22332125.899999995</v>
      </c>
      <c r="N827" s="2">
        <f>SUM($D$2:$D827)</f>
        <v>4382.9500000000007</v>
      </c>
      <c r="O827" s="2">
        <f t="shared" si="33"/>
        <v>0.26119491930456901</v>
      </c>
      <c r="P827" s="2" cm="1">
        <f t="array" ref="P827">SUMPRODUCT((O827&gt;$T$9:$T$14)*(O827&lt;=$U$9:$U$14),$S$9:$S$14)</f>
        <v>4</v>
      </c>
    </row>
    <row r="828" spans="1:16" x14ac:dyDescent="0.25">
      <c r="A828">
        <v>922</v>
      </c>
      <c r="B828">
        <v>548</v>
      </c>
      <c r="C828">
        <v>197</v>
      </c>
      <c r="D828">
        <v>6.31</v>
      </c>
      <c r="E828">
        <v>14660</v>
      </c>
      <c r="F828">
        <v>0</v>
      </c>
      <c r="G828">
        <v>14660000</v>
      </c>
      <c r="H828">
        <v>7</v>
      </c>
      <c r="I828">
        <v>960</v>
      </c>
      <c r="J828" s="2">
        <f t="shared" si="32"/>
        <v>6057.5999999999995</v>
      </c>
      <c r="K828">
        <v>827</v>
      </c>
      <c r="L828" s="3">
        <f>SUM($I$2:$I828)</f>
        <v>6038560</v>
      </c>
      <c r="M828" s="3">
        <f>SUM($J$2:$J828)</f>
        <v>22338183.499999996</v>
      </c>
      <c r="N828" s="2">
        <f>SUM($D$2:$D828)</f>
        <v>4389.2600000000011</v>
      </c>
      <c r="O828" s="2">
        <f t="shared" si="33"/>
        <v>0.26157095369711553</v>
      </c>
      <c r="P828" s="2" cm="1">
        <f t="array" ref="P828">SUMPRODUCT((O828&gt;$T$9:$T$14)*(O828&lt;=$U$9:$U$14),$S$9:$S$14)</f>
        <v>4</v>
      </c>
    </row>
    <row r="829" spans="1:16" x14ac:dyDescent="0.25">
      <c r="A829">
        <v>1048</v>
      </c>
      <c r="B829">
        <v>674</v>
      </c>
      <c r="C829">
        <v>361</v>
      </c>
      <c r="D829">
        <v>6.14</v>
      </c>
      <c r="E829">
        <v>80655</v>
      </c>
      <c r="F829">
        <v>0</v>
      </c>
      <c r="G829">
        <v>80655000</v>
      </c>
      <c r="H829">
        <v>7148</v>
      </c>
      <c r="I829">
        <v>950</v>
      </c>
      <c r="J829" s="2">
        <f t="shared" si="32"/>
        <v>5833</v>
      </c>
      <c r="K829">
        <v>828</v>
      </c>
      <c r="L829" s="3">
        <f>SUM($I$2:$I829)</f>
        <v>6039510</v>
      </c>
      <c r="M829" s="3">
        <f>SUM($J$2:$J829)</f>
        <v>22344016.499999996</v>
      </c>
      <c r="N829" s="2">
        <f>SUM($D$2:$D829)</f>
        <v>4395.4000000000015</v>
      </c>
      <c r="O829" s="2">
        <f t="shared" si="33"/>
        <v>0.2619368572106236</v>
      </c>
      <c r="P829" s="2" cm="1">
        <f t="array" ref="P829">SUMPRODUCT((O829&gt;$T$9:$T$14)*(O829&lt;=$U$9:$U$14),$S$9:$S$14)</f>
        <v>4</v>
      </c>
    </row>
    <row r="830" spans="1:16" x14ac:dyDescent="0.25">
      <c r="A830">
        <v>1513</v>
      </c>
      <c r="B830">
        <v>345</v>
      </c>
      <c r="C830">
        <v>536</v>
      </c>
      <c r="D830">
        <v>4.99</v>
      </c>
      <c r="E830">
        <v>14655</v>
      </c>
      <c r="F830">
        <v>4</v>
      </c>
      <c r="G830">
        <v>14655040</v>
      </c>
      <c r="H830">
        <v>7</v>
      </c>
      <c r="I830">
        <v>950</v>
      </c>
      <c r="J830" s="2">
        <f t="shared" si="32"/>
        <v>4740.5</v>
      </c>
      <c r="K830">
        <v>829</v>
      </c>
      <c r="L830" s="3">
        <f>SUM($I$2:$I830)</f>
        <v>6040460</v>
      </c>
      <c r="M830" s="3">
        <f>SUM($J$2:$J830)</f>
        <v>22348756.999999996</v>
      </c>
      <c r="N830" s="2">
        <f>SUM($D$2:$D830)</f>
        <v>4400.3900000000012</v>
      </c>
      <c r="O830" s="2">
        <f t="shared" si="33"/>
        <v>0.26223422830710652</v>
      </c>
      <c r="P830" s="2" cm="1">
        <f t="array" ref="P830">SUMPRODUCT((O830&gt;$T$9:$T$14)*(O830&lt;=$U$9:$U$14),$S$9:$S$14)</f>
        <v>4</v>
      </c>
    </row>
    <row r="831" spans="1:16" x14ac:dyDescent="0.25">
      <c r="A831">
        <v>876</v>
      </c>
      <c r="B831">
        <v>502</v>
      </c>
      <c r="C831">
        <v>129</v>
      </c>
      <c r="D831">
        <v>3.14</v>
      </c>
      <c r="E831">
        <v>11720</v>
      </c>
      <c r="F831">
        <v>8.4</v>
      </c>
      <c r="G831">
        <v>11720084</v>
      </c>
      <c r="H831">
        <v>3</v>
      </c>
      <c r="I831">
        <v>950</v>
      </c>
      <c r="J831" s="2">
        <f t="shared" si="32"/>
        <v>2983</v>
      </c>
      <c r="K831">
        <v>830</v>
      </c>
      <c r="L831" s="3">
        <f>SUM($I$2:$I831)</f>
        <v>6041410</v>
      </c>
      <c r="M831" s="3">
        <f>SUM($J$2:$J831)</f>
        <v>22351739.999999996</v>
      </c>
      <c r="N831" s="2">
        <f>SUM($D$2:$D831)</f>
        <v>4403.5300000000016</v>
      </c>
      <c r="O831" s="2">
        <f t="shared" si="33"/>
        <v>0.26242135160228813</v>
      </c>
      <c r="P831" s="2" cm="1">
        <f t="array" ref="P831">SUMPRODUCT((O831&gt;$T$9:$T$14)*(O831&lt;=$U$9:$U$14),$S$9:$S$14)</f>
        <v>4</v>
      </c>
    </row>
    <row r="832" spans="1:16" x14ac:dyDescent="0.25">
      <c r="A832">
        <v>768</v>
      </c>
      <c r="B832">
        <v>1555</v>
      </c>
      <c r="C832">
        <v>1024</v>
      </c>
      <c r="D832">
        <v>0.99</v>
      </c>
      <c r="E832">
        <v>32740</v>
      </c>
      <c r="F832">
        <v>3.3</v>
      </c>
      <c r="G832">
        <v>32740033</v>
      </c>
      <c r="H832">
        <v>58</v>
      </c>
      <c r="I832">
        <v>950</v>
      </c>
      <c r="J832" s="2">
        <f t="shared" si="32"/>
        <v>940.5</v>
      </c>
      <c r="K832">
        <v>831</v>
      </c>
      <c r="L832" s="3">
        <f>SUM($I$2:$I832)</f>
        <v>6042360</v>
      </c>
      <c r="M832" s="3">
        <f>SUM($J$2:$J832)</f>
        <v>22352680.499999996</v>
      </c>
      <c r="N832" s="2">
        <f>SUM($D$2:$D832)</f>
        <v>4404.5200000000013</v>
      </c>
      <c r="O832" s="2">
        <f t="shared" si="33"/>
        <v>0.26248034907433587</v>
      </c>
      <c r="P832" s="2" cm="1">
        <f t="array" ref="P832">SUMPRODUCT((O832&gt;$T$9:$T$14)*(O832&lt;=$U$9:$U$14),$S$9:$S$14)</f>
        <v>4</v>
      </c>
    </row>
    <row r="833" spans="1:16" x14ac:dyDescent="0.25">
      <c r="A833">
        <v>670</v>
      </c>
      <c r="B833">
        <v>1457</v>
      </c>
      <c r="C833">
        <v>904</v>
      </c>
      <c r="D833">
        <v>8.85</v>
      </c>
      <c r="E833">
        <v>14200</v>
      </c>
      <c r="F833">
        <v>0.3</v>
      </c>
      <c r="G833">
        <v>14200003</v>
      </c>
      <c r="H833">
        <v>7</v>
      </c>
      <c r="I833">
        <v>940</v>
      </c>
      <c r="J833" s="2">
        <f t="shared" si="32"/>
        <v>8319</v>
      </c>
      <c r="K833">
        <v>832</v>
      </c>
      <c r="L833" s="3">
        <f>SUM($I$2:$I833)</f>
        <v>6043300</v>
      </c>
      <c r="M833" s="3">
        <f>SUM($J$2:$J833)</f>
        <v>22360999.499999996</v>
      </c>
      <c r="N833" s="2">
        <f>SUM($D$2:$D833)</f>
        <v>4413.3700000000017</v>
      </c>
      <c r="O833" s="2">
        <f t="shared" si="33"/>
        <v>0.26300775071839877</v>
      </c>
      <c r="P833" s="2" cm="1">
        <f t="array" ref="P833">SUMPRODUCT((O833&gt;$T$9:$T$14)*(O833&lt;=$U$9:$U$14),$S$9:$S$14)</f>
        <v>4</v>
      </c>
    </row>
    <row r="834" spans="1:16" x14ac:dyDescent="0.25">
      <c r="A834">
        <v>409</v>
      </c>
      <c r="B834">
        <v>2</v>
      </c>
      <c r="C834">
        <v>1053</v>
      </c>
      <c r="D834">
        <v>8.81</v>
      </c>
      <c r="E834">
        <v>31050</v>
      </c>
      <c r="F834">
        <v>0</v>
      </c>
      <c r="G834">
        <v>31050000</v>
      </c>
      <c r="H834">
        <v>48</v>
      </c>
      <c r="I834">
        <v>940</v>
      </c>
      <c r="J834" s="2">
        <f t="shared" ref="J834:J897" si="34">I834*D834</f>
        <v>8281.4</v>
      </c>
      <c r="K834">
        <v>833</v>
      </c>
      <c r="L834" s="3">
        <f>SUM($I$2:$I834)</f>
        <v>6044240</v>
      </c>
      <c r="M834" s="3">
        <f>SUM($J$2:$J834)</f>
        <v>22369280.899999995</v>
      </c>
      <c r="N834" s="2">
        <f>SUM($D$2:$D834)</f>
        <v>4422.1800000000021</v>
      </c>
      <c r="O834" s="2">
        <f t="shared" ref="O834:O897" si="35">N834/$T$4</f>
        <v>0.26353276862621733</v>
      </c>
      <c r="P834" s="2" cm="1">
        <f t="array" ref="P834">SUMPRODUCT((O834&gt;$T$9:$T$14)*(O834&lt;=$U$9:$U$14),$S$9:$S$14)</f>
        <v>4</v>
      </c>
    </row>
    <row r="835" spans="1:16" x14ac:dyDescent="0.25">
      <c r="A835">
        <v>1102</v>
      </c>
      <c r="B835">
        <v>728</v>
      </c>
      <c r="C835">
        <v>435</v>
      </c>
      <c r="D835">
        <v>5.76</v>
      </c>
      <c r="E835">
        <v>21010</v>
      </c>
      <c r="F835">
        <v>15.2</v>
      </c>
      <c r="G835">
        <v>21010152</v>
      </c>
      <c r="H835">
        <v>17</v>
      </c>
      <c r="I835">
        <v>940</v>
      </c>
      <c r="J835" s="2">
        <f t="shared" si="34"/>
        <v>5414.4</v>
      </c>
      <c r="K835">
        <v>834</v>
      </c>
      <c r="L835" s="3">
        <f>SUM($I$2:$I835)</f>
        <v>6045180</v>
      </c>
      <c r="M835" s="3">
        <f>SUM($J$2:$J835)</f>
        <v>22374695.299999993</v>
      </c>
      <c r="N835" s="2">
        <f>SUM($D$2:$D835)</f>
        <v>4427.9400000000023</v>
      </c>
      <c r="O835" s="2">
        <f t="shared" si="35"/>
        <v>0.26387602664540405</v>
      </c>
      <c r="P835" s="2" cm="1">
        <f t="array" ref="P835">SUMPRODUCT((O835&gt;$T$9:$T$14)*(O835&lt;=$U$9:$U$14),$S$9:$S$14)</f>
        <v>4</v>
      </c>
    </row>
    <row r="836" spans="1:16" x14ac:dyDescent="0.25">
      <c r="A836">
        <v>1221</v>
      </c>
      <c r="B836">
        <v>53</v>
      </c>
      <c r="C836">
        <v>1113</v>
      </c>
      <c r="D836">
        <v>0.91</v>
      </c>
      <c r="E836">
        <v>27960</v>
      </c>
      <c r="F836">
        <v>3.6</v>
      </c>
      <c r="G836">
        <v>27960036</v>
      </c>
      <c r="H836">
        <v>35</v>
      </c>
      <c r="I836">
        <v>940</v>
      </c>
      <c r="J836" s="2">
        <f t="shared" si="34"/>
        <v>855.4</v>
      </c>
      <c r="K836">
        <v>835</v>
      </c>
      <c r="L836" s="3">
        <f>SUM($I$2:$I836)</f>
        <v>6046120</v>
      </c>
      <c r="M836" s="3">
        <f>SUM($J$2:$J836)</f>
        <v>22375550.699999992</v>
      </c>
      <c r="N836" s="2">
        <f>SUM($D$2:$D836)</f>
        <v>4428.8500000000022</v>
      </c>
      <c r="O836" s="2">
        <f t="shared" si="35"/>
        <v>0.26393025664496306</v>
      </c>
      <c r="P836" s="2" cm="1">
        <f t="array" ref="P836">SUMPRODUCT((O836&gt;$T$9:$T$14)*(O836&lt;=$U$9:$U$14),$S$9:$S$14)</f>
        <v>4</v>
      </c>
    </row>
    <row r="837" spans="1:16" x14ac:dyDescent="0.25">
      <c r="A837">
        <v>451</v>
      </c>
      <c r="B837">
        <v>1238</v>
      </c>
      <c r="C837">
        <v>627</v>
      </c>
      <c r="D837">
        <v>32.659999999999997</v>
      </c>
      <c r="E837">
        <v>17615</v>
      </c>
      <c r="F837">
        <v>0</v>
      </c>
      <c r="G837">
        <v>17615000</v>
      </c>
      <c r="H837">
        <v>11</v>
      </c>
      <c r="I837">
        <v>930</v>
      </c>
      <c r="J837" s="2">
        <f t="shared" si="34"/>
        <v>30373.799999999996</v>
      </c>
      <c r="K837">
        <v>836</v>
      </c>
      <c r="L837" s="3">
        <f>SUM($I$2:$I837)</f>
        <v>6047050</v>
      </c>
      <c r="M837" s="3">
        <f>SUM($J$2:$J837)</f>
        <v>22405924.499999993</v>
      </c>
      <c r="N837" s="2">
        <f>SUM($D$2:$D837)</f>
        <v>4461.510000000002</v>
      </c>
      <c r="O837" s="2">
        <f t="shared" si="35"/>
        <v>0.26587657728847647</v>
      </c>
      <c r="P837" s="2" cm="1">
        <f t="array" ref="P837">SUMPRODUCT((O837&gt;$T$9:$T$14)*(O837&lt;=$U$9:$U$14),$S$9:$S$14)</f>
        <v>4</v>
      </c>
    </row>
    <row r="838" spans="1:16" x14ac:dyDescent="0.25">
      <c r="A838">
        <v>814</v>
      </c>
      <c r="B838">
        <v>440</v>
      </c>
      <c r="C838">
        <v>49</v>
      </c>
      <c r="D838">
        <v>3.31</v>
      </c>
      <c r="E838">
        <v>12209</v>
      </c>
      <c r="F838">
        <v>3.3</v>
      </c>
      <c r="G838">
        <v>12209033</v>
      </c>
      <c r="H838">
        <v>3</v>
      </c>
      <c r="I838">
        <v>930</v>
      </c>
      <c r="J838" s="2">
        <f t="shared" si="34"/>
        <v>3078.3</v>
      </c>
      <c r="K838">
        <v>837</v>
      </c>
      <c r="L838" s="3">
        <f>SUM($I$2:$I838)</f>
        <v>6047980</v>
      </c>
      <c r="M838" s="3">
        <f>SUM($J$2:$J838)</f>
        <v>22409002.799999993</v>
      </c>
      <c r="N838" s="2">
        <f>SUM($D$2:$D838)</f>
        <v>4464.8200000000024</v>
      </c>
      <c r="O838" s="2">
        <f t="shared" si="35"/>
        <v>0.26607383146269664</v>
      </c>
      <c r="P838" s="2" cm="1">
        <f t="array" ref="P838">SUMPRODUCT((O838&gt;$T$9:$T$14)*(O838&lt;=$U$9:$U$14),$S$9:$S$14)</f>
        <v>4</v>
      </c>
    </row>
    <row r="839" spans="1:16" x14ac:dyDescent="0.25">
      <c r="A839">
        <v>715</v>
      </c>
      <c r="B839">
        <v>1502</v>
      </c>
      <c r="C839">
        <v>960</v>
      </c>
      <c r="D839">
        <v>2</v>
      </c>
      <c r="E839">
        <v>18120</v>
      </c>
      <c r="F839">
        <v>0</v>
      </c>
      <c r="G839">
        <v>18120000</v>
      </c>
      <c r="H839">
        <v>11</v>
      </c>
      <c r="I839">
        <v>930</v>
      </c>
      <c r="J839" s="2">
        <f t="shared" si="34"/>
        <v>1860</v>
      </c>
      <c r="K839">
        <v>838</v>
      </c>
      <c r="L839" s="3">
        <f>SUM($I$2:$I839)</f>
        <v>6048910</v>
      </c>
      <c r="M839" s="3">
        <f>SUM($J$2:$J839)</f>
        <v>22410862.799999993</v>
      </c>
      <c r="N839" s="2">
        <f>SUM($D$2:$D839)</f>
        <v>4466.8200000000024</v>
      </c>
      <c r="O839" s="2">
        <f t="shared" si="35"/>
        <v>0.26619301827491421</v>
      </c>
      <c r="P839" s="2" cm="1">
        <f t="array" ref="P839">SUMPRODUCT((O839&gt;$T$9:$T$14)*(O839&lt;=$U$9:$U$14),$S$9:$S$14)</f>
        <v>4</v>
      </c>
    </row>
    <row r="840" spans="1:16" x14ac:dyDescent="0.25">
      <c r="A840">
        <v>565</v>
      </c>
      <c r="B840">
        <v>1352</v>
      </c>
      <c r="C840">
        <v>775</v>
      </c>
      <c r="D840">
        <v>15.1</v>
      </c>
      <c r="E840">
        <v>21010</v>
      </c>
      <c r="F840">
        <v>0</v>
      </c>
      <c r="G840">
        <v>21010000</v>
      </c>
      <c r="H840">
        <v>17</v>
      </c>
      <c r="I840">
        <v>920</v>
      </c>
      <c r="J840" s="2">
        <f t="shared" si="34"/>
        <v>13892</v>
      </c>
      <c r="K840">
        <v>839</v>
      </c>
      <c r="L840" s="3">
        <f>SUM($I$2:$I840)</f>
        <v>6049830</v>
      </c>
      <c r="M840" s="3">
        <f>SUM($J$2:$J840)</f>
        <v>22424754.799999993</v>
      </c>
      <c r="N840" s="2">
        <f>SUM($D$2:$D840)</f>
        <v>4481.9200000000028</v>
      </c>
      <c r="O840" s="2">
        <f t="shared" si="35"/>
        <v>0.26709287870715714</v>
      </c>
      <c r="P840" s="2" cm="1">
        <f t="array" ref="P840">SUMPRODUCT((O840&gt;$T$9:$T$14)*(O840&lt;=$U$9:$U$14),$S$9:$S$14)</f>
        <v>4</v>
      </c>
    </row>
    <row r="841" spans="1:16" x14ac:dyDescent="0.25">
      <c r="A841">
        <v>1109</v>
      </c>
      <c r="B841">
        <v>735</v>
      </c>
      <c r="C841">
        <v>449</v>
      </c>
      <c r="D841">
        <v>10.46</v>
      </c>
      <c r="E841">
        <v>21000</v>
      </c>
      <c r="F841">
        <v>0</v>
      </c>
      <c r="G841">
        <v>21000000</v>
      </c>
      <c r="H841">
        <v>17</v>
      </c>
      <c r="I841">
        <v>920</v>
      </c>
      <c r="J841" s="2">
        <f t="shared" si="34"/>
        <v>9623.2000000000007</v>
      </c>
      <c r="K841">
        <v>840</v>
      </c>
      <c r="L841" s="3">
        <f>SUM($I$2:$I841)</f>
        <v>6050750</v>
      </c>
      <c r="M841" s="3">
        <f>SUM($J$2:$J841)</f>
        <v>22434377.999999993</v>
      </c>
      <c r="N841" s="2">
        <f>SUM($D$2:$D841)</f>
        <v>4492.3800000000028</v>
      </c>
      <c r="O841" s="2">
        <f t="shared" si="35"/>
        <v>0.26771622573505521</v>
      </c>
      <c r="P841" s="2" cm="1">
        <f t="array" ref="P841">SUMPRODUCT((O841&gt;$T$9:$T$14)*(O841&lt;=$U$9:$U$14),$S$9:$S$14)</f>
        <v>4</v>
      </c>
    </row>
    <row r="842" spans="1:16" x14ac:dyDescent="0.25">
      <c r="A842">
        <v>430</v>
      </c>
      <c r="B842">
        <v>1217</v>
      </c>
      <c r="C842">
        <v>597</v>
      </c>
      <c r="D842">
        <v>8</v>
      </c>
      <c r="E842">
        <v>21400</v>
      </c>
      <c r="F842">
        <v>0</v>
      </c>
      <c r="G842">
        <v>21400000</v>
      </c>
      <c r="H842">
        <v>17</v>
      </c>
      <c r="I842">
        <v>920</v>
      </c>
      <c r="J842" s="2">
        <f t="shared" si="34"/>
        <v>7360</v>
      </c>
      <c r="K842">
        <v>841</v>
      </c>
      <c r="L842" s="3">
        <f>SUM($I$2:$I842)</f>
        <v>6051670</v>
      </c>
      <c r="M842" s="3">
        <f>SUM($J$2:$J842)</f>
        <v>22441737.999999993</v>
      </c>
      <c r="N842" s="2">
        <f>SUM($D$2:$D842)</f>
        <v>4500.3800000000028</v>
      </c>
      <c r="O842" s="2">
        <f t="shared" si="35"/>
        <v>0.26819297298392558</v>
      </c>
      <c r="P842" s="2" cm="1">
        <f t="array" ref="P842">SUMPRODUCT((O842&gt;$T$9:$T$14)*(O842&lt;=$U$9:$U$14),$S$9:$S$14)</f>
        <v>4</v>
      </c>
    </row>
    <row r="843" spans="1:16" x14ac:dyDescent="0.25">
      <c r="A843">
        <v>599</v>
      </c>
      <c r="B843">
        <v>1386</v>
      </c>
      <c r="C843">
        <v>819</v>
      </c>
      <c r="D843">
        <v>4.1500000000000004</v>
      </c>
      <c r="E843">
        <v>14370</v>
      </c>
      <c r="F843">
        <v>10.1</v>
      </c>
      <c r="G843">
        <v>14370101</v>
      </c>
      <c r="H843">
        <v>7</v>
      </c>
      <c r="I843">
        <v>920</v>
      </c>
      <c r="J843" s="2">
        <f t="shared" si="34"/>
        <v>3818.0000000000005</v>
      </c>
      <c r="K843">
        <v>842</v>
      </c>
      <c r="L843" s="3">
        <f>SUM($I$2:$I843)</f>
        <v>6052590</v>
      </c>
      <c r="M843" s="3">
        <f>SUM($J$2:$J843)</f>
        <v>22445555.999999993</v>
      </c>
      <c r="N843" s="2">
        <f>SUM($D$2:$D843)</f>
        <v>4504.5300000000025</v>
      </c>
      <c r="O843" s="2">
        <f t="shared" si="35"/>
        <v>0.26844028561927713</v>
      </c>
      <c r="P843" s="2" cm="1">
        <f t="array" ref="P843">SUMPRODUCT((O843&gt;$T$9:$T$14)*(O843&lt;=$U$9:$U$14),$S$9:$S$14)</f>
        <v>4</v>
      </c>
    </row>
    <row r="844" spans="1:16" x14ac:dyDescent="0.25">
      <c r="A844">
        <v>940</v>
      </c>
      <c r="B844">
        <v>566</v>
      </c>
      <c r="C844">
        <v>222</v>
      </c>
      <c r="D844">
        <v>3.95</v>
      </c>
      <c r="E844">
        <v>14535</v>
      </c>
      <c r="F844">
        <v>0</v>
      </c>
      <c r="G844">
        <v>14535000</v>
      </c>
      <c r="H844">
        <v>7</v>
      </c>
      <c r="I844">
        <v>920</v>
      </c>
      <c r="J844" s="2">
        <f t="shared" si="34"/>
        <v>3634</v>
      </c>
      <c r="K844">
        <v>843</v>
      </c>
      <c r="L844" s="3">
        <f>SUM($I$2:$I844)</f>
        <v>6053510</v>
      </c>
      <c r="M844" s="3">
        <f>SUM($J$2:$J844)</f>
        <v>22449189.999999993</v>
      </c>
      <c r="N844" s="2">
        <f>SUM($D$2:$D844)</f>
        <v>4508.4800000000023</v>
      </c>
      <c r="O844" s="2">
        <f t="shared" si="35"/>
        <v>0.26867567957340688</v>
      </c>
      <c r="P844" s="2" cm="1">
        <f t="array" ref="P844">SUMPRODUCT((O844&gt;$T$9:$T$14)*(O844&lt;=$U$9:$U$14),$S$9:$S$14)</f>
        <v>4</v>
      </c>
    </row>
    <row r="845" spans="1:16" x14ac:dyDescent="0.25">
      <c r="A845">
        <v>931</v>
      </c>
      <c r="B845">
        <v>557</v>
      </c>
      <c r="C845">
        <v>207</v>
      </c>
      <c r="D845">
        <v>3.22</v>
      </c>
      <c r="E845">
        <v>19470</v>
      </c>
      <c r="F845">
        <v>0</v>
      </c>
      <c r="G845">
        <v>19470000</v>
      </c>
      <c r="H845">
        <v>12</v>
      </c>
      <c r="I845">
        <v>920</v>
      </c>
      <c r="J845" s="2">
        <f t="shared" si="34"/>
        <v>2962.4</v>
      </c>
      <c r="K845">
        <v>844</v>
      </c>
      <c r="L845" s="3">
        <f>SUM($I$2:$I845)</f>
        <v>6054430</v>
      </c>
      <c r="M845" s="3">
        <f>SUM($J$2:$J845)</f>
        <v>22452152.399999991</v>
      </c>
      <c r="N845" s="2">
        <f>SUM($D$2:$D845)</f>
        <v>4511.7000000000025</v>
      </c>
      <c r="O845" s="2">
        <f t="shared" si="35"/>
        <v>0.26886757034107722</v>
      </c>
      <c r="P845" s="2" cm="1">
        <f t="array" ref="P845">SUMPRODUCT((O845&gt;$T$9:$T$14)*(O845&lt;=$U$9:$U$14),$S$9:$S$14)</f>
        <v>4</v>
      </c>
    </row>
    <row r="846" spans="1:16" x14ac:dyDescent="0.25">
      <c r="A846">
        <v>678</v>
      </c>
      <c r="B846">
        <v>1465</v>
      </c>
      <c r="C846">
        <v>915</v>
      </c>
      <c r="D846">
        <v>1.97</v>
      </c>
      <c r="E846">
        <v>14537</v>
      </c>
      <c r="F846">
        <v>0</v>
      </c>
      <c r="G846">
        <v>14537000</v>
      </c>
      <c r="H846">
        <v>7</v>
      </c>
      <c r="I846">
        <v>920</v>
      </c>
      <c r="J846" s="2">
        <f t="shared" si="34"/>
        <v>1812.3999999999999</v>
      </c>
      <c r="K846">
        <v>845</v>
      </c>
      <c r="L846" s="3">
        <f>SUM($I$2:$I846)</f>
        <v>6055350</v>
      </c>
      <c r="M846" s="3">
        <f>SUM($J$2:$J846)</f>
        <v>22453964.79999999</v>
      </c>
      <c r="N846" s="2">
        <f>SUM($D$2:$D846)</f>
        <v>4513.6700000000028</v>
      </c>
      <c r="O846" s="2">
        <f t="shared" si="35"/>
        <v>0.26898496935111155</v>
      </c>
      <c r="P846" s="2" cm="1">
        <f t="array" ref="P846">SUMPRODUCT((O846&gt;$T$9:$T$14)*(O846&lt;=$U$9:$U$14),$S$9:$S$14)</f>
        <v>4</v>
      </c>
    </row>
    <row r="847" spans="1:16" x14ac:dyDescent="0.25">
      <c r="A847">
        <v>852</v>
      </c>
      <c r="B847">
        <v>478</v>
      </c>
      <c r="C847">
        <v>97</v>
      </c>
      <c r="D847">
        <v>1.87</v>
      </c>
      <c r="E847">
        <v>13620</v>
      </c>
      <c r="F847">
        <v>1.1000000000000001</v>
      </c>
      <c r="G847">
        <v>13620011</v>
      </c>
      <c r="H847">
        <v>6</v>
      </c>
      <c r="I847">
        <v>920</v>
      </c>
      <c r="J847" s="2">
        <f t="shared" si="34"/>
        <v>1720.4</v>
      </c>
      <c r="K847">
        <v>846</v>
      </c>
      <c r="L847" s="3">
        <f>SUM($I$2:$I847)</f>
        <v>6056270</v>
      </c>
      <c r="M847" s="3">
        <f>SUM($J$2:$J847)</f>
        <v>22455685.199999988</v>
      </c>
      <c r="N847" s="2">
        <f>SUM($D$2:$D847)</f>
        <v>4515.5400000000027</v>
      </c>
      <c r="O847" s="2">
        <f t="shared" si="35"/>
        <v>0.269096409020535</v>
      </c>
      <c r="P847" s="2" cm="1">
        <f t="array" ref="P847">SUMPRODUCT((O847&gt;$T$9:$T$14)*(O847&lt;=$U$9:$U$14),$S$9:$S$14)</f>
        <v>4</v>
      </c>
    </row>
    <row r="848" spans="1:16" x14ac:dyDescent="0.25">
      <c r="A848">
        <v>1047</v>
      </c>
      <c r="B848">
        <v>673</v>
      </c>
      <c r="C848">
        <v>360</v>
      </c>
      <c r="D848">
        <v>1.63</v>
      </c>
      <c r="E848">
        <v>14500</v>
      </c>
      <c r="F848">
        <v>0</v>
      </c>
      <c r="G848">
        <v>14500000</v>
      </c>
      <c r="H848">
        <v>7</v>
      </c>
      <c r="I848">
        <v>920</v>
      </c>
      <c r="J848" s="2">
        <f t="shared" si="34"/>
        <v>1499.6</v>
      </c>
      <c r="K848">
        <v>847</v>
      </c>
      <c r="L848" s="3">
        <f>SUM($I$2:$I848)</f>
        <v>6057190</v>
      </c>
      <c r="M848" s="3">
        <f>SUM($J$2:$J848)</f>
        <v>22457184.79999999</v>
      </c>
      <c r="N848" s="2">
        <f>SUM($D$2:$D848)</f>
        <v>4517.1700000000028</v>
      </c>
      <c r="O848" s="2">
        <f t="shared" si="35"/>
        <v>0.26919354627249237</v>
      </c>
      <c r="P848" s="2" cm="1">
        <f t="array" ref="P848">SUMPRODUCT((O848&gt;$T$9:$T$14)*(O848&lt;=$U$9:$U$14),$S$9:$S$14)</f>
        <v>4</v>
      </c>
    </row>
    <row r="849" spans="1:16" x14ac:dyDescent="0.25">
      <c r="A849">
        <v>397</v>
      </c>
      <c r="B849">
        <v>1192</v>
      </c>
      <c r="C849">
        <v>561</v>
      </c>
      <c r="D849">
        <v>0.99</v>
      </c>
      <c r="E849">
        <v>14537</v>
      </c>
      <c r="F849">
        <v>2.2000000000000002</v>
      </c>
      <c r="G849">
        <v>14537022</v>
      </c>
      <c r="H849">
        <v>7</v>
      </c>
      <c r="I849">
        <v>920</v>
      </c>
      <c r="J849" s="2">
        <f t="shared" si="34"/>
        <v>910.8</v>
      </c>
      <c r="K849">
        <v>848</v>
      </c>
      <c r="L849" s="3">
        <f>SUM($I$2:$I849)</f>
        <v>6058110</v>
      </c>
      <c r="M849" s="3">
        <f>SUM($J$2:$J849)</f>
        <v>22458095.59999999</v>
      </c>
      <c r="N849" s="2">
        <f>SUM($D$2:$D849)</f>
        <v>4518.1600000000026</v>
      </c>
      <c r="O849" s="2">
        <f t="shared" si="35"/>
        <v>0.26925254374454005</v>
      </c>
      <c r="P849" s="2" cm="1">
        <f t="array" ref="P849">SUMPRODUCT((O849&gt;$T$9:$T$14)*(O849&lt;=$U$9:$U$14),$S$9:$S$14)</f>
        <v>4</v>
      </c>
    </row>
    <row r="850" spans="1:16" x14ac:dyDescent="0.25">
      <c r="A850">
        <v>666</v>
      </c>
      <c r="B850">
        <v>1453</v>
      </c>
      <c r="C850">
        <v>900</v>
      </c>
      <c r="D850">
        <v>2.61</v>
      </c>
      <c r="E850">
        <v>19470</v>
      </c>
      <c r="F850">
        <v>3.2</v>
      </c>
      <c r="G850">
        <v>19470032</v>
      </c>
      <c r="H850">
        <v>12</v>
      </c>
      <c r="I850">
        <v>910</v>
      </c>
      <c r="J850" s="2">
        <f t="shared" si="34"/>
        <v>2375.1</v>
      </c>
      <c r="K850">
        <v>849</v>
      </c>
      <c r="L850" s="3">
        <f>SUM($I$2:$I850)</f>
        <v>6059020</v>
      </c>
      <c r="M850" s="3">
        <f>SUM($J$2:$J850)</f>
        <v>22460470.699999992</v>
      </c>
      <c r="N850" s="2">
        <f>SUM($D$2:$D850)</f>
        <v>4520.7700000000023</v>
      </c>
      <c r="O850" s="2">
        <f t="shared" si="35"/>
        <v>0.26940808253448401</v>
      </c>
      <c r="P850" s="2" cm="1">
        <f t="array" ref="P850">SUMPRODUCT((O850&gt;$T$9:$T$14)*(O850&lt;=$U$9:$U$14),$S$9:$S$14)</f>
        <v>4</v>
      </c>
    </row>
    <row r="851" spans="1:16" x14ac:dyDescent="0.25">
      <c r="A851">
        <v>407</v>
      </c>
      <c r="B851">
        <v>1202</v>
      </c>
      <c r="C851">
        <v>575</v>
      </c>
      <c r="D851">
        <v>17.649999999999999</v>
      </c>
      <c r="E851">
        <v>20880</v>
      </c>
      <c r="F851">
        <v>0</v>
      </c>
      <c r="G851">
        <v>20880000</v>
      </c>
      <c r="H851">
        <v>17</v>
      </c>
      <c r="I851">
        <v>900</v>
      </c>
      <c r="J851" s="2">
        <f t="shared" si="34"/>
        <v>15884.999999999998</v>
      </c>
      <c r="K851">
        <v>850</v>
      </c>
      <c r="L851" s="3">
        <f>SUM($I$2:$I851)</f>
        <v>6059920</v>
      </c>
      <c r="M851" s="3">
        <f>SUM($J$2:$J851)</f>
        <v>22476355.699999992</v>
      </c>
      <c r="N851" s="2">
        <f>SUM($D$2:$D851)</f>
        <v>4538.4200000000019</v>
      </c>
      <c r="O851" s="2">
        <f t="shared" si="35"/>
        <v>0.27045990615230431</v>
      </c>
      <c r="P851" s="2" cm="1">
        <f t="array" ref="P851">SUMPRODUCT((O851&gt;$T$9:$T$14)*(O851&lt;=$U$9:$U$14),$S$9:$S$14)</f>
        <v>4</v>
      </c>
    </row>
    <row r="852" spans="1:16" x14ac:dyDescent="0.25">
      <c r="A852">
        <v>1124</v>
      </c>
      <c r="B852">
        <v>750</v>
      </c>
      <c r="C852">
        <v>464</v>
      </c>
      <c r="D852">
        <v>9.76</v>
      </c>
      <c r="E852">
        <v>20800</v>
      </c>
      <c r="F852">
        <v>0</v>
      </c>
      <c r="G852">
        <v>20800000</v>
      </c>
      <c r="H852">
        <v>17</v>
      </c>
      <c r="I852">
        <v>900</v>
      </c>
      <c r="J852" s="2">
        <f t="shared" si="34"/>
        <v>8784</v>
      </c>
      <c r="K852">
        <v>851</v>
      </c>
      <c r="L852" s="3">
        <f>SUM($I$2:$I852)</f>
        <v>6060820</v>
      </c>
      <c r="M852" s="3">
        <f>SUM($J$2:$J852)</f>
        <v>22485139.699999992</v>
      </c>
      <c r="N852" s="2">
        <f>SUM($D$2:$D852)</f>
        <v>4548.1800000000021</v>
      </c>
      <c r="O852" s="2">
        <f t="shared" si="35"/>
        <v>0.27104153779592627</v>
      </c>
      <c r="P852" s="2" cm="1">
        <f t="array" ref="P852">SUMPRODUCT((O852&gt;$T$9:$T$14)*(O852&lt;=$U$9:$U$14),$S$9:$S$14)</f>
        <v>4</v>
      </c>
    </row>
    <row r="853" spans="1:16" x14ac:dyDescent="0.25">
      <c r="A853">
        <v>1376</v>
      </c>
      <c r="B853">
        <v>208</v>
      </c>
      <c r="C853">
        <v>1318</v>
      </c>
      <c r="D853">
        <v>6.68</v>
      </c>
      <c r="E853">
        <v>40290</v>
      </c>
      <c r="F853">
        <v>0</v>
      </c>
      <c r="G853">
        <v>40290000</v>
      </c>
      <c r="H853">
        <v>101</v>
      </c>
      <c r="I853">
        <v>900</v>
      </c>
      <c r="J853" s="2">
        <f t="shared" si="34"/>
        <v>6012</v>
      </c>
      <c r="K853">
        <v>852</v>
      </c>
      <c r="L853" s="3">
        <f>SUM($I$2:$I853)</f>
        <v>6061720</v>
      </c>
      <c r="M853" s="3">
        <f>SUM($J$2:$J853)</f>
        <v>22491151.699999992</v>
      </c>
      <c r="N853" s="2">
        <f>SUM($D$2:$D853)</f>
        <v>4554.8600000000024</v>
      </c>
      <c r="O853" s="2">
        <f t="shared" si="35"/>
        <v>0.27143962174873304</v>
      </c>
      <c r="P853" s="2" cm="1">
        <f t="array" ref="P853">SUMPRODUCT((O853&gt;$T$9:$T$14)*(O853&lt;=$U$9:$U$14),$S$9:$S$14)</f>
        <v>4</v>
      </c>
    </row>
    <row r="854" spans="1:16" x14ac:dyDescent="0.25">
      <c r="A854">
        <v>1015</v>
      </c>
      <c r="B854">
        <v>641</v>
      </c>
      <c r="C854">
        <v>318</v>
      </c>
      <c r="D854">
        <v>1.21</v>
      </c>
      <c r="E854">
        <v>15843</v>
      </c>
      <c r="F854">
        <v>0</v>
      </c>
      <c r="G854">
        <v>15843000</v>
      </c>
      <c r="H854">
        <v>8</v>
      </c>
      <c r="I854">
        <v>900</v>
      </c>
      <c r="J854" s="2">
        <f t="shared" si="34"/>
        <v>1089</v>
      </c>
      <c r="K854">
        <v>853</v>
      </c>
      <c r="L854" s="3">
        <f>SUM($I$2:$I854)</f>
        <v>6062620</v>
      </c>
      <c r="M854" s="3">
        <f>SUM($J$2:$J854)</f>
        <v>22492240.699999992</v>
      </c>
      <c r="N854" s="2">
        <f>SUM($D$2:$D854)</f>
        <v>4556.0700000000024</v>
      </c>
      <c r="O854" s="2">
        <f t="shared" si="35"/>
        <v>0.27151172977012472</v>
      </c>
      <c r="P854" s="2" cm="1">
        <f t="array" ref="P854">SUMPRODUCT((O854&gt;$T$9:$T$14)*(O854&lt;=$U$9:$U$14),$S$9:$S$14)</f>
        <v>4</v>
      </c>
    </row>
    <row r="855" spans="1:16" x14ac:dyDescent="0.25">
      <c r="A855">
        <v>640</v>
      </c>
      <c r="B855">
        <v>1427</v>
      </c>
      <c r="C855">
        <v>867</v>
      </c>
      <c r="D855">
        <v>0.99</v>
      </c>
      <c r="E855">
        <v>17400</v>
      </c>
      <c r="F855">
        <v>0</v>
      </c>
      <c r="G855">
        <v>17400000</v>
      </c>
      <c r="H855">
        <v>11</v>
      </c>
      <c r="I855">
        <v>900</v>
      </c>
      <c r="J855" s="2">
        <f t="shared" si="34"/>
        <v>891</v>
      </c>
      <c r="K855">
        <v>854</v>
      </c>
      <c r="L855" s="3">
        <f>SUM($I$2:$I855)</f>
        <v>6063520</v>
      </c>
      <c r="M855" s="3">
        <f>SUM($J$2:$J855)</f>
        <v>22493131.699999992</v>
      </c>
      <c r="N855" s="2">
        <f>SUM($D$2:$D855)</f>
        <v>4557.0600000000022</v>
      </c>
      <c r="O855" s="2">
        <f t="shared" si="35"/>
        <v>0.27157072724217241</v>
      </c>
      <c r="P855" s="2" cm="1">
        <f t="array" ref="P855">SUMPRODUCT((O855&gt;$T$9:$T$14)*(O855&lt;=$U$9:$U$14),$S$9:$S$14)</f>
        <v>4</v>
      </c>
    </row>
    <row r="856" spans="1:16" x14ac:dyDescent="0.25">
      <c r="A856">
        <v>938</v>
      </c>
      <c r="B856">
        <v>564</v>
      </c>
      <c r="C856">
        <v>220</v>
      </c>
      <c r="D856">
        <v>6.08</v>
      </c>
      <c r="E856">
        <v>14570</v>
      </c>
      <c r="F856">
        <v>4.2</v>
      </c>
      <c r="G856">
        <v>14570042</v>
      </c>
      <c r="H856">
        <v>7</v>
      </c>
      <c r="I856">
        <v>890</v>
      </c>
      <c r="J856" s="2">
        <f t="shared" si="34"/>
        <v>5411.2</v>
      </c>
      <c r="K856">
        <v>855</v>
      </c>
      <c r="L856" s="3">
        <f>SUM($I$2:$I856)</f>
        <v>6064410</v>
      </c>
      <c r="M856" s="3">
        <f>SUM($J$2:$J856)</f>
        <v>22498542.899999991</v>
      </c>
      <c r="N856" s="2">
        <f>SUM($D$2:$D856)</f>
        <v>4563.1400000000021</v>
      </c>
      <c r="O856" s="2">
        <f t="shared" si="35"/>
        <v>0.27193305515131388</v>
      </c>
      <c r="P856" s="2" cm="1">
        <f t="array" ref="P856">SUMPRODUCT((O856&gt;$T$9:$T$14)*(O856&lt;=$U$9:$U$14),$S$9:$S$14)</f>
        <v>4</v>
      </c>
    </row>
    <row r="857" spans="1:16" x14ac:dyDescent="0.25">
      <c r="A857">
        <v>477</v>
      </c>
      <c r="B857">
        <v>1264</v>
      </c>
      <c r="C857">
        <v>660</v>
      </c>
      <c r="D857">
        <v>5.87</v>
      </c>
      <c r="E857">
        <v>14340</v>
      </c>
      <c r="F857">
        <v>0</v>
      </c>
      <c r="G857">
        <v>14340000</v>
      </c>
      <c r="H857">
        <v>7</v>
      </c>
      <c r="I857">
        <v>890</v>
      </c>
      <c r="J857" s="2">
        <f t="shared" si="34"/>
        <v>5224.3</v>
      </c>
      <c r="K857">
        <v>856</v>
      </c>
      <c r="L857" s="3">
        <f>SUM($I$2:$I857)</f>
        <v>6065300</v>
      </c>
      <c r="M857" s="3">
        <f>SUM($J$2:$J857)</f>
        <v>22503767.199999992</v>
      </c>
      <c r="N857" s="2">
        <f>SUM($D$2:$D857)</f>
        <v>4569.010000000002</v>
      </c>
      <c r="O857" s="2">
        <f t="shared" si="35"/>
        <v>0.27228286844517258</v>
      </c>
      <c r="P857" s="2" cm="1">
        <f t="array" ref="P857">SUMPRODUCT((O857&gt;$T$9:$T$14)*(O857&lt;=$U$9:$U$14),$S$9:$S$14)</f>
        <v>4</v>
      </c>
    </row>
    <row r="858" spans="1:16" x14ac:dyDescent="0.25">
      <c r="A858">
        <v>462</v>
      </c>
      <c r="B858">
        <v>1249</v>
      </c>
      <c r="C858">
        <v>643</v>
      </c>
      <c r="D858">
        <v>2.79</v>
      </c>
      <c r="E858">
        <v>13485</v>
      </c>
      <c r="F858">
        <v>0</v>
      </c>
      <c r="G858">
        <v>13485000</v>
      </c>
      <c r="H858">
        <v>6</v>
      </c>
      <c r="I858">
        <v>890</v>
      </c>
      <c r="J858" s="2">
        <f t="shared" si="34"/>
        <v>2483.1</v>
      </c>
      <c r="K858">
        <v>857</v>
      </c>
      <c r="L858" s="3">
        <f>SUM($I$2:$I858)</f>
        <v>6066190</v>
      </c>
      <c r="M858" s="3">
        <f>SUM($J$2:$J858)</f>
        <v>22506250.299999993</v>
      </c>
      <c r="N858" s="2">
        <f>SUM($D$2:$D858)</f>
        <v>4571.800000000002</v>
      </c>
      <c r="O858" s="2">
        <f t="shared" si="35"/>
        <v>0.27244913404821614</v>
      </c>
      <c r="P858" s="2" cm="1">
        <f t="array" ref="P858">SUMPRODUCT((O858&gt;$T$9:$T$14)*(O858&lt;=$U$9:$U$14),$S$9:$S$14)</f>
        <v>4</v>
      </c>
    </row>
    <row r="859" spans="1:16" x14ac:dyDescent="0.25">
      <c r="A859">
        <v>816</v>
      </c>
      <c r="B859">
        <v>442</v>
      </c>
      <c r="C859">
        <v>51</v>
      </c>
      <c r="D859">
        <v>2.31</v>
      </c>
      <c r="E859">
        <v>12205</v>
      </c>
      <c r="F859">
        <v>3.7</v>
      </c>
      <c r="G859">
        <v>12205037</v>
      </c>
      <c r="H859">
        <v>3</v>
      </c>
      <c r="I859">
        <v>890</v>
      </c>
      <c r="J859" s="2">
        <f t="shared" si="34"/>
        <v>2055.9</v>
      </c>
      <c r="K859">
        <v>858</v>
      </c>
      <c r="L859" s="3">
        <f>SUM($I$2:$I859)</f>
        <v>6067080</v>
      </c>
      <c r="M859" s="3">
        <f>SUM($J$2:$J859)</f>
        <v>22508306.199999992</v>
      </c>
      <c r="N859" s="2">
        <f>SUM($D$2:$D859)</f>
        <v>4574.1100000000024</v>
      </c>
      <c r="O859" s="2">
        <f t="shared" si="35"/>
        <v>0.27258679481632747</v>
      </c>
      <c r="P859" s="2" cm="1">
        <f t="array" ref="P859">SUMPRODUCT((O859&gt;$T$9:$T$14)*(O859&lt;=$U$9:$U$14),$S$9:$S$14)</f>
        <v>4</v>
      </c>
    </row>
    <row r="860" spans="1:16" x14ac:dyDescent="0.25">
      <c r="A860">
        <v>608</v>
      </c>
      <c r="B860">
        <v>1395</v>
      </c>
      <c r="C860">
        <v>829</v>
      </c>
      <c r="D860">
        <v>1.21</v>
      </c>
      <c r="E860">
        <v>14946</v>
      </c>
      <c r="F860">
        <v>4.3</v>
      </c>
      <c r="G860">
        <v>14946043</v>
      </c>
      <c r="H860" t="s">
        <v>8</v>
      </c>
      <c r="I860">
        <v>890</v>
      </c>
      <c r="J860" s="2">
        <f t="shared" si="34"/>
        <v>1076.8999999999999</v>
      </c>
      <c r="K860">
        <v>859</v>
      </c>
      <c r="L860" s="3">
        <f>SUM($I$2:$I860)</f>
        <v>6067970</v>
      </c>
      <c r="M860" s="3">
        <f>SUM($J$2:$J860)</f>
        <v>22509383.09999999</v>
      </c>
      <c r="N860" s="2">
        <f>SUM($D$2:$D860)</f>
        <v>4575.3200000000024</v>
      </c>
      <c r="O860" s="2">
        <f t="shared" si="35"/>
        <v>0.2726589028377191</v>
      </c>
      <c r="P860" s="2" cm="1">
        <f t="array" ref="P860">SUMPRODUCT((O860&gt;$T$9:$T$14)*(O860&lt;=$U$9:$U$14),$S$9:$S$14)</f>
        <v>4</v>
      </c>
    </row>
    <row r="861" spans="1:16" x14ac:dyDescent="0.25">
      <c r="A861">
        <v>388</v>
      </c>
      <c r="B861">
        <v>1183</v>
      </c>
      <c r="C861">
        <v>549</v>
      </c>
      <c r="D861">
        <v>17.09</v>
      </c>
      <c r="E861">
        <v>21110</v>
      </c>
      <c r="F861">
        <v>8</v>
      </c>
      <c r="G861">
        <v>21110080</v>
      </c>
      <c r="H861">
        <v>17</v>
      </c>
      <c r="I861">
        <v>880</v>
      </c>
      <c r="J861" s="2">
        <f t="shared" si="34"/>
        <v>15039.2</v>
      </c>
      <c r="K861">
        <v>860</v>
      </c>
      <c r="L861" s="3">
        <f>SUM($I$2:$I861)</f>
        <v>6068850</v>
      </c>
      <c r="M861" s="3">
        <f>SUM($J$2:$J861)</f>
        <v>22524422.29999999</v>
      </c>
      <c r="N861" s="2">
        <f>SUM($D$2:$D861)</f>
        <v>4592.4100000000026</v>
      </c>
      <c r="O861" s="2">
        <f t="shared" si="35"/>
        <v>0.27367735414811856</v>
      </c>
      <c r="P861" s="2" cm="1">
        <f t="array" ref="P861">SUMPRODUCT((O861&gt;$T$9:$T$14)*(O861&lt;=$U$9:$U$14),$S$9:$S$14)</f>
        <v>4</v>
      </c>
    </row>
    <row r="862" spans="1:16" x14ac:dyDescent="0.25">
      <c r="A862">
        <v>506</v>
      </c>
      <c r="B862">
        <v>1293</v>
      </c>
      <c r="C862">
        <v>702</v>
      </c>
      <c r="D862">
        <v>8.7100000000000009</v>
      </c>
      <c r="E862">
        <v>17340</v>
      </c>
      <c r="F862">
        <v>0</v>
      </c>
      <c r="G862">
        <v>17340000</v>
      </c>
      <c r="H862">
        <v>11</v>
      </c>
      <c r="I862">
        <v>880</v>
      </c>
      <c r="J862" s="2">
        <f t="shared" si="34"/>
        <v>7664.8000000000011</v>
      </c>
      <c r="K862">
        <v>861</v>
      </c>
      <c r="L862" s="3">
        <f>SUM($I$2:$I862)</f>
        <v>6069730</v>
      </c>
      <c r="M862" s="3">
        <f>SUM($J$2:$J862)</f>
        <v>22532087.09999999</v>
      </c>
      <c r="N862" s="2">
        <f>SUM($D$2:$D862)</f>
        <v>4601.1200000000026</v>
      </c>
      <c r="O862" s="2">
        <f t="shared" si="35"/>
        <v>0.27419641271532619</v>
      </c>
      <c r="P862" s="2" cm="1">
        <f t="array" ref="P862">SUMPRODUCT((O862&gt;$T$9:$T$14)*(O862&lt;=$U$9:$U$14),$S$9:$S$14)</f>
        <v>4</v>
      </c>
    </row>
    <row r="863" spans="1:16" x14ac:dyDescent="0.25">
      <c r="A863">
        <v>467</v>
      </c>
      <c r="B863">
        <v>1254</v>
      </c>
      <c r="C863">
        <v>650</v>
      </c>
      <c r="D863">
        <v>7.16</v>
      </c>
      <c r="E863">
        <v>15840</v>
      </c>
      <c r="F863">
        <v>0</v>
      </c>
      <c r="G863">
        <v>15840000</v>
      </c>
      <c r="H863">
        <v>8</v>
      </c>
      <c r="I863">
        <v>880</v>
      </c>
      <c r="J863" s="2">
        <f t="shared" si="34"/>
        <v>6300.8</v>
      </c>
      <c r="K863">
        <v>862</v>
      </c>
      <c r="L863" s="3">
        <f>SUM($I$2:$I863)</f>
        <v>6070610</v>
      </c>
      <c r="M863" s="3">
        <f>SUM($J$2:$J863)</f>
        <v>22538387.899999991</v>
      </c>
      <c r="N863" s="2">
        <f>SUM($D$2:$D863)</f>
        <v>4608.2800000000025</v>
      </c>
      <c r="O863" s="2">
        <f t="shared" si="35"/>
        <v>0.27462310150306518</v>
      </c>
      <c r="P863" s="2" cm="1">
        <f t="array" ref="P863">SUMPRODUCT((O863&gt;$T$9:$T$14)*(O863&lt;=$U$9:$U$14),$S$9:$S$14)</f>
        <v>4</v>
      </c>
    </row>
    <row r="864" spans="1:16" x14ac:dyDescent="0.25">
      <c r="A864">
        <v>819</v>
      </c>
      <c r="B864">
        <v>445</v>
      </c>
      <c r="C864">
        <v>55</v>
      </c>
      <c r="D864">
        <v>3.61</v>
      </c>
      <c r="E864">
        <v>12039</v>
      </c>
      <c r="F864">
        <v>0</v>
      </c>
      <c r="G864">
        <v>12039000</v>
      </c>
      <c r="H864">
        <v>3</v>
      </c>
      <c r="I864">
        <v>880</v>
      </c>
      <c r="J864" s="2">
        <f t="shared" si="34"/>
        <v>3176.7999999999997</v>
      </c>
      <c r="K864">
        <v>863</v>
      </c>
      <c r="L864" s="3">
        <f>SUM($I$2:$I864)</f>
        <v>6071490</v>
      </c>
      <c r="M864" s="3">
        <f>SUM($J$2:$J864)</f>
        <v>22541564.699999992</v>
      </c>
      <c r="N864" s="2">
        <f>SUM($D$2:$D864)</f>
        <v>4611.8900000000021</v>
      </c>
      <c r="O864" s="2">
        <f t="shared" si="35"/>
        <v>0.27483823369911797</v>
      </c>
      <c r="P864" s="2" cm="1">
        <f t="array" ref="P864">SUMPRODUCT((O864&gt;$T$9:$T$14)*(O864&lt;=$U$9:$U$14),$S$9:$S$14)</f>
        <v>4</v>
      </c>
    </row>
    <row r="865" spans="1:16" x14ac:dyDescent="0.25">
      <c r="A865">
        <v>1297</v>
      </c>
      <c r="B865">
        <v>129</v>
      </c>
      <c r="C865">
        <v>1216</v>
      </c>
      <c r="D865">
        <v>2.78</v>
      </c>
      <c r="E865">
        <v>40340</v>
      </c>
      <c r="F865">
        <v>0</v>
      </c>
      <c r="G865">
        <v>40340000</v>
      </c>
      <c r="H865">
        <v>101</v>
      </c>
      <c r="I865">
        <v>880</v>
      </c>
      <c r="J865" s="2">
        <f t="shared" si="34"/>
        <v>2446.3999999999996</v>
      </c>
      <c r="K865">
        <v>864</v>
      </c>
      <c r="L865" s="3">
        <f>SUM($I$2:$I865)</f>
        <v>6072370</v>
      </c>
      <c r="M865" s="3">
        <f>SUM($J$2:$J865)</f>
        <v>22544011.09999999</v>
      </c>
      <c r="N865" s="2">
        <f>SUM($D$2:$D865)</f>
        <v>4614.6700000000019</v>
      </c>
      <c r="O865" s="2">
        <f t="shared" si="35"/>
        <v>0.27500390336810038</v>
      </c>
      <c r="P865" s="2" cm="1">
        <f t="array" ref="P865">SUMPRODUCT((O865&gt;$T$9:$T$14)*(O865&lt;=$U$9:$U$14),$S$9:$S$14)</f>
        <v>4</v>
      </c>
    </row>
    <row r="866" spans="1:16" x14ac:dyDescent="0.25">
      <c r="A866">
        <v>1129</v>
      </c>
      <c r="B866">
        <v>755</v>
      </c>
      <c r="C866">
        <v>469</v>
      </c>
      <c r="D866">
        <v>1.63</v>
      </c>
      <c r="E866">
        <v>21280</v>
      </c>
      <c r="F866">
        <v>0</v>
      </c>
      <c r="G866">
        <v>21280000</v>
      </c>
      <c r="H866">
        <v>17</v>
      </c>
      <c r="I866">
        <v>880</v>
      </c>
      <c r="J866" s="2">
        <f t="shared" si="34"/>
        <v>1434.3999999999999</v>
      </c>
      <c r="K866">
        <v>865</v>
      </c>
      <c r="L866" s="3">
        <f>SUM($I$2:$I866)</f>
        <v>6073250</v>
      </c>
      <c r="M866" s="3">
        <f>SUM($J$2:$J866)</f>
        <v>22545445.499999989</v>
      </c>
      <c r="N866" s="2">
        <f>SUM($D$2:$D866)</f>
        <v>4616.300000000002</v>
      </c>
      <c r="O866" s="2">
        <f t="shared" si="35"/>
        <v>0.27510104062005775</v>
      </c>
      <c r="P866" s="2" cm="1">
        <f t="array" ref="P866">SUMPRODUCT((O866&gt;$T$9:$T$14)*(O866&lt;=$U$9:$U$14),$S$9:$S$14)</f>
        <v>4</v>
      </c>
    </row>
    <row r="867" spans="1:16" x14ac:dyDescent="0.25">
      <c r="A867">
        <v>1334</v>
      </c>
      <c r="B867">
        <v>166</v>
      </c>
      <c r="C867">
        <v>1260</v>
      </c>
      <c r="D867">
        <v>12.51</v>
      </c>
      <c r="E867">
        <v>39110</v>
      </c>
      <c r="F867">
        <v>0</v>
      </c>
      <c r="G867">
        <v>39110000</v>
      </c>
      <c r="H867">
        <v>93</v>
      </c>
      <c r="I867">
        <v>870</v>
      </c>
      <c r="J867" s="2">
        <f t="shared" si="34"/>
        <v>10883.699999999999</v>
      </c>
      <c r="K867">
        <v>866</v>
      </c>
      <c r="L867" s="3">
        <f>SUM($I$2:$I867)</f>
        <v>6074120</v>
      </c>
      <c r="M867" s="3">
        <f>SUM($J$2:$J867)</f>
        <v>22556329.199999988</v>
      </c>
      <c r="N867" s="2">
        <f>SUM($D$2:$D867)</f>
        <v>4628.8100000000022</v>
      </c>
      <c r="O867" s="2">
        <f t="shared" si="35"/>
        <v>0.27584655413047887</v>
      </c>
      <c r="P867" s="2" cm="1">
        <f t="array" ref="P867">SUMPRODUCT((O867&gt;$T$9:$T$14)*(O867&lt;=$U$9:$U$14),$S$9:$S$14)</f>
        <v>4</v>
      </c>
    </row>
    <row r="868" spans="1:16" x14ac:dyDescent="0.25">
      <c r="A868">
        <v>469</v>
      </c>
      <c r="B868">
        <v>1256</v>
      </c>
      <c r="C868">
        <v>652</v>
      </c>
      <c r="D868">
        <v>9.4600000000000009</v>
      </c>
      <c r="E868">
        <v>16570</v>
      </c>
      <c r="F868">
        <v>0.2</v>
      </c>
      <c r="G868">
        <v>16570002</v>
      </c>
      <c r="H868">
        <v>10</v>
      </c>
      <c r="I868">
        <v>870</v>
      </c>
      <c r="J868" s="2">
        <f t="shared" si="34"/>
        <v>8230.2000000000007</v>
      </c>
      <c r="K868">
        <v>867</v>
      </c>
      <c r="L868" s="3">
        <f>SUM($I$2:$I868)</f>
        <v>6074990</v>
      </c>
      <c r="M868" s="3">
        <f>SUM($J$2:$J868)</f>
        <v>22564559.399999987</v>
      </c>
      <c r="N868" s="2">
        <f>SUM($D$2:$D868)</f>
        <v>4638.2700000000023</v>
      </c>
      <c r="O868" s="2">
        <f t="shared" si="35"/>
        <v>0.2764103077522681</v>
      </c>
      <c r="P868" s="2" cm="1">
        <f t="array" ref="P868">SUMPRODUCT((O868&gt;$T$9:$T$14)*(O868&lt;=$U$9:$U$14),$S$9:$S$14)</f>
        <v>4</v>
      </c>
    </row>
    <row r="869" spans="1:16" x14ac:dyDescent="0.25">
      <c r="A869">
        <v>1019</v>
      </c>
      <c r="B869">
        <v>645</v>
      </c>
      <c r="C869">
        <v>323</v>
      </c>
      <c r="D869">
        <v>5.26</v>
      </c>
      <c r="E869">
        <v>18330</v>
      </c>
      <c r="F869">
        <v>2</v>
      </c>
      <c r="G869">
        <v>18330020</v>
      </c>
      <c r="H869">
        <v>11</v>
      </c>
      <c r="I869">
        <v>870</v>
      </c>
      <c r="J869" s="2">
        <f t="shared" si="34"/>
        <v>4576.2</v>
      </c>
      <c r="K869">
        <v>868</v>
      </c>
      <c r="L869" s="3">
        <f>SUM($I$2:$I869)</f>
        <v>6075860</v>
      </c>
      <c r="M869" s="3">
        <f>SUM($J$2:$J869)</f>
        <v>22569135.599999987</v>
      </c>
      <c r="N869" s="2">
        <f>SUM($D$2:$D869)</f>
        <v>4643.5300000000025</v>
      </c>
      <c r="O869" s="2">
        <f t="shared" si="35"/>
        <v>0.2767237690684004</v>
      </c>
      <c r="P869" s="2" cm="1">
        <f t="array" ref="P869">SUMPRODUCT((O869&gt;$T$9:$T$14)*(O869&lt;=$U$9:$U$14),$S$9:$S$14)</f>
        <v>4</v>
      </c>
    </row>
    <row r="870" spans="1:16" x14ac:dyDescent="0.25">
      <c r="A870">
        <v>1074</v>
      </c>
      <c r="B870">
        <v>700</v>
      </c>
      <c r="C870">
        <v>393</v>
      </c>
      <c r="D870">
        <v>5.07</v>
      </c>
      <c r="E870">
        <v>17170</v>
      </c>
      <c r="F870">
        <v>0</v>
      </c>
      <c r="G870">
        <v>17170000</v>
      </c>
      <c r="H870">
        <v>11</v>
      </c>
      <c r="I870">
        <v>870</v>
      </c>
      <c r="J870" s="2">
        <f t="shared" si="34"/>
        <v>4410.9000000000005</v>
      </c>
      <c r="K870">
        <v>869</v>
      </c>
      <c r="L870" s="3">
        <f>SUM($I$2:$I870)</f>
        <v>6076730</v>
      </c>
      <c r="M870" s="3">
        <f>SUM($J$2:$J870)</f>
        <v>22573546.499999985</v>
      </c>
      <c r="N870" s="2">
        <f>SUM($D$2:$D870)</f>
        <v>4648.6000000000022</v>
      </c>
      <c r="O870" s="2">
        <f t="shared" si="35"/>
        <v>0.27702590763737206</v>
      </c>
      <c r="P870" s="2" cm="1">
        <f t="array" ref="P870">SUMPRODUCT((O870&gt;$T$9:$T$14)*(O870&lt;=$U$9:$U$14),$S$9:$S$14)</f>
        <v>4</v>
      </c>
    </row>
    <row r="871" spans="1:16" x14ac:dyDescent="0.25">
      <c r="A871">
        <v>549</v>
      </c>
      <c r="B871">
        <v>1336</v>
      </c>
      <c r="C871">
        <v>755</v>
      </c>
      <c r="D871">
        <v>4.7699999999999996</v>
      </c>
      <c r="E871">
        <v>20120</v>
      </c>
      <c r="F871">
        <v>7</v>
      </c>
      <c r="G871">
        <v>20120070</v>
      </c>
      <c r="H871">
        <v>15</v>
      </c>
      <c r="I871">
        <v>870</v>
      </c>
      <c r="J871" s="2">
        <f t="shared" si="34"/>
        <v>4149.8999999999996</v>
      </c>
      <c r="K871">
        <v>870</v>
      </c>
      <c r="L871" s="3">
        <f>SUM($I$2:$I871)</f>
        <v>6077600</v>
      </c>
      <c r="M871" s="3">
        <f>SUM($J$2:$J871)</f>
        <v>22577696.399999984</v>
      </c>
      <c r="N871" s="2">
        <f>SUM($D$2:$D871)</f>
        <v>4653.3700000000026</v>
      </c>
      <c r="O871" s="2">
        <f t="shared" si="35"/>
        <v>0.27731016818451104</v>
      </c>
      <c r="P871" s="2" cm="1">
        <f t="array" ref="P871">SUMPRODUCT((O871&gt;$T$9:$T$14)*(O871&lt;=$U$9:$U$14),$S$9:$S$14)</f>
        <v>4</v>
      </c>
    </row>
    <row r="872" spans="1:16" x14ac:dyDescent="0.25">
      <c r="A872">
        <v>848</v>
      </c>
      <c r="B872">
        <v>474</v>
      </c>
      <c r="C872">
        <v>93</v>
      </c>
      <c r="D872">
        <v>2.5099999999999998</v>
      </c>
      <c r="E872">
        <v>24045</v>
      </c>
      <c r="F872">
        <v>0</v>
      </c>
      <c r="G872">
        <v>24045000</v>
      </c>
      <c r="H872">
        <v>21</v>
      </c>
      <c r="I872">
        <v>870</v>
      </c>
      <c r="J872" s="2">
        <f t="shared" si="34"/>
        <v>2183.6999999999998</v>
      </c>
      <c r="K872">
        <v>871</v>
      </c>
      <c r="L872" s="3">
        <f>SUM($I$2:$I872)</f>
        <v>6078470</v>
      </c>
      <c r="M872" s="3">
        <f>SUM($J$2:$J872)</f>
        <v>22579880.099999983</v>
      </c>
      <c r="N872" s="2">
        <f>SUM($D$2:$D872)</f>
        <v>4655.8800000000028</v>
      </c>
      <c r="O872" s="2">
        <f t="shared" si="35"/>
        <v>0.27745974763384412</v>
      </c>
      <c r="P872" s="2" cm="1">
        <f t="array" ref="P872">SUMPRODUCT((O872&gt;$T$9:$T$14)*(O872&lt;=$U$9:$U$14),$S$9:$S$14)</f>
        <v>4</v>
      </c>
    </row>
    <row r="873" spans="1:16" x14ac:dyDescent="0.25">
      <c r="A873">
        <v>425</v>
      </c>
      <c r="B873">
        <v>1212</v>
      </c>
      <c r="C873">
        <v>591</v>
      </c>
      <c r="D873">
        <v>2.11</v>
      </c>
      <c r="E873">
        <v>24810</v>
      </c>
      <c r="F873">
        <v>2.2000000000000002</v>
      </c>
      <c r="G873">
        <v>24810022</v>
      </c>
      <c r="H873">
        <v>24</v>
      </c>
      <c r="I873">
        <v>870</v>
      </c>
      <c r="J873" s="2">
        <f t="shared" si="34"/>
        <v>1835.6999999999998</v>
      </c>
      <c r="K873">
        <v>872</v>
      </c>
      <c r="L873" s="3">
        <f>SUM($I$2:$I873)</f>
        <v>6079340</v>
      </c>
      <c r="M873" s="3">
        <f>SUM($J$2:$J873)</f>
        <v>22581715.799999982</v>
      </c>
      <c r="N873" s="2">
        <f>SUM($D$2:$D873)</f>
        <v>4657.9900000000025</v>
      </c>
      <c r="O873" s="2">
        <f t="shared" si="35"/>
        <v>0.27758548972073371</v>
      </c>
      <c r="P873" s="2" cm="1">
        <f t="array" ref="P873">SUMPRODUCT((O873&gt;$T$9:$T$14)*(O873&lt;=$U$9:$U$14),$S$9:$S$14)</f>
        <v>4</v>
      </c>
    </row>
    <row r="874" spans="1:16" x14ac:dyDescent="0.25">
      <c r="A874">
        <v>723</v>
      </c>
      <c r="B874">
        <v>1510</v>
      </c>
      <c r="C874">
        <v>971</v>
      </c>
      <c r="D874">
        <v>1.99</v>
      </c>
      <c r="E874">
        <v>21250</v>
      </c>
      <c r="F874">
        <v>0</v>
      </c>
      <c r="G874">
        <v>21250000</v>
      </c>
      <c r="H874">
        <v>17</v>
      </c>
      <c r="I874">
        <v>870</v>
      </c>
      <c r="J874" s="2">
        <f t="shared" si="34"/>
        <v>1731.3</v>
      </c>
      <c r="K874">
        <v>873</v>
      </c>
      <c r="L874" s="3">
        <f>SUM($I$2:$I874)</f>
        <v>6080210</v>
      </c>
      <c r="M874" s="3">
        <f>SUM($J$2:$J874)</f>
        <v>22583447.099999983</v>
      </c>
      <c r="N874" s="2">
        <f>SUM($D$2:$D874)</f>
        <v>4659.9800000000023</v>
      </c>
      <c r="O874" s="2">
        <f t="shared" si="35"/>
        <v>0.27770408059889018</v>
      </c>
      <c r="P874" s="2" cm="1">
        <f t="array" ref="P874">SUMPRODUCT((O874&gt;$T$9:$T$14)*(O874&lt;=$U$9:$U$14),$S$9:$S$14)</f>
        <v>4</v>
      </c>
    </row>
    <row r="875" spans="1:16" x14ac:dyDescent="0.25">
      <c r="A875">
        <v>1126</v>
      </c>
      <c r="B875">
        <v>752</v>
      </c>
      <c r="C875">
        <v>466</v>
      </c>
      <c r="D875">
        <v>1.84</v>
      </c>
      <c r="E875">
        <v>15840</v>
      </c>
      <c r="F875">
        <v>7</v>
      </c>
      <c r="G875">
        <v>15840070</v>
      </c>
      <c r="H875">
        <v>8</v>
      </c>
      <c r="I875">
        <v>870</v>
      </c>
      <c r="J875" s="2">
        <f t="shared" si="34"/>
        <v>1600.8000000000002</v>
      </c>
      <c r="K875">
        <v>874</v>
      </c>
      <c r="L875" s="3">
        <f>SUM($I$2:$I875)</f>
        <v>6081080</v>
      </c>
      <c r="M875" s="3">
        <f>SUM($J$2:$J875)</f>
        <v>22585047.899999984</v>
      </c>
      <c r="N875" s="2">
        <f>SUM($D$2:$D875)</f>
        <v>4661.8200000000024</v>
      </c>
      <c r="O875" s="2">
        <f t="shared" si="35"/>
        <v>0.27781373246613039</v>
      </c>
      <c r="P875" s="2" cm="1">
        <f t="array" ref="P875">SUMPRODUCT((O875&gt;$T$9:$T$14)*(O875&lt;=$U$9:$U$14),$S$9:$S$14)</f>
        <v>4</v>
      </c>
    </row>
    <row r="876" spans="1:16" x14ac:dyDescent="0.25">
      <c r="A876">
        <v>763</v>
      </c>
      <c r="B876">
        <v>1550</v>
      </c>
      <c r="C876">
        <v>1019</v>
      </c>
      <c r="D876">
        <v>0.7</v>
      </c>
      <c r="E876">
        <v>32780</v>
      </c>
      <c r="F876">
        <v>4.3</v>
      </c>
      <c r="G876">
        <v>32780043</v>
      </c>
      <c r="H876" t="s">
        <v>19</v>
      </c>
      <c r="I876">
        <v>870</v>
      </c>
      <c r="J876" s="2">
        <f t="shared" si="34"/>
        <v>609</v>
      </c>
      <c r="K876">
        <v>875</v>
      </c>
      <c r="L876" s="3">
        <f>SUM($I$2:$I876)</f>
        <v>6081950</v>
      </c>
      <c r="M876" s="3">
        <f>SUM($J$2:$J876)</f>
        <v>22585656.899999984</v>
      </c>
      <c r="N876" s="2">
        <f>SUM($D$2:$D876)</f>
        <v>4662.5200000000023</v>
      </c>
      <c r="O876" s="2">
        <f t="shared" si="35"/>
        <v>0.27785544785040656</v>
      </c>
      <c r="P876" s="2" cm="1">
        <f t="array" ref="P876">SUMPRODUCT((O876&gt;$T$9:$T$14)*(O876&lt;=$U$9:$U$14),$S$9:$S$14)</f>
        <v>4</v>
      </c>
    </row>
    <row r="877" spans="1:16" x14ac:dyDescent="0.25">
      <c r="A877">
        <v>872</v>
      </c>
      <c r="B877">
        <v>498</v>
      </c>
      <c r="C877">
        <v>124</v>
      </c>
      <c r="D877">
        <v>9.57</v>
      </c>
      <c r="E877">
        <v>11760</v>
      </c>
      <c r="F877">
        <v>0</v>
      </c>
      <c r="G877">
        <v>11760000</v>
      </c>
      <c r="H877">
        <v>3</v>
      </c>
      <c r="I877">
        <v>860</v>
      </c>
      <c r="J877" s="2">
        <f t="shared" si="34"/>
        <v>8230.2000000000007</v>
      </c>
      <c r="K877">
        <v>876</v>
      </c>
      <c r="L877" s="3">
        <f>SUM($I$2:$I877)</f>
        <v>6082810</v>
      </c>
      <c r="M877" s="3">
        <f>SUM($J$2:$J877)</f>
        <v>22593887.099999983</v>
      </c>
      <c r="N877" s="2">
        <f>SUM($D$2:$D877)</f>
        <v>4672.090000000002</v>
      </c>
      <c r="O877" s="2">
        <f t="shared" si="35"/>
        <v>0.27842575674686776</v>
      </c>
      <c r="P877" s="2" cm="1">
        <f t="array" ref="P877">SUMPRODUCT((O877&gt;$T$9:$T$14)*(O877&lt;=$U$9:$U$14),$S$9:$S$14)</f>
        <v>4</v>
      </c>
    </row>
    <row r="878" spans="1:16" x14ac:dyDescent="0.25">
      <c r="A878">
        <v>1100</v>
      </c>
      <c r="B878">
        <v>726</v>
      </c>
      <c r="C878">
        <v>432</v>
      </c>
      <c r="D878">
        <v>6.15</v>
      </c>
      <c r="E878">
        <v>14280</v>
      </c>
      <c r="F878">
        <v>1.4</v>
      </c>
      <c r="G878">
        <v>14280014</v>
      </c>
      <c r="H878">
        <v>7</v>
      </c>
      <c r="I878">
        <v>860</v>
      </c>
      <c r="J878" s="2">
        <f t="shared" si="34"/>
        <v>5289</v>
      </c>
      <c r="K878">
        <v>877</v>
      </c>
      <c r="L878" s="3">
        <f>SUM($I$2:$I878)</f>
        <v>6083670</v>
      </c>
      <c r="M878" s="3">
        <f>SUM($J$2:$J878)</f>
        <v>22599176.099999983</v>
      </c>
      <c r="N878" s="2">
        <f>SUM($D$2:$D878)</f>
        <v>4678.2400000000016</v>
      </c>
      <c r="O878" s="2">
        <f t="shared" si="35"/>
        <v>0.27879225619443687</v>
      </c>
      <c r="P878" s="2" cm="1">
        <f t="array" ref="P878">SUMPRODUCT((O878&gt;$T$9:$T$14)*(O878&lt;=$U$9:$U$14),$S$9:$S$14)</f>
        <v>4</v>
      </c>
    </row>
    <row r="879" spans="1:16" x14ac:dyDescent="0.25">
      <c r="A879">
        <v>850</v>
      </c>
      <c r="B879">
        <v>476</v>
      </c>
      <c r="C879">
        <v>95</v>
      </c>
      <c r="D879">
        <v>3.84</v>
      </c>
      <c r="E879">
        <v>21350</v>
      </c>
      <c r="F879">
        <v>9.1999999999999993</v>
      </c>
      <c r="G879">
        <v>21350092</v>
      </c>
      <c r="H879">
        <v>17</v>
      </c>
      <c r="I879">
        <v>860</v>
      </c>
      <c r="J879" s="2">
        <f t="shared" si="34"/>
        <v>3302.4</v>
      </c>
      <c r="K879">
        <v>878</v>
      </c>
      <c r="L879" s="3">
        <f>SUM($I$2:$I879)</f>
        <v>6084530</v>
      </c>
      <c r="M879" s="3">
        <f>SUM($J$2:$J879)</f>
        <v>22602478.499999981</v>
      </c>
      <c r="N879" s="2">
        <f>SUM($D$2:$D879)</f>
        <v>4682.0800000000017</v>
      </c>
      <c r="O879" s="2">
        <f t="shared" si="35"/>
        <v>0.27902109487389465</v>
      </c>
      <c r="P879" s="2" cm="1">
        <f t="array" ref="P879">SUMPRODUCT((O879&gt;$T$9:$T$14)*(O879&lt;=$U$9:$U$14),$S$9:$S$14)</f>
        <v>4</v>
      </c>
    </row>
    <row r="880" spans="1:16" x14ac:dyDescent="0.25">
      <c r="A880">
        <v>738</v>
      </c>
      <c r="B880">
        <v>1525</v>
      </c>
      <c r="C880">
        <v>988</v>
      </c>
      <c r="D880">
        <v>1.39</v>
      </c>
      <c r="E880">
        <v>33360</v>
      </c>
      <c r="F880">
        <v>1.1000000000000001</v>
      </c>
      <c r="G880">
        <v>33360011</v>
      </c>
      <c r="H880">
        <v>60</v>
      </c>
      <c r="I880">
        <v>860</v>
      </c>
      <c r="J880" s="2">
        <f t="shared" si="34"/>
        <v>1195.3999999999999</v>
      </c>
      <c r="K880">
        <v>879</v>
      </c>
      <c r="L880" s="3">
        <f>SUM($I$2:$I880)</f>
        <v>6085390</v>
      </c>
      <c r="M880" s="3">
        <f>SUM($J$2:$J880)</f>
        <v>22603673.89999998</v>
      </c>
      <c r="N880" s="2">
        <f>SUM($D$2:$D880)</f>
        <v>4683.4700000000021</v>
      </c>
      <c r="O880" s="2">
        <f t="shared" si="35"/>
        <v>0.27910392970838593</v>
      </c>
      <c r="P880" s="2" cm="1">
        <f t="array" ref="P880">SUMPRODUCT((O880&gt;$T$9:$T$14)*(O880&lt;=$U$9:$U$14),$S$9:$S$14)</f>
        <v>4</v>
      </c>
    </row>
    <row r="881" spans="1:16" x14ac:dyDescent="0.25">
      <c r="A881">
        <v>1699</v>
      </c>
      <c r="B881">
        <v>1699</v>
      </c>
      <c r="C881">
        <v>2201</v>
      </c>
      <c r="D881">
        <v>28.88</v>
      </c>
      <c r="E881">
        <v>55700</v>
      </c>
      <c r="F881">
        <v>1</v>
      </c>
      <c r="G881">
        <v>55700010</v>
      </c>
      <c r="H881">
        <v>540</v>
      </c>
      <c r="I881">
        <v>850</v>
      </c>
      <c r="J881" s="2">
        <f t="shared" si="34"/>
        <v>24548</v>
      </c>
      <c r="K881">
        <v>880</v>
      </c>
      <c r="L881" s="3">
        <f>SUM($I$2:$I881)</f>
        <v>6086240</v>
      </c>
      <c r="M881" s="3">
        <f>SUM($J$2:$J881)</f>
        <v>22628221.89999998</v>
      </c>
      <c r="N881" s="2">
        <f>SUM($D$2:$D881)</f>
        <v>4712.3500000000022</v>
      </c>
      <c r="O881" s="2">
        <f t="shared" si="35"/>
        <v>0.2808249872768081</v>
      </c>
      <c r="P881" s="2" cm="1">
        <f t="array" ref="P881">SUMPRODUCT((O881&gt;$T$9:$T$14)*(O881&lt;=$U$9:$U$14),$S$9:$S$14)</f>
        <v>4</v>
      </c>
    </row>
    <row r="882" spans="1:16" x14ac:dyDescent="0.25">
      <c r="A882">
        <v>993</v>
      </c>
      <c r="B882">
        <v>619</v>
      </c>
      <c r="C882">
        <v>290</v>
      </c>
      <c r="D882">
        <v>14.61</v>
      </c>
      <c r="E882">
        <v>17660</v>
      </c>
      <c r="F882">
        <v>0</v>
      </c>
      <c r="G882">
        <v>17660000</v>
      </c>
      <c r="H882">
        <v>11</v>
      </c>
      <c r="I882">
        <v>850</v>
      </c>
      <c r="J882" s="2">
        <f t="shared" si="34"/>
        <v>12418.5</v>
      </c>
      <c r="K882">
        <v>881</v>
      </c>
      <c r="L882" s="3">
        <f>SUM($I$2:$I882)</f>
        <v>6087090</v>
      </c>
      <c r="M882" s="3">
        <f>SUM($J$2:$J882)</f>
        <v>22640640.39999998</v>
      </c>
      <c r="N882" s="2">
        <f>SUM($D$2:$D882)</f>
        <v>4726.9600000000019</v>
      </c>
      <c r="O882" s="2">
        <f t="shared" si="35"/>
        <v>0.28169564694005766</v>
      </c>
      <c r="P882" s="2" cm="1">
        <f t="array" ref="P882">SUMPRODUCT((O882&gt;$T$9:$T$14)*(O882&lt;=$U$9:$U$14),$S$9:$S$14)</f>
        <v>4</v>
      </c>
    </row>
    <row r="883" spans="1:16" x14ac:dyDescent="0.25">
      <c r="A883">
        <v>712</v>
      </c>
      <c r="B883">
        <v>1499</v>
      </c>
      <c r="C883">
        <v>956</v>
      </c>
      <c r="D883">
        <v>5.67</v>
      </c>
      <c r="E883">
        <v>16130</v>
      </c>
      <c r="F883">
        <v>0</v>
      </c>
      <c r="G883">
        <v>16130000</v>
      </c>
      <c r="H883">
        <v>9</v>
      </c>
      <c r="I883">
        <v>850</v>
      </c>
      <c r="J883" s="2">
        <f t="shared" si="34"/>
        <v>4819.5</v>
      </c>
      <c r="K883">
        <v>882</v>
      </c>
      <c r="L883" s="3">
        <f>SUM($I$2:$I883)</f>
        <v>6087940</v>
      </c>
      <c r="M883" s="3">
        <f>SUM($J$2:$J883)</f>
        <v>22645459.89999998</v>
      </c>
      <c r="N883" s="2">
        <f>SUM($D$2:$D883)</f>
        <v>4732.6300000000019</v>
      </c>
      <c r="O883" s="2">
        <f t="shared" si="35"/>
        <v>0.28203354155269456</v>
      </c>
      <c r="P883" s="2" cm="1">
        <f t="array" ref="P883">SUMPRODUCT((O883&gt;$T$9:$T$14)*(O883&lt;=$U$9:$U$14),$S$9:$S$14)</f>
        <v>4</v>
      </c>
    </row>
    <row r="884" spans="1:16" x14ac:dyDescent="0.25">
      <c r="A884">
        <v>1179</v>
      </c>
      <c r="B884">
        <v>11</v>
      </c>
      <c r="C884">
        <v>1058</v>
      </c>
      <c r="D884">
        <v>4.16</v>
      </c>
      <c r="E884">
        <v>31020</v>
      </c>
      <c r="F884">
        <v>0</v>
      </c>
      <c r="G884">
        <v>31020000</v>
      </c>
      <c r="H884">
        <v>48</v>
      </c>
      <c r="I884">
        <v>850</v>
      </c>
      <c r="J884" s="2">
        <f t="shared" si="34"/>
        <v>3536</v>
      </c>
      <c r="K884">
        <v>883</v>
      </c>
      <c r="L884" s="3">
        <f>SUM($I$2:$I884)</f>
        <v>6088790</v>
      </c>
      <c r="M884" s="3">
        <f>SUM($J$2:$J884)</f>
        <v>22648995.89999998</v>
      </c>
      <c r="N884" s="2">
        <f>SUM($D$2:$D884)</f>
        <v>4736.7900000000018</v>
      </c>
      <c r="O884" s="2">
        <f t="shared" si="35"/>
        <v>0.28228145012210715</v>
      </c>
      <c r="P884" s="2" cm="1">
        <f t="array" ref="P884">SUMPRODUCT((O884&gt;$T$9:$T$14)*(O884&lt;=$U$9:$U$14),$S$9:$S$14)</f>
        <v>4</v>
      </c>
    </row>
    <row r="885" spans="1:16" x14ac:dyDescent="0.25">
      <c r="A885">
        <v>461</v>
      </c>
      <c r="B885">
        <v>1248</v>
      </c>
      <c r="C885">
        <v>640</v>
      </c>
      <c r="D885">
        <v>2.88</v>
      </c>
      <c r="E885">
        <v>20970</v>
      </c>
      <c r="F885">
        <v>0.6</v>
      </c>
      <c r="G885">
        <v>20970006</v>
      </c>
      <c r="H885">
        <v>17</v>
      </c>
      <c r="I885">
        <v>850</v>
      </c>
      <c r="J885" s="2">
        <f t="shared" si="34"/>
        <v>2448</v>
      </c>
      <c r="K885">
        <v>884</v>
      </c>
      <c r="L885" s="3">
        <f>SUM($I$2:$I885)</f>
        <v>6089640</v>
      </c>
      <c r="M885" s="3">
        <f>SUM($J$2:$J885)</f>
        <v>22651443.89999998</v>
      </c>
      <c r="N885" s="2">
        <f>SUM($D$2:$D885)</f>
        <v>4739.6700000000019</v>
      </c>
      <c r="O885" s="2">
        <f t="shared" si="35"/>
        <v>0.28245307913170054</v>
      </c>
      <c r="P885" s="2" cm="1">
        <f t="array" ref="P885">SUMPRODUCT((O885&gt;$T$9:$T$14)*(O885&lt;=$U$9:$U$14),$S$9:$S$14)</f>
        <v>4</v>
      </c>
    </row>
    <row r="886" spans="1:16" x14ac:dyDescent="0.25">
      <c r="A886">
        <v>998</v>
      </c>
      <c r="B886">
        <v>624</v>
      </c>
      <c r="C886">
        <v>296</v>
      </c>
      <c r="D886">
        <v>1.36</v>
      </c>
      <c r="E886">
        <v>24740</v>
      </c>
      <c r="F886">
        <v>2.4</v>
      </c>
      <c r="G886">
        <v>24740024</v>
      </c>
      <c r="H886">
        <v>24</v>
      </c>
      <c r="I886">
        <v>850</v>
      </c>
      <c r="J886" s="2">
        <f t="shared" si="34"/>
        <v>1156</v>
      </c>
      <c r="K886">
        <v>885</v>
      </c>
      <c r="L886" s="3">
        <f>SUM($I$2:$I886)</f>
        <v>6090490</v>
      </c>
      <c r="M886" s="3">
        <f>SUM($J$2:$J886)</f>
        <v>22652599.89999998</v>
      </c>
      <c r="N886" s="2">
        <f>SUM($D$2:$D886)</f>
        <v>4741.0300000000016</v>
      </c>
      <c r="O886" s="2">
        <f t="shared" si="35"/>
        <v>0.28253412616400847</v>
      </c>
      <c r="P886" s="2" cm="1">
        <f t="array" ref="P886">SUMPRODUCT((O886&gt;$T$9:$T$14)*(O886&lt;=$U$9:$U$14),$S$9:$S$14)</f>
        <v>4</v>
      </c>
    </row>
    <row r="887" spans="1:16" x14ac:dyDescent="0.25">
      <c r="A887">
        <v>1833</v>
      </c>
      <c r="B887">
        <v>1833</v>
      </c>
      <c r="C887">
        <v>42</v>
      </c>
      <c r="D887">
        <v>0.5</v>
      </c>
      <c r="E887">
        <v>12254</v>
      </c>
      <c r="F887">
        <v>1.5</v>
      </c>
      <c r="G887">
        <v>12254015</v>
      </c>
      <c r="H887">
        <v>3</v>
      </c>
      <c r="I887">
        <v>850</v>
      </c>
      <c r="J887" s="2">
        <f t="shared" si="34"/>
        <v>425</v>
      </c>
      <c r="K887">
        <v>886</v>
      </c>
      <c r="L887" s="3">
        <f>SUM($I$2:$I887)</f>
        <v>6091340</v>
      </c>
      <c r="M887" s="3">
        <f>SUM($J$2:$J887)</f>
        <v>22653024.89999998</v>
      </c>
      <c r="N887" s="2">
        <f>SUM($D$2:$D887)</f>
        <v>4741.5300000000016</v>
      </c>
      <c r="O887" s="2">
        <f t="shared" si="35"/>
        <v>0.28256392286706289</v>
      </c>
      <c r="P887" s="2" cm="1">
        <f t="array" ref="P887">SUMPRODUCT((O887&gt;$T$9:$T$14)*(O887&lt;=$U$9:$U$14),$S$9:$S$14)</f>
        <v>4</v>
      </c>
    </row>
    <row r="888" spans="1:16" x14ac:dyDescent="0.25">
      <c r="A888">
        <v>1173</v>
      </c>
      <c r="B888">
        <v>799</v>
      </c>
      <c r="C888">
        <v>522</v>
      </c>
      <c r="D888">
        <v>44.8</v>
      </c>
      <c r="E888">
        <v>21505</v>
      </c>
      <c r="F888">
        <v>0</v>
      </c>
      <c r="G888">
        <v>21505000</v>
      </c>
      <c r="H888">
        <v>17</v>
      </c>
      <c r="I888">
        <v>840</v>
      </c>
      <c r="J888" s="2">
        <f t="shared" si="34"/>
        <v>37632</v>
      </c>
      <c r="K888">
        <v>887</v>
      </c>
      <c r="L888" s="3">
        <f>SUM($I$2:$I888)</f>
        <v>6092180</v>
      </c>
      <c r="M888" s="3">
        <f>SUM($J$2:$J888)</f>
        <v>22690656.89999998</v>
      </c>
      <c r="N888" s="2">
        <f>SUM($D$2:$D888)</f>
        <v>4786.3300000000017</v>
      </c>
      <c r="O888" s="2">
        <f t="shared" si="35"/>
        <v>0.28523370746073717</v>
      </c>
      <c r="P888" s="2" cm="1">
        <f t="array" ref="P888">SUMPRODUCT((O888&gt;$T$9:$T$14)*(O888&lt;=$U$9:$U$14),$S$9:$S$14)</f>
        <v>4</v>
      </c>
    </row>
    <row r="889" spans="1:16" x14ac:dyDescent="0.25">
      <c r="A889">
        <v>995</v>
      </c>
      <c r="B889">
        <v>621</v>
      </c>
      <c r="C889">
        <v>292</v>
      </c>
      <c r="D889">
        <v>17.8</v>
      </c>
      <c r="E889">
        <v>17520</v>
      </c>
      <c r="F889">
        <v>0</v>
      </c>
      <c r="G889">
        <v>17520000</v>
      </c>
      <c r="H889">
        <v>11</v>
      </c>
      <c r="I889">
        <v>840</v>
      </c>
      <c r="J889" s="2">
        <f t="shared" si="34"/>
        <v>14952</v>
      </c>
      <c r="K889">
        <v>888</v>
      </c>
      <c r="L889" s="3">
        <f>SUM($I$2:$I889)</f>
        <v>6093020</v>
      </c>
      <c r="M889" s="3">
        <f>SUM($J$2:$J889)</f>
        <v>22705608.89999998</v>
      </c>
      <c r="N889" s="2">
        <f>SUM($D$2:$D889)</f>
        <v>4804.1300000000019</v>
      </c>
      <c r="O889" s="2">
        <f t="shared" si="35"/>
        <v>0.28629447008947384</v>
      </c>
      <c r="P889" s="2" cm="1">
        <f t="array" ref="P889">SUMPRODUCT((O889&gt;$T$9:$T$14)*(O889&lt;=$U$9:$U$14),$S$9:$S$14)</f>
        <v>4</v>
      </c>
    </row>
    <row r="890" spans="1:16" x14ac:dyDescent="0.25">
      <c r="A890">
        <v>1139</v>
      </c>
      <c r="B890">
        <v>765</v>
      </c>
      <c r="C890">
        <v>480</v>
      </c>
      <c r="D890">
        <v>8.98</v>
      </c>
      <c r="E890">
        <v>17100</v>
      </c>
      <c r="F890">
        <v>0</v>
      </c>
      <c r="G890">
        <v>17100000</v>
      </c>
      <c r="H890">
        <v>11</v>
      </c>
      <c r="I890">
        <v>840</v>
      </c>
      <c r="J890" s="2">
        <f t="shared" si="34"/>
        <v>7543.2000000000007</v>
      </c>
      <c r="K890">
        <v>889</v>
      </c>
      <c r="L890" s="3">
        <f>SUM($I$2:$I890)</f>
        <v>6093860</v>
      </c>
      <c r="M890" s="3">
        <f>SUM($J$2:$J890)</f>
        <v>22713152.099999979</v>
      </c>
      <c r="N890" s="2">
        <f>SUM($D$2:$D890)</f>
        <v>4813.1100000000015</v>
      </c>
      <c r="O890" s="2">
        <f t="shared" si="35"/>
        <v>0.28682961887633085</v>
      </c>
      <c r="P890" s="2" cm="1">
        <f t="array" ref="P890">SUMPRODUCT((O890&gt;$T$9:$T$14)*(O890&lt;=$U$9:$U$14),$S$9:$S$14)</f>
        <v>4</v>
      </c>
    </row>
    <row r="891" spans="1:16" x14ac:dyDescent="0.25">
      <c r="A891">
        <v>1145</v>
      </c>
      <c r="B891">
        <v>771</v>
      </c>
      <c r="C891">
        <v>489</v>
      </c>
      <c r="D891">
        <v>8.8800000000000008</v>
      </c>
      <c r="E891">
        <v>23442</v>
      </c>
      <c r="F891">
        <v>2.7</v>
      </c>
      <c r="G891">
        <v>23442027</v>
      </c>
      <c r="H891">
        <v>19</v>
      </c>
      <c r="I891">
        <v>840</v>
      </c>
      <c r="J891" s="2">
        <f t="shared" si="34"/>
        <v>7459.2000000000007</v>
      </c>
      <c r="K891">
        <v>890</v>
      </c>
      <c r="L891" s="3">
        <f>SUM($I$2:$I891)</f>
        <v>6094700</v>
      </c>
      <c r="M891" s="3">
        <f>SUM($J$2:$J891)</f>
        <v>22720611.299999978</v>
      </c>
      <c r="N891" s="2">
        <f>SUM($D$2:$D891)</f>
        <v>4821.9900000000016</v>
      </c>
      <c r="O891" s="2">
        <f t="shared" si="35"/>
        <v>0.28735880832257699</v>
      </c>
      <c r="P891" s="2" cm="1">
        <f t="array" ref="P891">SUMPRODUCT((O891&gt;$T$9:$T$14)*(O891&lt;=$U$9:$U$14),$S$9:$S$14)</f>
        <v>4</v>
      </c>
    </row>
    <row r="892" spans="1:16" x14ac:dyDescent="0.25">
      <c r="A892">
        <v>717</v>
      </c>
      <c r="B892">
        <v>1504</v>
      </c>
      <c r="C892">
        <v>963</v>
      </c>
      <c r="D892">
        <v>4.09</v>
      </c>
      <c r="E892">
        <v>24590</v>
      </c>
      <c r="F892">
        <v>1.3</v>
      </c>
      <c r="G892">
        <v>24590013</v>
      </c>
      <c r="H892">
        <v>23</v>
      </c>
      <c r="I892">
        <v>840</v>
      </c>
      <c r="J892" s="2">
        <f t="shared" si="34"/>
        <v>3435.6</v>
      </c>
      <c r="K892">
        <v>891</v>
      </c>
      <c r="L892" s="3">
        <f>SUM($I$2:$I892)</f>
        <v>6095540</v>
      </c>
      <c r="M892" s="3">
        <f>SUM($J$2:$J892)</f>
        <v>22724046.89999998</v>
      </c>
      <c r="N892" s="2">
        <f>SUM($D$2:$D892)</f>
        <v>4826.0800000000017</v>
      </c>
      <c r="O892" s="2">
        <f t="shared" si="35"/>
        <v>0.287602545353562</v>
      </c>
      <c r="P892" s="2" cm="1">
        <f t="array" ref="P892">SUMPRODUCT((O892&gt;$T$9:$T$14)*(O892&lt;=$U$9:$U$14),$S$9:$S$14)</f>
        <v>4</v>
      </c>
    </row>
    <row r="893" spans="1:16" x14ac:dyDescent="0.25">
      <c r="A893">
        <v>457</v>
      </c>
      <c r="B893">
        <v>1244</v>
      </c>
      <c r="C893">
        <v>633</v>
      </c>
      <c r="D893">
        <v>32.9</v>
      </c>
      <c r="E893">
        <v>17900</v>
      </c>
      <c r="F893">
        <v>17.3</v>
      </c>
      <c r="G893">
        <v>17900173</v>
      </c>
      <c r="H893">
        <v>11</v>
      </c>
      <c r="I893">
        <v>830</v>
      </c>
      <c r="J893" s="2">
        <f t="shared" si="34"/>
        <v>27307</v>
      </c>
      <c r="K893">
        <v>892</v>
      </c>
      <c r="L893" s="3">
        <f>SUM($I$2:$I893)</f>
        <v>6096370</v>
      </c>
      <c r="M893" s="3">
        <f>SUM($J$2:$J893)</f>
        <v>22751353.89999998</v>
      </c>
      <c r="N893" s="2">
        <f>SUM($D$2:$D893)</f>
        <v>4858.9800000000014</v>
      </c>
      <c r="O893" s="2">
        <f t="shared" si="35"/>
        <v>0.28956316841454149</v>
      </c>
      <c r="P893" s="2" cm="1">
        <f t="array" ref="P893">SUMPRODUCT((O893&gt;$T$9:$T$14)*(O893&lt;=$U$9:$U$14),$S$9:$S$14)</f>
        <v>4</v>
      </c>
    </row>
    <row r="894" spans="1:16" x14ac:dyDescent="0.25">
      <c r="A894">
        <v>644</v>
      </c>
      <c r="B894">
        <v>1431</v>
      </c>
      <c r="C894">
        <v>871</v>
      </c>
      <c r="D894">
        <v>5.26</v>
      </c>
      <c r="E894">
        <v>27634</v>
      </c>
      <c r="F894">
        <v>0</v>
      </c>
      <c r="G894">
        <v>27634000</v>
      </c>
      <c r="H894">
        <v>34</v>
      </c>
      <c r="I894">
        <v>830</v>
      </c>
      <c r="J894" s="2">
        <f t="shared" si="34"/>
        <v>4365.8</v>
      </c>
      <c r="K894">
        <v>893</v>
      </c>
      <c r="L894" s="3">
        <f>SUM($I$2:$I894)</f>
        <v>6097200</v>
      </c>
      <c r="M894" s="3">
        <f>SUM($J$2:$J894)</f>
        <v>22755719.699999981</v>
      </c>
      <c r="N894" s="2">
        <f>SUM($D$2:$D894)</f>
        <v>4864.2400000000016</v>
      </c>
      <c r="O894" s="2">
        <f t="shared" si="35"/>
        <v>0.28987662973067385</v>
      </c>
      <c r="P894" s="2" cm="1">
        <f t="array" ref="P894">SUMPRODUCT((O894&gt;$T$9:$T$14)*(O894&lt;=$U$9:$U$14),$S$9:$S$14)</f>
        <v>4</v>
      </c>
    </row>
    <row r="895" spans="1:16" x14ac:dyDescent="0.25">
      <c r="A895">
        <v>776</v>
      </c>
      <c r="B895">
        <v>1563</v>
      </c>
      <c r="C895">
        <v>1046</v>
      </c>
      <c r="D895">
        <v>2.63</v>
      </c>
      <c r="E895">
        <v>31080</v>
      </c>
      <c r="F895">
        <v>0</v>
      </c>
      <c r="G895">
        <v>31080000</v>
      </c>
      <c r="H895">
        <v>48</v>
      </c>
      <c r="I895">
        <v>830</v>
      </c>
      <c r="J895" s="2">
        <f t="shared" si="34"/>
        <v>2182.9</v>
      </c>
      <c r="K895">
        <v>894</v>
      </c>
      <c r="L895" s="3">
        <f>SUM($I$2:$I895)</f>
        <v>6098030</v>
      </c>
      <c r="M895" s="3">
        <f>SUM($J$2:$J895)</f>
        <v>22757902.599999979</v>
      </c>
      <c r="N895" s="2">
        <f>SUM($D$2:$D895)</f>
        <v>4866.8700000000017</v>
      </c>
      <c r="O895" s="2">
        <f t="shared" si="35"/>
        <v>0.29003336038874</v>
      </c>
      <c r="P895" s="2" cm="1">
        <f t="array" ref="P895">SUMPRODUCT((O895&gt;$T$9:$T$14)*(O895&lt;=$U$9:$U$14),$S$9:$S$14)</f>
        <v>4</v>
      </c>
    </row>
    <row r="896" spans="1:16" x14ac:dyDescent="0.25">
      <c r="A896">
        <v>1106</v>
      </c>
      <c r="B896">
        <v>732</v>
      </c>
      <c r="C896">
        <v>443</v>
      </c>
      <c r="D896">
        <v>1.9</v>
      </c>
      <c r="E896">
        <v>19310</v>
      </c>
      <c r="F896">
        <v>6.6</v>
      </c>
      <c r="G896">
        <v>19310066</v>
      </c>
      <c r="H896">
        <v>12</v>
      </c>
      <c r="I896">
        <v>830</v>
      </c>
      <c r="J896" s="2">
        <f t="shared" si="34"/>
        <v>1577</v>
      </c>
      <c r="K896">
        <v>895</v>
      </c>
      <c r="L896" s="3">
        <f>SUM($I$2:$I896)</f>
        <v>6098860</v>
      </c>
      <c r="M896" s="3">
        <f>SUM($J$2:$J896)</f>
        <v>22759479.599999979</v>
      </c>
      <c r="N896" s="2">
        <f>SUM($D$2:$D896)</f>
        <v>4868.7700000000013</v>
      </c>
      <c r="O896" s="2">
        <f t="shared" si="35"/>
        <v>0.29014658786034669</v>
      </c>
      <c r="P896" s="2" cm="1">
        <f t="array" ref="P896">SUMPRODUCT((O896&gt;$T$9:$T$14)*(O896&lt;=$U$9:$U$14),$S$9:$S$14)</f>
        <v>4</v>
      </c>
    </row>
    <row r="897" spans="1:16" x14ac:dyDescent="0.25">
      <c r="A897">
        <v>653</v>
      </c>
      <c r="B897">
        <v>1440</v>
      </c>
      <c r="C897">
        <v>884</v>
      </c>
      <c r="D897">
        <v>1.4</v>
      </c>
      <c r="E897">
        <v>27315</v>
      </c>
      <c r="F897">
        <v>8</v>
      </c>
      <c r="G897">
        <v>27315080</v>
      </c>
      <c r="H897">
        <v>33</v>
      </c>
      <c r="I897">
        <v>830</v>
      </c>
      <c r="J897" s="2">
        <f t="shared" si="34"/>
        <v>1162</v>
      </c>
      <c r="K897">
        <v>896</v>
      </c>
      <c r="L897" s="3">
        <f>SUM($I$2:$I897)</f>
        <v>6099690</v>
      </c>
      <c r="M897" s="3">
        <f>SUM($J$2:$J897)</f>
        <v>22760641.599999979</v>
      </c>
      <c r="N897" s="2">
        <f>SUM($D$2:$D897)</f>
        <v>4870.170000000001</v>
      </c>
      <c r="O897" s="2">
        <f t="shared" si="35"/>
        <v>0.29023001862889897</v>
      </c>
      <c r="P897" s="2" cm="1">
        <f t="array" ref="P897">SUMPRODUCT((O897&gt;$T$9:$T$14)*(O897&lt;=$U$9:$U$14),$S$9:$S$14)</f>
        <v>4</v>
      </c>
    </row>
    <row r="898" spans="1:16" x14ac:dyDescent="0.25">
      <c r="A898">
        <v>971</v>
      </c>
      <c r="B898">
        <v>597</v>
      </c>
      <c r="C898">
        <v>259</v>
      </c>
      <c r="D898">
        <v>18.579999999999998</v>
      </c>
      <c r="E898">
        <v>21420</v>
      </c>
      <c r="F898">
        <v>0</v>
      </c>
      <c r="G898">
        <v>21420000</v>
      </c>
      <c r="H898">
        <v>17</v>
      </c>
      <c r="I898">
        <v>820</v>
      </c>
      <c r="J898" s="2">
        <f t="shared" ref="J898:J961" si="36">I898*D898</f>
        <v>15235.599999999999</v>
      </c>
      <c r="K898">
        <v>897</v>
      </c>
      <c r="L898" s="3">
        <f>SUM($I$2:$I898)</f>
        <v>6100510</v>
      </c>
      <c r="M898" s="3">
        <f>SUM($J$2:$J898)</f>
        <v>22775877.199999981</v>
      </c>
      <c r="N898" s="2">
        <f>SUM($D$2:$D898)</f>
        <v>4888.7500000000009</v>
      </c>
      <c r="O898" s="2">
        <f t="shared" ref="O898:O961" si="37">N898/$T$4</f>
        <v>0.29133726411440047</v>
      </c>
      <c r="P898" s="2" cm="1">
        <f t="array" ref="P898">SUMPRODUCT((O898&gt;$T$9:$T$14)*(O898&lt;=$U$9:$U$14),$S$9:$S$14)</f>
        <v>4</v>
      </c>
    </row>
    <row r="899" spans="1:16" x14ac:dyDescent="0.25">
      <c r="A899">
        <v>633</v>
      </c>
      <c r="B899">
        <v>1420</v>
      </c>
      <c r="C899">
        <v>860</v>
      </c>
      <c r="D899">
        <v>10.32</v>
      </c>
      <c r="E899">
        <v>14060</v>
      </c>
      <c r="F899">
        <v>0</v>
      </c>
      <c r="G899">
        <v>14060000</v>
      </c>
      <c r="H899">
        <v>7</v>
      </c>
      <c r="I899">
        <v>820</v>
      </c>
      <c r="J899" s="2">
        <f t="shared" si="36"/>
        <v>8462.4</v>
      </c>
      <c r="K899">
        <v>898</v>
      </c>
      <c r="L899" s="3">
        <f>SUM($I$2:$I899)</f>
        <v>6101330</v>
      </c>
      <c r="M899" s="3">
        <f>SUM($J$2:$J899)</f>
        <v>22784339.599999979</v>
      </c>
      <c r="N899" s="2">
        <f>SUM($D$2:$D899)</f>
        <v>4899.0700000000006</v>
      </c>
      <c r="O899" s="2">
        <f t="shared" si="37"/>
        <v>0.29195226806544328</v>
      </c>
      <c r="P899" s="2" cm="1">
        <f t="array" ref="P899">SUMPRODUCT((O899&gt;$T$9:$T$14)*(O899&lt;=$U$9:$U$14),$S$9:$S$14)</f>
        <v>4</v>
      </c>
    </row>
    <row r="900" spans="1:16" x14ac:dyDescent="0.25">
      <c r="A900">
        <v>1211</v>
      </c>
      <c r="B900">
        <v>43</v>
      </c>
      <c r="C900">
        <v>1100</v>
      </c>
      <c r="D900">
        <v>6.19</v>
      </c>
      <c r="E900">
        <v>29110</v>
      </c>
      <c r="F900">
        <v>0</v>
      </c>
      <c r="G900">
        <v>29110000</v>
      </c>
      <c r="H900">
        <v>40</v>
      </c>
      <c r="I900">
        <v>820</v>
      </c>
      <c r="J900" s="2">
        <f t="shared" si="36"/>
        <v>5075.8</v>
      </c>
      <c r="K900">
        <v>899</v>
      </c>
      <c r="L900" s="3">
        <f>SUM($I$2:$I900)</f>
        <v>6102150</v>
      </c>
      <c r="M900" s="3">
        <f>SUM($J$2:$J900)</f>
        <v>22789415.39999998</v>
      </c>
      <c r="N900" s="2">
        <f>SUM($D$2:$D900)</f>
        <v>4905.26</v>
      </c>
      <c r="O900" s="2">
        <f t="shared" si="37"/>
        <v>0.29232115124925678</v>
      </c>
      <c r="P900" s="2" cm="1">
        <f t="array" ref="P900">SUMPRODUCT((O900&gt;$T$9:$T$14)*(O900&lt;=$U$9:$U$14),$S$9:$S$14)</f>
        <v>4</v>
      </c>
    </row>
    <row r="901" spans="1:16" x14ac:dyDescent="0.25">
      <c r="A901">
        <v>1388</v>
      </c>
      <c r="B901">
        <v>220</v>
      </c>
      <c r="C901">
        <v>1333</v>
      </c>
      <c r="D901">
        <v>4.4400000000000004</v>
      </c>
      <c r="E901">
        <v>33690</v>
      </c>
      <c r="F901">
        <v>0</v>
      </c>
      <c r="G901">
        <v>33690000</v>
      </c>
      <c r="H901">
        <v>62</v>
      </c>
      <c r="I901">
        <v>820</v>
      </c>
      <c r="J901" s="2">
        <f t="shared" si="36"/>
        <v>3640.8</v>
      </c>
      <c r="K901">
        <v>900</v>
      </c>
      <c r="L901" s="3">
        <f>SUM($I$2:$I901)</f>
        <v>6102970</v>
      </c>
      <c r="M901" s="3">
        <f>SUM($J$2:$J901)</f>
        <v>22793056.199999981</v>
      </c>
      <c r="N901" s="2">
        <f>SUM($D$2:$D901)</f>
        <v>4909.7</v>
      </c>
      <c r="O901" s="2">
        <f t="shared" si="37"/>
        <v>0.2925857459723798</v>
      </c>
      <c r="P901" s="2" cm="1">
        <f t="array" ref="P901">SUMPRODUCT((O901&gt;$T$9:$T$14)*(O901&lt;=$U$9:$U$14),$S$9:$S$14)</f>
        <v>4</v>
      </c>
    </row>
    <row r="902" spans="1:16" x14ac:dyDescent="0.25">
      <c r="A902">
        <v>1175</v>
      </c>
      <c r="B902">
        <v>7</v>
      </c>
      <c r="C902">
        <v>1055</v>
      </c>
      <c r="D902">
        <v>3.96</v>
      </c>
      <c r="E902">
        <v>31030</v>
      </c>
      <c r="F902">
        <v>6.2</v>
      </c>
      <c r="G902">
        <v>31030062</v>
      </c>
      <c r="H902">
        <v>48</v>
      </c>
      <c r="I902">
        <v>820</v>
      </c>
      <c r="J902" s="2">
        <f t="shared" si="36"/>
        <v>3247.2</v>
      </c>
      <c r="K902">
        <v>901</v>
      </c>
      <c r="L902" s="3">
        <f>SUM($I$2:$I902)</f>
        <v>6103790</v>
      </c>
      <c r="M902" s="3">
        <f>SUM($J$2:$J902)</f>
        <v>22796303.39999998</v>
      </c>
      <c r="N902" s="2">
        <f>SUM($D$2:$D902)</f>
        <v>4913.66</v>
      </c>
      <c r="O902" s="2">
        <f t="shared" si="37"/>
        <v>0.29282173586057064</v>
      </c>
      <c r="P902" s="2" cm="1">
        <f t="array" ref="P902">SUMPRODUCT((O902&gt;$T$9:$T$14)*(O902&lt;=$U$9:$U$14),$S$9:$S$14)</f>
        <v>4</v>
      </c>
    </row>
    <row r="903" spans="1:16" x14ac:dyDescent="0.25">
      <c r="A903">
        <v>1162</v>
      </c>
      <c r="B903">
        <v>788</v>
      </c>
      <c r="C903">
        <v>508</v>
      </c>
      <c r="D903">
        <v>3.66</v>
      </c>
      <c r="E903">
        <v>12730</v>
      </c>
      <c r="F903">
        <v>0</v>
      </c>
      <c r="G903">
        <v>12730000</v>
      </c>
      <c r="H903">
        <v>4</v>
      </c>
      <c r="I903">
        <v>820</v>
      </c>
      <c r="J903" s="2">
        <f t="shared" si="36"/>
        <v>3001.2000000000003</v>
      </c>
      <c r="K903">
        <v>902</v>
      </c>
      <c r="L903" s="3">
        <f>SUM($I$2:$I903)</f>
        <v>6104610</v>
      </c>
      <c r="M903" s="3">
        <f>SUM($J$2:$J903)</f>
        <v>22799304.599999979</v>
      </c>
      <c r="N903" s="2">
        <f>SUM($D$2:$D903)</f>
        <v>4917.32</v>
      </c>
      <c r="O903" s="2">
        <f t="shared" si="37"/>
        <v>0.29303984772692887</v>
      </c>
      <c r="P903" s="2" cm="1">
        <f t="array" ref="P903">SUMPRODUCT((O903&gt;$T$9:$T$14)*(O903&lt;=$U$9:$U$14),$S$9:$S$14)</f>
        <v>4</v>
      </c>
    </row>
    <row r="904" spans="1:16" x14ac:dyDescent="0.25">
      <c r="A904">
        <v>1058</v>
      </c>
      <c r="B904">
        <v>684</v>
      </c>
      <c r="C904">
        <v>373</v>
      </c>
      <c r="D904">
        <v>72.489999999999995</v>
      </c>
      <c r="E904">
        <v>17811</v>
      </c>
      <c r="F904">
        <v>0</v>
      </c>
      <c r="G904">
        <v>17811000</v>
      </c>
      <c r="H904">
        <v>11</v>
      </c>
      <c r="I904">
        <v>810</v>
      </c>
      <c r="J904" s="2">
        <f t="shared" si="36"/>
        <v>58716.899999999994</v>
      </c>
      <c r="K904">
        <v>903</v>
      </c>
      <c r="L904" s="3">
        <f>SUM($I$2:$I904)</f>
        <v>6105420</v>
      </c>
      <c r="M904" s="3">
        <f>SUM($J$2:$J904)</f>
        <v>22858021.499999978</v>
      </c>
      <c r="N904" s="2">
        <f>SUM($D$2:$D904)</f>
        <v>4989.8099999999995</v>
      </c>
      <c r="O904" s="2">
        <f t="shared" si="37"/>
        <v>0.29735977373575584</v>
      </c>
      <c r="P904" s="2" cm="1">
        <f t="array" ref="P904">SUMPRODUCT((O904&gt;$T$9:$T$14)*(O904&lt;=$U$9:$U$14),$S$9:$S$14)</f>
        <v>4</v>
      </c>
    </row>
    <row r="905" spans="1:16" x14ac:dyDescent="0.25">
      <c r="A905">
        <v>982</v>
      </c>
      <c r="B905">
        <v>608</v>
      </c>
      <c r="C905">
        <v>276</v>
      </c>
      <c r="D905">
        <v>36.01</v>
      </c>
      <c r="E905">
        <v>20830</v>
      </c>
      <c r="F905">
        <v>0</v>
      </c>
      <c r="G905">
        <v>20830000</v>
      </c>
      <c r="H905">
        <v>17</v>
      </c>
      <c r="I905">
        <v>810</v>
      </c>
      <c r="J905" s="2">
        <f t="shared" si="36"/>
        <v>29168.1</v>
      </c>
      <c r="K905">
        <v>904</v>
      </c>
      <c r="L905" s="3">
        <f>SUM($I$2:$I905)</f>
        <v>6106230</v>
      </c>
      <c r="M905" s="3">
        <f>SUM($J$2:$J905)</f>
        <v>22887189.599999979</v>
      </c>
      <c r="N905" s="2">
        <f>SUM($D$2:$D905)</f>
        <v>5025.82</v>
      </c>
      <c r="O905" s="2">
        <f t="shared" si="37"/>
        <v>0.29950573228973376</v>
      </c>
      <c r="P905" s="2" cm="1">
        <f t="array" ref="P905">SUMPRODUCT((O905&gt;$T$9:$T$14)*(O905&lt;=$U$9:$U$14),$S$9:$S$14)</f>
        <v>4</v>
      </c>
    </row>
    <row r="906" spans="1:16" x14ac:dyDescent="0.25">
      <c r="A906">
        <v>515</v>
      </c>
      <c r="B906">
        <v>1302</v>
      </c>
      <c r="C906">
        <v>713</v>
      </c>
      <c r="D906">
        <v>28.59</v>
      </c>
      <c r="E906">
        <v>17780</v>
      </c>
      <c r="F906">
        <v>0</v>
      </c>
      <c r="G906">
        <v>17780000</v>
      </c>
      <c r="H906">
        <v>11</v>
      </c>
      <c r="I906">
        <v>810</v>
      </c>
      <c r="J906" s="2">
        <f t="shared" si="36"/>
        <v>23157.9</v>
      </c>
      <c r="K906">
        <v>905</v>
      </c>
      <c r="L906" s="3">
        <f>SUM($I$2:$I906)</f>
        <v>6107040</v>
      </c>
      <c r="M906" s="3">
        <f>SUM($J$2:$J906)</f>
        <v>22910347.499999978</v>
      </c>
      <c r="N906" s="2">
        <f>SUM($D$2:$D906)</f>
        <v>5054.41</v>
      </c>
      <c r="O906" s="2">
        <f t="shared" si="37"/>
        <v>0.30120950777038441</v>
      </c>
      <c r="P906" s="2" cm="1">
        <f t="array" ref="P906">SUMPRODUCT((O906&gt;$T$9:$T$14)*(O906&lt;=$U$9:$U$14),$S$9:$S$14)</f>
        <v>4</v>
      </c>
    </row>
    <row r="907" spans="1:16" x14ac:dyDescent="0.25">
      <c r="A907">
        <v>551</v>
      </c>
      <c r="B907">
        <v>1338</v>
      </c>
      <c r="C907">
        <v>757</v>
      </c>
      <c r="D907">
        <v>22.94</v>
      </c>
      <c r="E907">
        <v>20855</v>
      </c>
      <c r="F907">
        <v>0</v>
      </c>
      <c r="G907">
        <v>20855000</v>
      </c>
      <c r="H907">
        <v>17</v>
      </c>
      <c r="I907">
        <v>810</v>
      </c>
      <c r="J907" s="2">
        <f t="shared" si="36"/>
        <v>18581.400000000001</v>
      </c>
      <c r="K907">
        <v>906</v>
      </c>
      <c r="L907" s="3">
        <f>SUM($I$2:$I907)</f>
        <v>6107850</v>
      </c>
      <c r="M907" s="3">
        <f>SUM($J$2:$J907)</f>
        <v>22928928.899999976</v>
      </c>
      <c r="N907" s="2">
        <f>SUM($D$2:$D907)</f>
        <v>5077.3499999999995</v>
      </c>
      <c r="O907" s="2">
        <f t="shared" si="37"/>
        <v>0.30257658050652025</v>
      </c>
      <c r="P907" s="2" cm="1">
        <f t="array" ref="P907">SUMPRODUCT((O907&gt;$T$9:$T$14)*(O907&lt;=$U$9:$U$14),$S$9:$S$14)</f>
        <v>4</v>
      </c>
    </row>
    <row r="908" spans="1:16" x14ac:dyDescent="0.25">
      <c r="A908">
        <v>1020</v>
      </c>
      <c r="B908">
        <v>646</v>
      </c>
      <c r="C908">
        <v>324</v>
      </c>
      <c r="D908">
        <v>7.38</v>
      </c>
      <c r="E908">
        <v>17430</v>
      </c>
      <c r="F908">
        <v>0</v>
      </c>
      <c r="G908">
        <v>17430000</v>
      </c>
      <c r="H908">
        <v>11</v>
      </c>
      <c r="I908">
        <v>810</v>
      </c>
      <c r="J908" s="2">
        <f t="shared" si="36"/>
        <v>5977.8</v>
      </c>
      <c r="K908">
        <v>907</v>
      </c>
      <c r="L908" s="3">
        <f>SUM($I$2:$I908)</f>
        <v>6108660</v>
      </c>
      <c r="M908" s="3">
        <f>SUM($J$2:$J908)</f>
        <v>22934906.699999977</v>
      </c>
      <c r="N908" s="2">
        <f>SUM($D$2:$D908)</f>
        <v>5084.7299999999996</v>
      </c>
      <c r="O908" s="2">
        <f t="shared" si="37"/>
        <v>0.30301637984360325</v>
      </c>
      <c r="P908" s="2" cm="1">
        <f t="array" ref="P908">SUMPRODUCT((O908&gt;$T$9:$T$14)*(O908&lt;=$U$9:$U$14),$S$9:$S$14)</f>
        <v>4</v>
      </c>
    </row>
    <row r="909" spans="1:16" x14ac:dyDescent="0.25">
      <c r="A909">
        <v>1029</v>
      </c>
      <c r="B909">
        <v>655</v>
      </c>
      <c r="C909">
        <v>336</v>
      </c>
      <c r="D909">
        <v>6.35</v>
      </c>
      <c r="E909">
        <v>15822</v>
      </c>
      <c r="F909">
        <v>0</v>
      </c>
      <c r="G909">
        <v>15822000</v>
      </c>
      <c r="H909">
        <v>8</v>
      </c>
      <c r="I909">
        <v>810</v>
      </c>
      <c r="J909" s="2">
        <f t="shared" si="36"/>
        <v>5143.5</v>
      </c>
      <c r="K909">
        <v>908</v>
      </c>
      <c r="L909" s="3">
        <f>SUM($I$2:$I909)</f>
        <v>6109470</v>
      </c>
      <c r="M909" s="3">
        <f>SUM($J$2:$J909)</f>
        <v>22940050.199999977</v>
      </c>
      <c r="N909" s="2">
        <f>SUM($D$2:$D909)</f>
        <v>5091.08</v>
      </c>
      <c r="O909" s="2">
        <f t="shared" si="37"/>
        <v>0.3033947979723941</v>
      </c>
      <c r="P909" s="2" cm="1">
        <f t="array" ref="P909">SUMPRODUCT((O909&gt;$T$9:$T$14)*(O909&lt;=$U$9:$U$14),$S$9:$S$14)</f>
        <v>4</v>
      </c>
    </row>
    <row r="910" spans="1:16" x14ac:dyDescent="0.25">
      <c r="A910">
        <v>818</v>
      </c>
      <c r="B910">
        <v>444</v>
      </c>
      <c r="C910">
        <v>54</v>
      </c>
      <c r="D910">
        <v>3.72</v>
      </c>
      <c r="E910">
        <v>12045</v>
      </c>
      <c r="F910">
        <v>0</v>
      </c>
      <c r="G910">
        <v>12045000</v>
      </c>
      <c r="H910">
        <v>3</v>
      </c>
      <c r="I910">
        <v>810</v>
      </c>
      <c r="J910" s="2">
        <f t="shared" si="36"/>
        <v>3013.2000000000003</v>
      </c>
      <c r="K910">
        <v>909</v>
      </c>
      <c r="L910" s="3">
        <f>SUM($I$2:$I910)</f>
        <v>6110280</v>
      </c>
      <c r="M910" s="3">
        <f>SUM($J$2:$J910)</f>
        <v>22943063.399999976</v>
      </c>
      <c r="N910" s="2">
        <f>SUM($D$2:$D910)</f>
        <v>5094.8</v>
      </c>
      <c r="O910" s="2">
        <f t="shared" si="37"/>
        <v>0.30361648544311887</v>
      </c>
      <c r="P910" s="2" cm="1">
        <f t="array" ref="P910">SUMPRODUCT((O910&gt;$T$9:$T$14)*(O910&lt;=$U$9:$U$14),$S$9:$S$14)</f>
        <v>4</v>
      </c>
    </row>
    <row r="911" spans="1:16" x14ac:dyDescent="0.25">
      <c r="A911">
        <v>1476</v>
      </c>
      <c r="B911">
        <v>308</v>
      </c>
      <c r="C911">
        <v>1439</v>
      </c>
      <c r="D911">
        <v>1.0900000000000001</v>
      </c>
      <c r="E911">
        <v>45714</v>
      </c>
      <c r="F911">
        <v>1.6</v>
      </c>
      <c r="G911">
        <v>45714016</v>
      </c>
      <c r="H911">
        <v>140</v>
      </c>
      <c r="I911">
        <v>810</v>
      </c>
      <c r="J911" s="2">
        <f t="shared" si="36"/>
        <v>882.90000000000009</v>
      </c>
      <c r="K911">
        <v>910</v>
      </c>
      <c r="L911" s="3">
        <f>SUM($I$2:$I911)</f>
        <v>6111090</v>
      </c>
      <c r="M911" s="3">
        <f>SUM($J$2:$J911)</f>
        <v>22943946.299999975</v>
      </c>
      <c r="N911" s="2">
        <f>SUM($D$2:$D911)</f>
        <v>5095.8900000000003</v>
      </c>
      <c r="O911" s="2">
        <f t="shared" si="37"/>
        <v>0.30368144225577748</v>
      </c>
      <c r="P911" s="2" cm="1">
        <f t="array" ref="P911">SUMPRODUCT((O911&gt;$T$9:$T$14)*(O911&lt;=$U$9:$U$14),$S$9:$S$14)</f>
        <v>4</v>
      </c>
    </row>
    <row r="912" spans="1:16" x14ac:dyDescent="0.25">
      <c r="A912">
        <v>424</v>
      </c>
      <c r="B912">
        <v>1211</v>
      </c>
      <c r="C912">
        <v>590</v>
      </c>
      <c r="D912">
        <v>12.66</v>
      </c>
      <c r="E912">
        <v>24755</v>
      </c>
      <c r="F912">
        <v>0</v>
      </c>
      <c r="G912">
        <v>24755000</v>
      </c>
      <c r="H912">
        <v>24</v>
      </c>
      <c r="I912">
        <v>800</v>
      </c>
      <c r="J912" s="2">
        <f t="shared" si="36"/>
        <v>10128</v>
      </c>
      <c r="K912">
        <v>911</v>
      </c>
      <c r="L912" s="3">
        <f>SUM($I$2:$I912)</f>
        <v>6111890</v>
      </c>
      <c r="M912" s="3">
        <f>SUM($J$2:$J912)</f>
        <v>22954074.299999975</v>
      </c>
      <c r="N912" s="2">
        <f>SUM($D$2:$D912)</f>
        <v>5108.55</v>
      </c>
      <c r="O912" s="2">
        <f t="shared" si="37"/>
        <v>0.30443589477711491</v>
      </c>
      <c r="P912" s="2" cm="1">
        <f t="array" ref="P912">SUMPRODUCT((O912&gt;$T$9:$T$14)*(O912&lt;=$U$9:$U$14),$S$9:$S$14)</f>
        <v>4</v>
      </c>
    </row>
    <row r="913" spans="1:16" x14ac:dyDescent="0.25">
      <c r="A913">
        <v>825</v>
      </c>
      <c r="B913">
        <v>451</v>
      </c>
      <c r="C913">
        <v>61</v>
      </c>
      <c r="D913">
        <v>5.2</v>
      </c>
      <c r="E913">
        <v>12030</v>
      </c>
      <c r="F913">
        <v>0</v>
      </c>
      <c r="G913">
        <v>12030000</v>
      </c>
      <c r="H913">
        <v>3</v>
      </c>
      <c r="I913">
        <v>800</v>
      </c>
      <c r="J913" s="2">
        <f t="shared" si="36"/>
        <v>4160</v>
      </c>
      <c r="K913">
        <v>912</v>
      </c>
      <c r="L913" s="3">
        <f>SUM($I$2:$I913)</f>
        <v>6112690</v>
      </c>
      <c r="M913" s="3">
        <f>SUM($J$2:$J913)</f>
        <v>22958234.299999975</v>
      </c>
      <c r="N913" s="2">
        <f>SUM($D$2:$D913)</f>
        <v>5113.75</v>
      </c>
      <c r="O913" s="2">
        <f t="shared" si="37"/>
        <v>0.30474578048888062</v>
      </c>
      <c r="P913" s="2" cm="1">
        <f t="array" ref="P913">SUMPRODUCT((O913&gt;$T$9:$T$14)*(O913&lt;=$U$9:$U$14),$S$9:$S$14)</f>
        <v>4</v>
      </c>
    </row>
    <row r="914" spans="1:16" x14ac:dyDescent="0.25">
      <c r="A914">
        <v>764</v>
      </c>
      <c r="B914">
        <v>1551</v>
      </c>
      <c r="C914">
        <v>1020</v>
      </c>
      <c r="D914">
        <v>3.74</v>
      </c>
      <c r="E914">
        <v>32780</v>
      </c>
      <c r="F914">
        <v>0</v>
      </c>
      <c r="G914">
        <v>32780000</v>
      </c>
      <c r="H914" t="s">
        <v>19</v>
      </c>
      <c r="I914">
        <v>800</v>
      </c>
      <c r="J914" s="2">
        <f t="shared" si="36"/>
        <v>2992</v>
      </c>
      <c r="K914">
        <v>913</v>
      </c>
      <c r="L914" s="3">
        <f>SUM($I$2:$I914)</f>
        <v>6113490</v>
      </c>
      <c r="M914" s="3">
        <f>SUM($J$2:$J914)</f>
        <v>22961226.299999975</v>
      </c>
      <c r="N914" s="2">
        <f>SUM($D$2:$D914)</f>
        <v>5117.49</v>
      </c>
      <c r="O914" s="2">
        <f t="shared" si="37"/>
        <v>0.30496865982772753</v>
      </c>
      <c r="P914" s="2" cm="1">
        <f t="array" ref="P914">SUMPRODUCT((O914&gt;$T$9:$T$14)*(O914&lt;=$U$9:$U$14),$S$9:$S$14)</f>
        <v>4</v>
      </c>
    </row>
    <row r="915" spans="1:16" x14ac:dyDescent="0.25">
      <c r="A915">
        <v>932</v>
      </c>
      <c r="B915">
        <v>558</v>
      </c>
      <c r="C915">
        <v>208</v>
      </c>
      <c r="D915">
        <v>0.59</v>
      </c>
      <c r="E915">
        <v>21120</v>
      </c>
      <c r="F915">
        <v>16.399999999999999</v>
      </c>
      <c r="G915">
        <v>21120164</v>
      </c>
      <c r="H915">
        <v>17</v>
      </c>
      <c r="I915">
        <v>800</v>
      </c>
      <c r="J915" s="2">
        <f t="shared" si="36"/>
        <v>472</v>
      </c>
      <c r="K915">
        <v>914</v>
      </c>
      <c r="L915" s="3">
        <f>SUM($I$2:$I915)</f>
        <v>6114290</v>
      </c>
      <c r="M915" s="3">
        <f>SUM($J$2:$J915)</f>
        <v>22961698.299999975</v>
      </c>
      <c r="N915" s="2">
        <f>SUM($D$2:$D915)</f>
        <v>5118.08</v>
      </c>
      <c r="O915" s="2">
        <f t="shared" si="37"/>
        <v>0.30500381993733178</v>
      </c>
      <c r="P915" s="2" cm="1">
        <f t="array" ref="P915">SUMPRODUCT((O915&gt;$T$9:$T$14)*(O915&lt;=$U$9:$U$14),$S$9:$S$14)</f>
        <v>4</v>
      </c>
    </row>
    <row r="916" spans="1:16" x14ac:dyDescent="0.25">
      <c r="A916">
        <v>534</v>
      </c>
      <c r="B916">
        <v>1321</v>
      </c>
      <c r="C916">
        <v>739</v>
      </c>
      <c r="D916">
        <v>26.94</v>
      </c>
      <c r="E916">
        <v>13790</v>
      </c>
      <c r="F916">
        <v>0</v>
      </c>
      <c r="G916">
        <v>13790000</v>
      </c>
      <c r="H916">
        <v>6</v>
      </c>
      <c r="I916">
        <v>790</v>
      </c>
      <c r="J916" s="2">
        <f t="shared" si="36"/>
        <v>21282.600000000002</v>
      </c>
      <c r="K916">
        <v>915</v>
      </c>
      <c r="L916" s="3">
        <f>SUM($I$2:$I916)</f>
        <v>6115080</v>
      </c>
      <c r="M916" s="3">
        <f>SUM($J$2:$J916)</f>
        <v>22982980.899999976</v>
      </c>
      <c r="N916" s="2">
        <f>SUM($D$2:$D916)</f>
        <v>5145.0199999999995</v>
      </c>
      <c r="O916" s="2">
        <f t="shared" si="37"/>
        <v>0.3066092662979028</v>
      </c>
      <c r="P916" s="2" cm="1">
        <f t="array" ref="P916">SUMPRODUCT((O916&gt;$T$9:$T$14)*(O916&lt;=$U$9:$U$14),$S$9:$S$14)</f>
        <v>4</v>
      </c>
    </row>
    <row r="917" spans="1:16" x14ac:dyDescent="0.25">
      <c r="A917">
        <v>544</v>
      </c>
      <c r="B917">
        <v>1331</v>
      </c>
      <c r="C917">
        <v>749</v>
      </c>
      <c r="D917">
        <v>11.64</v>
      </c>
      <c r="E917">
        <v>13710</v>
      </c>
      <c r="F917">
        <v>0</v>
      </c>
      <c r="G917">
        <v>13710000</v>
      </c>
      <c r="H917">
        <v>6</v>
      </c>
      <c r="I917">
        <v>790</v>
      </c>
      <c r="J917" s="2">
        <f t="shared" si="36"/>
        <v>9195.6</v>
      </c>
      <c r="K917">
        <v>916</v>
      </c>
      <c r="L917" s="3">
        <f>SUM($I$2:$I917)</f>
        <v>6115870</v>
      </c>
      <c r="M917" s="3">
        <f>SUM($J$2:$J917)</f>
        <v>22992176.499999978</v>
      </c>
      <c r="N917" s="2">
        <f>SUM($D$2:$D917)</f>
        <v>5156.66</v>
      </c>
      <c r="O917" s="2">
        <f t="shared" si="37"/>
        <v>0.30730293354500926</v>
      </c>
      <c r="P917" s="2" cm="1">
        <f t="array" ref="P917">SUMPRODUCT((O917&gt;$T$9:$T$14)*(O917&lt;=$U$9:$U$14),$S$9:$S$14)</f>
        <v>4</v>
      </c>
    </row>
    <row r="918" spans="1:16" x14ac:dyDescent="0.25">
      <c r="A918">
        <v>615</v>
      </c>
      <c r="B918">
        <v>1402</v>
      </c>
      <c r="C918">
        <v>838</v>
      </c>
      <c r="D918">
        <v>8.84</v>
      </c>
      <c r="E918">
        <v>14630</v>
      </c>
      <c r="F918">
        <v>0</v>
      </c>
      <c r="G918">
        <v>14630000</v>
      </c>
      <c r="H918">
        <v>7</v>
      </c>
      <c r="I918">
        <v>790</v>
      </c>
      <c r="J918" s="2">
        <f t="shared" si="36"/>
        <v>6983.5999999999995</v>
      </c>
      <c r="K918">
        <v>917</v>
      </c>
      <c r="L918" s="3">
        <f>SUM($I$2:$I918)</f>
        <v>6116660</v>
      </c>
      <c r="M918" s="3">
        <f>SUM($J$2:$J918)</f>
        <v>22999160.099999979</v>
      </c>
      <c r="N918" s="2">
        <f>SUM($D$2:$D918)</f>
        <v>5165.5</v>
      </c>
      <c r="O918" s="2">
        <f t="shared" si="37"/>
        <v>0.30782973925501111</v>
      </c>
      <c r="P918" s="2" cm="1">
        <f t="array" ref="P918">SUMPRODUCT((O918&gt;$T$9:$T$14)*(O918&lt;=$U$9:$U$14),$S$9:$S$14)</f>
        <v>4</v>
      </c>
    </row>
    <row r="919" spans="1:16" x14ac:dyDescent="0.25">
      <c r="A919">
        <v>1036</v>
      </c>
      <c r="B919">
        <v>662</v>
      </c>
      <c r="C919">
        <v>345</v>
      </c>
      <c r="D919">
        <v>8.74</v>
      </c>
      <c r="E919">
        <v>21190</v>
      </c>
      <c r="F919">
        <v>0</v>
      </c>
      <c r="G919">
        <v>21190000</v>
      </c>
      <c r="H919">
        <v>17</v>
      </c>
      <c r="I919">
        <v>790</v>
      </c>
      <c r="J919" s="2">
        <f t="shared" si="36"/>
        <v>6904.6</v>
      </c>
      <c r="K919">
        <v>918</v>
      </c>
      <c r="L919" s="3">
        <f>SUM($I$2:$I919)</f>
        <v>6117450</v>
      </c>
      <c r="M919" s="3">
        <f>SUM($J$2:$J919)</f>
        <v>23006064.699999981</v>
      </c>
      <c r="N919" s="2">
        <f>SUM($D$2:$D919)</f>
        <v>5174.24</v>
      </c>
      <c r="O919" s="2">
        <f t="shared" si="37"/>
        <v>0.30835058562440198</v>
      </c>
      <c r="P919" s="2" cm="1">
        <f t="array" ref="P919">SUMPRODUCT((O919&gt;$T$9:$T$14)*(O919&lt;=$U$9:$U$14),$S$9:$S$14)</f>
        <v>4</v>
      </c>
    </row>
    <row r="920" spans="1:16" x14ac:dyDescent="0.25">
      <c r="A920">
        <v>428</v>
      </c>
      <c r="B920">
        <v>1215</v>
      </c>
      <c r="C920">
        <v>595</v>
      </c>
      <c r="D920">
        <v>8.41</v>
      </c>
      <c r="E920">
        <v>20990</v>
      </c>
      <c r="F920">
        <v>0</v>
      </c>
      <c r="G920">
        <v>20990000</v>
      </c>
      <c r="H920">
        <v>17</v>
      </c>
      <c r="I920">
        <v>790</v>
      </c>
      <c r="J920" s="2">
        <f t="shared" si="36"/>
        <v>6643.9000000000005</v>
      </c>
      <c r="K920">
        <v>919</v>
      </c>
      <c r="L920" s="3">
        <f>SUM($I$2:$I920)</f>
        <v>6118240</v>
      </c>
      <c r="M920" s="3">
        <f>SUM($J$2:$J920)</f>
        <v>23012708.599999979</v>
      </c>
      <c r="N920" s="2">
        <f>SUM($D$2:$D920)</f>
        <v>5182.6499999999996</v>
      </c>
      <c r="O920" s="2">
        <f t="shared" si="37"/>
        <v>0.308851766169777</v>
      </c>
      <c r="P920" s="2" cm="1">
        <f t="array" ref="P920">SUMPRODUCT((O920&gt;$T$9:$T$14)*(O920&lt;=$U$9:$U$14),$S$9:$S$14)</f>
        <v>4</v>
      </c>
    </row>
    <row r="921" spans="1:16" x14ac:dyDescent="0.25">
      <c r="A921">
        <v>438</v>
      </c>
      <c r="B921">
        <v>1225</v>
      </c>
      <c r="C921">
        <v>608</v>
      </c>
      <c r="D921">
        <v>8.18</v>
      </c>
      <c r="E921">
        <v>24570</v>
      </c>
      <c r="F921">
        <v>0</v>
      </c>
      <c r="G921">
        <v>24570000</v>
      </c>
      <c r="H921">
        <v>23</v>
      </c>
      <c r="I921">
        <v>790</v>
      </c>
      <c r="J921" s="2">
        <f t="shared" si="36"/>
        <v>6462.2</v>
      </c>
      <c r="K921">
        <v>920</v>
      </c>
      <c r="L921" s="3">
        <f>SUM($I$2:$I921)</f>
        <v>6119030</v>
      </c>
      <c r="M921" s="3">
        <f>SUM($J$2:$J921)</f>
        <v>23019170.799999978</v>
      </c>
      <c r="N921" s="2">
        <f>SUM($D$2:$D921)</f>
        <v>5190.83</v>
      </c>
      <c r="O921" s="2">
        <f t="shared" si="37"/>
        <v>0.30933924023174703</v>
      </c>
      <c r="P921" s="2" cm="1">
        <f t="array" ref="P921">SUMPRODUCT((O921&gt;$T$9:$T$14)*(O921&lt;=$U$9:$U$14),$S$9:$S$14)</f>
        <v>4</v>
      </c>
    </row>
    <row r="922" spans="1:16" x14ac:dyDescent="0.25">
      <c r="A922">
        <v>716</v>
      </c>
      <c r="B922">
        <v>1503</v>
      </c>
      <c r="C922">
        <v>962</v>
      </c>
      <c r="D922">
        <v>7.17</v>
      </c>
      <c r="E922">
        <v>24540</v>
      </c>
      <c r="F922">
        <v>1.1000000000000001</v>
      </c>
      <c r="G922">
        <v>24540011</v>
      </c>
      <c r="H922">
        <v>23</v>
      </c>
      <c r="I922">
        <v>790</v>
      </c>
      <c r="J922" s="2">
        <f t="shared" si="36"/>
        <v>5664.3</v>
      </c>
      <c r="K922">
        <v>921</v>
      </c>
      <c r="L922" s="3">
        <f>SUM($I$2:$I922)</f>
        <v>6119820</v>
      </c>
      <c r="M922" s="3">
        <f>SUM($J$2:$J922)</f>
        <v>23024835.099999979</v>
      </c>
      <c r="N922" s="2">
        <f>SUM($D$2:$D922)</f>
        <v>5198</v>
      </c>
      <c r="O922" s="2">
        <f t="shared" si="37"/>
        <v>0.30976652495354712</v>
      </c>
      <c r="P922" s="2" cm="1">
        <f t="array" ref="P922">SUMPRODUCT((O922&gt;$T$9:$T$14)*(O922&lt;=$U$9:$U$14),$S$9:$S$14)</f>
        <v>4</v>
      </c>
    </row>
    <row r="923" spans="1:16" x14ac:dyDescent="0.25">
      <c r="A923">
        <v>777</v>
      </c>
      <c r="B923">
        <v>1564</v>
      </c>
      <c r="C923">
        <v>1047</v>
      </c>
      <c r="D923">
        <v>5.88</v>
      </c>
      <c r="E923">
        <v>31070</v>
      </c>
      <c r="F923">
        <v>2.6</v>
      </c>
      <c r="G923">
        <v>31070026</v>
      </c>
      <c r="H923">
        <v>48</v>
      </c>
      <c r="I923">
        <v>790</v>
      </c>
      <c r="J923" s="2">
        <f t="shared" si="36"/>
        <v>4645.2</v>
      </c>
      <c r="K923">
        <v>922</v>
      </c>
      <c r="L923" s="3">
        <f>SUM($I$2:$I923)</f>
        <v>6120610</v>
      </c>
      <c r="M923" s="3">
        <f>SUM($J$2:$J923)</f>
        <v>23029480.299999978</v>
      </c>
      <c r="N923" s="2">
        <f>SUM($D$2:$D923)</f>
        <v>5203.88</v>
      </c>
      <c r="O923" s="2">
        <f t="shared" si="37"/>
        <v>0.31011693418146685</v>
      </c>
      <c r="P923" s="2" cm="1">
        <f t="array" ref="P923">SUMPRODUCT((O923&gt;$T$9:$T$14)*(O923&lt;=$U$9:$U$14),$S$9:$S$14)</f>
        <v>4</v>
      </c>
    </row>
    <row r="924" spans="1:16" x14ac:dyDescent="0.25">
      <c r="A924">
        <v>1038</v>
      </c>
      <c r="B924">
        <v>664</v>
      </c>
      <c r="C924">
        <v>347</v>
      </c>
      <c r="D924">
        <v>2.95</v>
      </c>
      <c r="E924">
        <v>14655</v>
      </c>
      <c r="F924">
        <v>8.9</v>
      </c>
      <c r="G924">
        <v>14655089</v>
      </c>
      <c r="H924">
        <v>7</v>
      </c>
      <c r="I924">
        <v>790</v>
      </c>
      <c r="J924" s="2">
        <f t="shared" si="36"/>
        <v>2330.5</v>
      </c>
      <c r="K924">
        <v>923</v>
      </c>
      <c r="L924" s="3">
        <f>SUM($I$2:$I924)</f>
        <v>6121400</v>
      </c>
      <c r="M924" s="3">
        <f>SUM($J$2:$J924)</f>
        <v>23031810.799999978</v>
      </c>
      <c r="N924" s="2">
        <f>SUM($D$2:$D924)</f>
        <v>5206.83</v>
      </c>
      <c r="O924" s="2">
        <f t="shared" si="37"/>
        <v>0.31029273472948782</v>
      </c>
      <c r="P924" s="2" cm="1">
        <f t="array" ref="P924">SUMPRODUCT((O924&gt;$T$9:$T$14)*(O924&lt;=$U$9:$U$14),$S$9:$S$14)</f>
        <v>4</v>
      </c>
    </row>
    <row r="925" spans="1:16" x14ac:dyDescent="0.25">
      <c r="A925">
        <v>722</v>
      </c>
      <c r="B925">
        <v>1509</v>
      </c>
      <c r="C925">
        <v>970</v>
      </c>
      <c r="D925">
        <v>1.82</v>
      </c>
      <c r="E925">
        <v>15843</v>
      </c>
      <c r="F925">
        <v>1.2</v>
      </c>
      <c r="G925">
        <v>15843012</v>
      </c>
      <c r="H925">
        <v>8</v>
      </c>
      <c r="I925">
        <v>790</v>
      </c>
      <c r="J925" s="2">
        <f t="shared" si="36"/>
        <v>1437.8</v>
      </c>
      <c r="K925">
        <v>924</v>
      </c>
      <c r="L925" s="3">
        <f>SUM($I$2:$I925)</f>
        <v>6122190</v>
      </c>
      <c r="M925" s="3">
        <f>SUM($J$2:$J925)</f>
        <v>23033248.599999979</v>
      </c>
      <c r="N925" s="2">
        <f>SUM($D$2:$D925)</f>
        <v>5208.6499999999996</v>
      </c>
      <c r="O925" s="2">
        <f t="shared" si="37"/>
        <v>0.31040119472860583</v>
      </c>
      <c r="P925" s="2" cm="1">
        <f t="array" ref="P925">SUMPRODUCT((O925&gt;$T$9:$T$14)*(O925&lt;=$U$9:$U$14),$S$9:$S$14)</f>
        <v>4</v>
      </c>
    </row>
    <row r="926" spans="1:16" x14ac:dyDescent="0.25">
      <c r="A926">
        <v>859</v>
      </c>
      <c r="B926">
        <v>485</v>
      </c>
      <c r="C926">
        <v>106</v>
      </c>
      <c r="D926">
        <v>0.59</v>
      </c>
      <c r="E926">
        <v>11860</v>
      </c>
      <c r="F926">
        <v>3.9</v>
      </c>
      <c r="G926">
        <v>11860039</v>
      </c>
      <c r="H926">
        <v>3</v>
      </c>
      <c r="I926">
        <v>790</v>
      </c>
      <c r="J926" s="2">
        <f t="shared" si="36"/>
        <v>466.09999999999997</v>
      </c>
      <c r="K926">
        <v>925</v>
      </c>
      <c r="L926" s="3">
        <f>SUM($I$2:$I926)</f>
        <v>6122980</v>
      </c>
      <c r="M926" s="3">
        <f>SUM($J$2:$J926)</f>
        <v>23033714.699999981</v>
      </c>
      <c r="N926" s="2">
        <f>SUM($D$2:$D926)</f>
        <v>5209.24</v>
      </c>
      <c r="O926" s="2">
        <f t="shared" si="37"/>
        <v>0.31043635483821003</v>
      </c>
      <c r="P926" s="2" cm="1">
        <f t="array" ref="P926">SUMPRODUCT((O926&gt;$T$9:$T$14)*(O926&lt;=$U$9:$U$14),$S$9:$S$14)</f>
        <v>4</v>
      </c>
    </row>
    <row r="927" spans="1:16" x14ac:dyDescent="0.25">
      <c r="A927">
        <v>1265</v>
      </c>
      <c r="B927">
        <v>97</v>
      </c>
      <c r="C927">
        <v>1171</v>
      </c>
      <c r="D927">
        <v>12.11</v>
      </c>
      <c r="E927">
        <v>40340</v>
      </c>
      <c r="F927">
        <v>2.8</v>
      </c>
      <c r="G927">
        <v>40340028</v>
      </c>
      <c r="H927">
        <v>101</v>
      </c>
      <c r="I927">
        <v>780</v>
      </c>
      <c r="J927" s="2">
        <f t="shared" si="36"/>
        <v>9445.7999999999993</v>
      </c>
      <c r="K927">
        <v>926</v>
      </c>
      <c r="L927" s="3">
        <f>SUM($I$2:$I927)</f>
        <v>6123760</v>
      </c>
      <c r="M927" s="3">
        <f>SUM($J$2:$J927)</f>
        <v>23043160.499999981</v>
      </c>
      <c r="N927" s="2">
        <f>SUM($D$2:$D927)</f>
        <v>5221.3499999999995</v>
      </c>
      <c r="O927" s="2">
        <f t="shared" si="37"/>
        <v>0.31115803098618761</v>
      </c>
      <c r="P927" s="2" cm="1">
        <f t="array" ref="P927">SUMPRODUCT((O927&gt;$T$9:$T$14)*(O927&lt;=$U$9:$U$14),$S$9:$S$14)</f>
        <v>4</v>
      </c>
    </row>
    <row r="928" spans="1:16" x14ac:dyDescent="0.25">
      <c r="A928">
        <v>877</v>
      </c>
      <c r="B928">
        <v>503</v>
      </c>
      <c r="C928">
        <v>130</v>
      </c>
      <c r="D928">
        <v>7.4</v>
      </c>
      <c r="E928">
        <v>11720</v>
      </c>
      <c r="F928">
        <v>1.1000000000000001</v>
      </c>
      <c r="G928">
        <v>11720011</v>
      </c>
      <c r="H928">
        <v>3</v>
      </c>
      <c r="I928">
        <v>780</v>
      </c>
      <c r="J928" s="2">
        <f t="shared" si="36"/>
        <v>5772</v>
      </c>
      <c r="K928">
        <v>927</v>
      </c>
      <c r="L928" s="3">
        <f>SUM($I$2:$I928)</f>
        <v>6124540</v>
      </c>
      <c r="M928" s="3">
        <f>SUM($J$2:$J928)</f>
        <v>23048932.499999981</v>
      </c>
      <c r="N928" s="2">
        <f>SUM($D$2:$D928)</f>
        <v>5228.7499999999991</v>
      </c>
      <c r="O928" s="2">
        <f t="shared" si="37"/>
        <v>0.31159902219139268</v>
      </c>
      <c r="P928" s="2" cm="1">
        <f t="array" ref="P928">SUMPRODUCT((O928&gt;$T$9:$T$14)*(O928&lt;=$U$9:$U$14),$S$9:$S$14)</f>
        <v>4</v>
      </c>
    </row>
    <row r="929" spans="1:16" x14ac:dyDescent="0.25">
      <c r="A929">
        <v>879</v>
      </c>
      <c r="B929">
        <v>505</v>
      </c>
      <c r="C929">
        <v>132</v>
      </c>
      <c r="D929">
        <v>5.27</v>
      </c>
      <c r="E929">
        <v>11715</v>
      </c>
      <c r="F929">
        <v>1.2</v>
      </c>
      <c r="G929">
        <v>11715012</v>
      </c>
      <c r="H929">
        <v>3</v>
      </c>
      <c r="I929">
        <v>780</v>
      </c>
      <c r="J929" s="2">
        <f t="shared" si="36"/>
        <v>4110.5999999999995</v>
      </c>
      <c r="K929">
        <v>928</v>
      </c>
      <c r="L929" s="3">
        <f>SUM($I$2:$I929)</f>
        <v>6125320</v>
      </c>
      <c r="M929" s="3">
        <f>SUM($J$2:$J929)</f>
        <v>23053043.099999983</v>
      </c>
      <c r="N929" s="2">
        <f>SUM($D$2:$D929)</f>
        <v>5234.0199999999995</v>
      </c>
      <c r="O929" s="2">
        <f t="shared" si="37"/>
        <v>0.31191307944158608</v>
      </c>
      <c r="P929" s="2" cm="1">
        <f t="array" ref="P929">SUMPRODUCT((O929&gt;$T$9:$T$14)*(O929&lt;=$U$9:$U$14),$S$9:$S$14)</f>
        <v>4</v>
      </c>
    </row>
    <row r="930" spans="1:16" x14ac:dyDescent="0.25">
      <c r="A930">
        <v>875</v>
      </c>
      <c r="B930">
        <v>501</v>
      </c>
      <c r="C930">
        <v>128</v>
      </c>
      <c r="D930">
        <v>4.46</v>
      </c>
      <c r="E930">
        <v>11720</v>
      </c>
      <c r="F930">
        <v>11.5</v>
      </c>
      <c r="G930">
        <v>11720011</v>
      </c>
      <c r="H930">
        <v>3</v>
      </c>
      <c r="I930">
        <v>780</v>
      </c>
      <c r="J930" s="2">
        <f t="shared" si="36"/>
        <v>3478.8</v>
      </c>
      <c r="K930">
        <v>929</v>
      </c>
      <c r="L930" s="3">
        <f>SUM($I$2:$I930)</f>
        <v>6126100</v>
      </c>
      <c r="M930" s="3">
        <f>SUM($J$2:$J930)</f>
        <v>23056521.899999984</v>
      </c>
      <c r="N930" s="2">
        <f>SUM($D$2:$D930)</f>
        <v>5238.4799999999996</v>
      </c>
      <c r="O930" s="2">
        <f t="shared" si="37"/>
        <v>0.31217886603283135</v>
      </c>
      <c r="P930" s="2" cm="1">
        <f t="array" ref="P930">SUMPRODUCT((O930&gt;$T$9:$T$14)*(O930&lt;=$U$9:$U$14),$S$9:$S$14)</f>
        <v>4</v>
      </c>
    </row>
    <row r="931" spans="1:16" x14ac:dyDescent="0.25">
      <c r="A931">
        <v>845</v>
      </c>
      <c r="B931">
        <v>471</v>
      </c>
      <c r="C931">
        <v>88</v>
      </c>
      <c r="D931">
        <v>16.07</v>
      </c>
      <c r="E931">
        <v>20950</v>
      </c>
      <c r="F931">
        <v>15.8</v>
      </c>
      <c r="G931">
        <v>20950158</v>
      </c>
      <c r="H931">
        <v>17</v>
      </c>
      <c r="I931">
        <v>770</v>
      </c>
      <c r="J931" s="2">
        <f t="shared" si="36"/>
        <v>12373.9</v>
      </c>
      <c r="K931">
        <v>930</v>
      </c>
      <c r="L931" s="3">
        <f>SUM($I$2:$I931)</f>
        <v>6126870</v>
      </c>
      <c r="M931" s="3">
        <f>SUM($J$2:$J931)</f>
        <v>23068895.799999982</v>
      </c>
      <c r="N931" s="2">
        <f>SUM($D$2:$D931)</f>
        <v>5254.5499999999993</v>
      </c>
      <c r="O931" s="2">
        <f t="shared" si="37"/>
        <v>0.31313653206899977</v>
      </c>
      <c r="P931" s="2" cm="1">
        <f t="array" ref="P931">SUMPRODUCT((O931&gt;$T$9:$T$14)*(O931&lt;=$U$9:$U$14),$S$9:$S$14)</f>
        <v>4</v>
      </c>
    </row>
    <row r="932" spans="1:16" x14ac:dyDescent="0.25">
      <c r="A932">
        <v>956</v>
      </c>
      <c r="B932">
        <v>582</v>
      </c>
      <c r="C932">
        <v>240</v>
      </c>
      <c r="D932">
        <v>9.06</v>
      </c>
      <c r="E932">
        <v>14110</v>
      </c>
      <c r="F932">
        <v>0</v>
      </c>
      <c r="G932">
        <v>14110000</v>
      </c>
      <c r="H932">
        <v>7</v>
      </c>
      <c r="I932">
        <v>770</v>
      </c>
      <c r="J932" s="2">
        <f t="shared" si="36"/>
        <v>6976.2000000000007</v>
      </c>
      <c r="K932">
        <v>931</v>
      </c>
      <c r="L932" s="3">
        <f>SUM($I$2:$I932)</f>
        <v>6127640</v>
      </c>
      <c r="M932" s="3">
        <f>SUM($J$2:$J932)</f>
        <v>23075871.999999981</v>
      </c>
      <c r="N932" s="2">
        <f>SUM($D$2:$D932)</f>
        <v>5263.61</v>
      </c>
      <c r="O932" s="2">
        <f t="shared" si="37"/>
        <v>0.31367644832834551</v>
      </c>
      <c r="P932" s="2" cm="1">
        <f t="array" ref="P932">SUMPRODUCT((O932&gt;$T$9:$T$14)*(O932&lt;=$U$9:$U$14),$S$9:$S$14)</f>
        <v>4</v>
      </c>
    </row>
    <row r="933" spans="1:16" x14ac:dyDescent="0.25">
      <c r="A933">
        <v>401</v>
      </c>
      <c r="B933">
        <v>1196</v>
      </c>
      <c r="C933">
        <v>569</v>
      </c>
      <c r="D933">
        <v>4.45</v>
      </c>
      <c r="E933">
        <v>19534</v>
      </c>
      <c r="F933">
        <v>0</v>
      </c>
      <c r="G933">
        <v>19534000</v>
      </c>
      <c r="H933">
        <v>12</v>
      </c>
      <c r="I933">
        <v>770</v>
      </c>
      <c r="J933" s="2">
        <f t="shared" si="36"/>
        <v>3426.5</v>
      </c>
      <c r="K933">
        <v>932</v>
      </c>
      <c r="L933" s="3">
        <f>SUM($I$2:$I933)</f>
        <v>6128410</v>
      </c>
      <c r="M933" s="3">
        <f>SUM($J$2:$J933)</f>
        <v>23079298.499999981</v>
      </c>
      <c r="N933" s="2">
        <f>SUM($D$2:$D933)</f>
        <v>5268.0599999999995</v>
      </c>
      <c r="O933" s="2">
        <f t="shared" si="37"/>
        <v>0.31394163898552968</v>
      </c>
      <c r="P933" s="2" cm="1">
        <f t="array" ref="P933">SUMPRODUCT((O933&gt;$T$9:$T$14)*(O933&lt;=$U$9:$U$14),$S$9:$S$14)</f>
        <v>4</v>
      </c>
    </row>
    <row r="934" spans="1:16" x14ac:dyDescent="0.25">
      <c r="A934">
        <v>775</v>
      </c>
      <c r="B934">
        <v>1562</v>
      </c>
      <c r="C934">
        <v>1041</v>
      </c>
      <c r="D934">
        <v>2.4</v>
      </c>
      <c r="E934">
        <v>31310</v>
      </c>
      <c r="F934">
        <v>6.4</v>
      </c>
      <c r="G934">
        <v>31310064</v>
      </c>
      <c r="H934">
        <v>49</v>
      </c>
      <c r="I934">
        <v>770</v>
      </c>
      <c r="J934" s="2">
        <f t="shared" si="36"/>
        <v>1848</v>
      </c>
      <c r="K934">
        <v>933</v>
      </c>
      <c r="L934" s="3">
        <f>SUM($I$2:$I934)</f>
        <v>6129180</v>
      </c>
      <c r="M934" s="3">
        <f>SUM($J$2:$J934)</f>
        <v>23081146.499999981</v>
      </c>
      <c r="N934" s="2">
        <f>SUM($D$2:$D934)</f>
        <v>5270.4599999999991</v>
      </c>
      <c r="O934" s="2">
        <f t="shared" si="37"/>
        <v>0.31408466316019079</v>
      </c>
      <c r="P934" s="2" cm="1">
        <f t="array" ref="P934">SUMPRODUCT((O934&gt;$T$9:$T$14)*(O934&lt;=$U$9:$U$14),$S$9:$S$14)</f>
        <v>4</v>
      </c>
    </row>
    <row r="935" spans="1:16" x14ac:dyDescent="0.25">
      <c r="A935">
        <v>13</v>
      </c>
      <c r="B935">
        <v>1</v>
      </c>
      <c r="C935">
        <v>1</v>
      </c>
      <c r="D935">
        <v>1.1299999999999999</v>
      </c>
      <c r="E935">
        <v>13475</v>
      </c>
      <c r="F935">
        <v>0</v>
      </c>
      <c r="G935">
        <v>13475000</v>
      </c>
      <c r="H935">
        <v>6</v>
      </c>
      <c r="I935">
        <v>770</v>
      </c>
      <c r="J935" s="2">
        <f t="shared" si="36"/>
        <v>870.09999999999991</v>
      </c>
      <c r="K935">
        <v>934</v>
      </c>
      <c r="L935" s="3">
        <f>SUM($I$2:$I935)</f>
        <v>6129950</v>
      </c>
      <c r="M935" s="3">
        <f>SUM($J$2:$J935)</f>
        <v>23082016.599999983</v>
      </c>
      <c r="N935" s="2">
        <f>SUM($D$2:$D935)</f>
        <v>5271.5899999999992</v>
      </c>
      <c r="O935" s="2">
        <f t="shared" si="37"/>
        <v>0.31415200370909374</v>
      </c>
      <c r="P935" s="2" cm="1">
        <f t="array" ref="P935">SUMPRODUCT((O935&gt;$T$9:$T$14)*(O935&lt;=$U$9:$U$14),$S$9:$S$14)</f>
        <v>4</v>
      </c>
    </row>
    <row r="936" spans="1:16" x14ac:dyDescent="0.25">
      <c r="A936">
        <v>1229</v>
      </c>
      <c r="B936">
        <v>61</v>
      </c>
      <c r="C936">
        <v>1122</v>
      </c>
      <c r="D936">
        <v>0.79</v>
      </c>
      <c r="E936">
        <v>27920</v>
      </c>
      <c r="F936">
        <v>0</v>
      </c>
      <c r="G936">
        <v>27920000</v>
      </c>
      <c r="H936">
        <v>35</v>
      </c>
      <c r="I936">
        <v>770</v>
      </c>
      <c r="J936" s="2">
        <f t="shared" si="36"/>
        <v>608.30000000000007</v>
      </c>
      <c r="K936">
        <v>935</v>
      </c>
      <c r="L936" s="3">
        <f>SUM($I$2:$I936)</f>
        <v>6130720</v>
      </c>
      <c r="M936" s="3">
        <f>SUM($J$2:$J936)</f>
        <v>23082624.899999984</v>
      </c>
      <c r="N936" s="2">
        <f>SUM($D$2:$D936)</f>
        <v>5272.3799999999992</v>
      </c>
      <c r="O936" s="2">
        <f t="shared" si="37"/>
        <v>0.31419908249991968</v>
      </c>
      <c r="P936" s="2" cm="1">
        <f t="array" ref="P936">SUMPRODUCT((O936&gt;$T$9:$T$14)*(O936&lt;=$U$9:$U$14),$S$9:$S$14)</f>
        <v>4</v>
      </c>
    </row>
    <row r="937" spans="1:16" x14ac:dyDescent="0.25">
      <c r="A937">
        <v>1480</v>
      </c>
      <c r="B937">
        <v>312</v>
      </c>
      <c r="C937">
        <v>1443</v>
      </c>
      <c r="D937">
        <v>8.0399999999999991</v>
      </c>
      <c r="E937">
        <v>45440</v>
      </c>
      <c r="F937">
        <v>0</v>
      </c>
      <c r="G937">
        <v>45440000</v>
      </c>
      <c r="H937">
        <v>138</v>
      </c>
      <c r="I937">
        <v>760</v>
      </c>
      <c r="J937" s="2">
        <f t="shared" si="36"/>
        <v>6110.4</v>
      </c>
      <c r="K937">
        <v>936</v>
      </c>
      <c r="L937" s="3">
        <f>SUM($I$2:$I937)</f>
        <v>6131480</v>
      </c>
      <c r="M937" s="3">
        <f>SUM($J$2:$J937)</f>
        <v>23088735.299999982</v>
      </c>
      <c r="N937" s="2">
        <f>SUM($D$2:$D937)</f>
        <v>5280.4199999999992</v>
      </c>
      <c r="O937" s="2">
        <f t="shared" si="37"/>
        <v>0.31467821348503444</v>
      </c>
      <c r="P937" s="2" cm="1">
        <f t="array" ref="P937">SUMPRODUCT((O937&gt;$T$9:$T$14)*(O937&lt;=$U$9:$U$14),$S$9:$S$14)</f>
        <v>4</v>
      </c>
    </row>
    <row r="938" spans="1:16" x14ac:dyDescent="0.25">
      <c r="A938">
        <v>796</v>
      </c>
      <c r="B938">
        <v>422</v>
      </c>
      <c r="C938">
        <v>26</v>
      </c>
      <c r="D938">
        <v>7.87</v>
      </c>
      <c r="E938">
        <v>12840</v>
      </c>
      <c r="F938">
        <v>0.3</v>
      </c>
      <c r="G938">
        <v>12840003</v>
      </c>
      <c r="H938">
        <v>4</v>
      </c>
      <c r="I938">
        <v>760</v>
      </c>
      <c r="J938" s="2">
        <f t="shared" si="36"/>
        <v>5981.2</v>
      </c>
      <c r="K938">
        <v>937</v>
      </c>
      <c r="L938" s="3">
        <f>SUM($I$2:$I938)</f>
        <v>6132240</v>
      </c>
      <c r="M938" s="3">
        <f>SUM($J$2:$J938)</f>
        <v>23094716.499999981</v>
      </c>
      <c r="N938" s="2">
        <f>SUM($D$2:$D938)</f>
        <v>5288.2899999999991</v>
      </c>
      <c r="O938" s="2">
        <f t="shared" si="37"/>
        <v>0.3151472135911107</v>
      </c>
      <c r="P938" s="2" cm="1">
        <f t="array" ref="P938">SUMPRODUCT((O938&gt;$T$9:$T$14)*(O938&lt;=$U$9:$U$14),$S$9:$S$14)</f>
        <v>4</v>
      </c>
    </row>
    <row r="939" spans="1:16" x14ac:dyDescent="0.25">
      <c r="A939">
        <v>686</v>
      </c>
      <c r="B939">
        <v>1473</v>
      </c>
      <c r="C939">
        <v>923</v>
      </c>
      <c r="D939">
        <v>7.61</v>
      </c>
      <c r="E939">
        <v>19520</v>
      </c>
      <c r="F939">
        <v>0</v>
      </c>
      <c r="G939">
        <v>19520000</v>
      </c>
      <c r="H939">
        <v>12</v>
      </c>
      <c r="I939">
        <v>760</v>
      </c>
      <c r="J939" s="2">
        <f t="shared" si="36"/>
        <v>5783.6</v>
      </c>
      <c r="K939">
        <v>938</v>
      </c>
      <c r="L939" s="3">
        <f>SUM($I$2:$I939)</f>
        <v>6133000</v>
      </c>
      <c r="M939" s="3">
        <f>SUM($J$2:$J939)</f>
        <v>23100500.099999983</v>
      </c>
      <c r="N939" s="2">
        <f>SUM($D$2:$D939)</f>
        <v>5295.8999999999987</v>
      </c>
      <c r="O939" s="2">
        <f t="shared" si="37"/>
        <v>0.31560071941159867</v>
      </c>
      <c r="P939" s="2" cm="1">
        <f t="array" ref="P939">SUMPRODUCT((O939&gt;$T$9:$T$14)*(O939&lt;=$U$9:$U$14),$S$9:$S$14)</f>
        <v>4</v>
      </c>
    </row>
    <row r="940" spans="1:16" x14ac:dyDescent="0.25">
      <c r="A940">
        <v>829</v>
      </c>
      <c r="B940">
        <v>455</v>
      </c>
      <c r="C940">
        <v>65</v>
      </c>
      <c r="D940">
        <v>6.97</v>
      </c>
      <c r="E940">
        <v>12020</v>
      </c>
      <c r="F940">
        <v>1.3</v>
      </c>
      <c r="G940">
        <v>12020013</v>
      </c>
      <c r="H940">
        <v>3</v>
      </c>
      <c r="I940">
        <v>760</v>
      </c>
      <c r="J940" s="2">
        <f t="shared" si="36"/>
        <v>5297.2</v>
      </c>
      <c r="K940">
        <v>939</v>
      </c>
      <c r="L940" s="3">
        <f>SUM($I$2:$I940)</f>
        <v>6133760</v>
      </c>
      <c r="M940" s="3">
        <f>SUM($J$2:$J940)</f>
        <v>23105797.299999982</v>
      </c>
      <c r="N940" s="2">
        <f>SUM($D$2:$D940)</f>
        <v>5302.869999999999</v>
      </c>
      <c r="O940" s="2">
        <f t="shared" si="37"/>
        <v>0.31601608545217702</v>
      </c>
      <c r="P940" s="2" cm="1">
        <f t="array" ref="P940">SUMPRODUCT((O940&gt;$T$9:$T$14)*(O940&lt;=$U$9:$U$14),$S$9:$S$14)</f>
        <v>4</v>
      </c>
    </row>
    <row r="941" spans="1:16" x14ac:dyDescent="0.25">
      <c r="A941">
        <v>347</v>
      </c>
      <c r="B941">
        <v>1142</v>
      </c>
      <c r="C941">
        <v>2002</v>
      </c>
      <c r="D941">
        <v>5.66</v>
      </c>
      <c r="E941">
        <v>85160</v>
      </c>
      <c r="F941">
        <v>0</v>
      </c>
      <c r="G941">
        <v>85160000</v>
      </c>
      <c r="H941">
        <v>7279</v>
      </c>
      <c r="I941">
        <v>760</v>
      </c>
      <c r="J941" s="2">
        <f t="shared" si="36"/>
        <v>4301.6000000000004</v>
      </c>
      <c r="K941">
        <v>940</v>
      </c>
      <c r="L941" s="3">
        <f>SUM($I$2:$I941)</f>
        <v>6134520</v>
      </c>
      <c r="M941" s="3">
        <f>SUM($J$2:$J941)</f>
        <v>23110098.899999984</v>
      </c>
      <c r="N941" s="2">
        <f>SUM($D$2:$D941)</f>
        <v>5308.5299999999988</v>
      </c>
      <c r="O941" s="2">
        <f t="shared" si="37"/>
        <v>0.31635338413075281</v>
      </c>
      <c r="P941" s="2" cm="1">
        <f t="array" ref="P941">SUMPRODUCT((O941&gt;$T$9:$T$14)*(O941&lt;=$U$9:$U$14),$S$9:$S$14)</f>
        <v>4</v>
      </c>
    </row>
    <row r="942" spans="1:16" x14ac:dyDescent="0.25">
      <c r="A942">
        <v>1121</v>
      </c>
      <c r="B942">
        <v>747</v>
      </c>
      <c r="C942">
        <v>461</v>
      </c>
      <c r="D942">
        <v>1.99</v>
      </c>
      <c r="E942">
        <v>24570</v>
      </c>
      <c r="F942">
        <v>8.1999999999999993</v>
      </c>
      <c r="G942">
        <v>24570082</v>
      </c>
      <c r="H942">
        <v>23</v>
      </c>
      <c r="I942">
        <v>760</v>
      </c>
      <c r="J942" s="2">
        <f t="shared" si="36"/>
        <v>1512.4</v>
      </c>
      <c r="K942">
        <v>941</v>
      </c>
      <c r="L942" s="3">
        <f>SUM($I$2:$I942)</f>
        <v>6135280</v>
      </c>
      <c r="M942" s="3">
        <f>SUM($J$2:$J942)</f>
        <v>23111611.299999982</v>
      </c>
      <c r="N942" s="2">
        <f>SUM($D$2:$D942)</f>
        <v>5310.5199999999986</v>
      </c>
      <c r="O942" s="2">
        <f t="shared" si="37"/>
        <v>0.31647197500890933</v>
      </c>
      <c r="P942" s="2" cm="1">
        <f t="array" ref="P942">SUMPRODUCT((O942&gt;$T$9:$T$14)*(O942&lt;=$U$9:$U$14),$S$9:$S$14)</f>
        <v>4</v>
      </c>
    </row>
    <row r="943" spans="1:16" x14ac:dyDescent="0.25">
      <c r="A943">
        <v>1809</v>
      </c>
      <c r="B943">
        <v>1809</v>
      </c>
      <c r="C943">
        <v>0</v>
      </c>
      <c r="D943">
        <v>0.74</v>
      </c>
      <c r="E943">
        <v>27632</v>
      </c>
      <c r="F943">
        <v>0</v>
      </c>
      <c r="G943">
        <v>27632000</v>
      </c>
      <c r="H943">
        <v>34</v>
      </c>
      <c r="I943">
        <v>760</v>
      </c>
      <c r="J943" s="2">
        <f t="shared" si="36"/>
        <v>562.4</v>
      </c>
      <c r="K943">
        <v>942</v>
      </c>
      <c r="L943" s="3">
        <f>SUM($I$2:$I943)</f>
        <v>6136040</v>
      </c>
      <c r="M943" s="3">
        <f>SUM($J$2:$J943)</f>
        <v>23112173.699999981</v>
      </c>
      <c r="N943" s="2">
        <f>SUM($D$2:$D943)</f>
        <v>5311.2599999999984</v>
      </c>
      <c r="O943" s="2">
        <f t="shared" si="37"/>
        <v>0.31651607412942984</v>
      </c>
      <c r="P943" s="2" cm="1">
        <f t="array" ref="P943">SUMPRODUCT((O943&gt;$T$9:$T$14)*(O943&lt;=$U$9:$U$14),$S$9:$S$14)</f>
        <v>4</v>
      </c>
    </row>
    <row r="944" spans="1:16" x14ac:dyDescent="0.25">
      <c r="A944">
        <v>530</v>
      </c>
      <c r="B944">
        <v>1317</v>
      </c>
      <c r="C944">
        <v>734</v>
      </c>
      <c r="D944">
        <v>45.28</v>
      </c>
      <c r="E944">
        <v>17260</v>
      </c>
      <c r="F944">
        <v>11.7</v>
      </c>
      <c r="G944">
        <v>17260117</v>
      </c>
      <c r="H944">
        <v>11</v>
      </c>
      <c r="I944">
        <v>750</v>
      </c>
      <c r="J944" s="2">
        <f t="shared" si="36"/>
        <v>33960</v>
      </c>
      <c r="K944">
        <v>943</v>
      </c>
      <c r="L944" s="3">
        <f>SUM($I$2:$I944)</f>
        <v>6136790</v>
      </c>
      <c r="M944" s="3">
        <f>SUM($J$2:$J944)</f>
        <v>23146133.699999981</v>
      </c>
      <c r="N944" s="2">
        <f>SUM($D$2:$D944)</f>
        <v>5356.5399999999981</v>
      </c>
      <c r="O944" s="2">
        <f t="shared" si="37"/>
        <v>0.31921446355803629</v>
      </c>
      <c r="P944" s="2" cm="1">
        <f t="array" ref="P944">SUMPRODUCT((O944&gt;$T$9:$T$14)*(O944&lt;=$U$9:$U$14),$S$9:$S$14)</f>
        <v>4</v>
      </c>
    </row>
    <row r="945" spans="1:16" x14ac:dyDescent="0.25">
      <c r="A945">
        <v>1004</v>
      </c>
      <c r="B945">
        <v>630</v>
      </c>
      <c r="C945">
        <v>304</v>
      </c>
      <c r="D945">
        <v>15.77</v>
      </c>
      <c r="E945">
        <v>20950</v>
      </c>
      <c r="F945">
        <v>0</v>
      </c>
      <c r="G945">
        <v>20950000</v>
      </c>
      <c r="H945">
        <v>17</v>
      </c>
      <c r="I945">
        <v>750</v>
      </c>
      <c r="J945" s="2">
        <f t="shared" si="36"/>
        <v>11827.5</v>
      </c>
      <c r="K945">
        <v>944</v>
      </c>
      <c r="L945" s="3">
        <f>SUM($I$2:$I945)</f>
        <v>6137540</v>
      </c>
      <c r="M945" s="3">
        <f>SUM($J$2:$J945)</f>
        <v>23157961.199999981</v>
      </c>
      <c r="N945" s="2">
        <f>SUM($D$2:$D945)</f>
        <v>5372.3099999999986</v>
      </c>
      <c r="O945" s="2">
        <f t="shared" si="37"/>
        <v>0.32015425157237215</v>
      </c>
      <c r="P945" s="2" cm="1">
        <f t="array" ref="P945">SUMPRODUCT((O945&gt;$T$9:$T$14)*(O945&lt;=$U$9:$U$14),$S$9:$S$14)</f>
        <v>4</v>
      </c>
    </row>
    <row r="946" spans="1:16" x14ac:dyDescent="0.25">
      <c r="A946">
        <v>720</v>
      </c>
      <c r="B946">
        <v>1507</v>
      </c>
      <c r="C946">
        <v>968</v>
      </c>
      <c r="D946">
        <v>9.69</v>
      </c>
      <c r="E946">
        <v>20850</v>
      </c>
      <c r="F946">
        <v>0</v>
      </c>
      <c r="G946">
        <v>20850000</v>
      </c>
      <c r="H946">
        <v>17</v>
      </c>
      <c r="I946">
        <v>750</v>
      </c>
      <c r="J946" s="2">
        <f t="shared" si="36"/>
        <v>7267.5</v>
      </c>
      <c r="K946">
        <v>945</v>
      </c>
      <c r="L946" s="3">
        <f>SUM($I$2:$I946)</f>
        <v>6138290</v>
      </c>
      <c r="M946" s="3">
        <f>SUM($J$2:$J946)</f>
        <v>23165228.699999981</v>
      </c>
      <c r="N946" s="2">
        <f>SUM($D$2:$D946)</f>
        <v>5381.9999999999982</v>
      </c>
      <c r="O946" s="2">
        <f t="shared" si="37"/>
        <v>0.32073171167756637</v>
      </c>
      <c r="P946" s="2" cm="1">
        <f t="array" ref="P946">SUMPRODUCT((O946&gt;$T$9:$T$14)*(O946&lt;=$U$9:$U$14),$S$9:$S$14)</f>
        <v>4</v>
      </c>
    </row>
    <row r="947" spans="1:16" x14ac:dyDescent="0.25">
      <c r="A947">
        <v>421</v>
      </c>
      <c r="B947">
        <v>1208</v>
      </c>
      <c r="C947">
        <v>585</v>
      </c>
      <c r="D947">
        <v>8.32</v>
      </c>
      <c r="E947">
        <v>17580</v>
      </c>
      <c r="F947">
        <v>0</v>
      </c>
      <c r="G947">
        <v>17580000</v>
      </c>
      <c r="H947">
        <v>11</v>
      </c>
      <c r="I947">
        <v>750</v>
      </c>
      <c r="J947" s="2">
        <f t="shared" si="36"/>
        <v>6240</v>
      </c>
      <c r="K947">
        <v>946</v>
      </c>
      <c r="L947" s="3">
        <f>SUM($I$2:$I947)</f>
        <v>6139040</v>
      </c>
      <c r="M947" s="3">
        <f>SUM($J$2:$J947)</f>
        <v>23171468.699999981</v>
      </c>
      <c r="N947" s="2">
        <f>SUM($D$2:$D947)</f>
        <v>5390.3199999999979</v>
      </c>
      <c r="O947" s="2">
        <f t="shared" si="37"/>
        <v>0.32122752881639161</v>
      </c>
      <c r="P947" s="2" cm="1">
        <f t="array" ref="P947">SUMPRODUCT((O947&gt;$T$9:$T$14)*(O947&lt;=$U$9:$U$14),$S$9:$S$14)</f>
        <v>4</v>
      </c>
    </row>
    <row r="948" spans="1:16" x14ac:dyDescent="0.25">
      <c r="A948">
        <v>620</v>
      </c>
      <c r="B948">
        <v>1407</v>
      </c>
      <c r="C948">
        <v>845</v>
      </c>
      <c r="D948">
        <v>8.1</v>
      </c>
      <c r="E948">
        <v>14660</v>
      </c>
      <c r="F948">
        <v>6.2</v>
      </c>
      <c r="G948">
        <v>14660062</v>
      </c>
      <c r="H948">
        <v>7</v>
      </c>
      <c r="I948">
        <v>750</v>
      </c>
      <c r="J948" s="2">
        <f t="shared" si="36"/>
        <v>6075</v>
      </c>
      <c r="K948">
        <v>947</v>
      </c>
      <c r="L948" s="3">
        <f>SUM($I$2:$I948)</f>
        <v>6139790</v>
      </c>
      <c r="M948" s="3">
        <f>SUM($J$2:$J948)</f>
        <v>23177543.699999981</v>
      </c>
      <c r="N948" s="2">
        <f>SUM($D$2:$D948)</f>
        <v>5398.4199999999983</v>
      </c>
      <c r="O948" s="2">
        <f t="shared" si="37"/>
        <v>0.3217102354058729</v>
      </c>
      <c r="P948" s="2" cm="1">
        <f t="array" ref="P948">SUMPRODUCT((O948&gt;$T$9:$T$14)*(O948&lt;=$U$9:$U$14),$S$9:$S$14)</f>
        <v>4</v>
      </c>
    </row>
    <row r="949" spans="1:16" x14ac:dyDescent="0.25">
      <c r="A949">
        <v>1325</v>
      </c>
      <c r="B949">
        <v>157</v>
      </c>
      <c r="C949">
        <v>1250</v>
      </c>
      <c r="D949">
        <v>5.82</v>
      </c>
      <c r="E949">
        <v>37005</v>
      </c>
      <c r="F949">
        <v>0</v>
      </c>
      <c r="G949">
        <v>37005000</v>
      </c>
      <c r="H949">
        <v>77</v>
      </c>
      <c r="I949">
        <v>750</v>
      </c>
      <c r="J949" s="2">
        <f t="shared" si="36"/>
        <v>4365</v>
      </c>
      <c r="K949">
        <v>948</v>
      </c>
      <c r="L949" s="3">
        <f>SUM($I$2:$I949)</f>
        <v>6140540</v>
      </c>
      <c r="M949" s="3">
        <f>SUM($J$2:$J949)</f>
        <v>23181908.699999981</v>
      </c>
      <c r="N949" s="2">
        <f>SUM($D$2:$D949)</f>
        <v>5404.239999999998</v>
      </c>
      <c r="O949" s="2">
        <f t="shared" si="37"/>
        <v>0.3220570690294261</v>
      </c>
      <c r="P949" s="2" cm="1">
        <f t="array" ref="P949">SUMPRODUCT((O949&gt;$T$9:$T$14)*(O949&lt;=$U$9:$U$14),$S$9:$S$14)</f>
        <v>4</v>
      </c>
    </row>
    <row r="950" spans="1:16" x14ac:dyDescent="0.25">
      <c r="A950">
        <v>706</v>
      </c>
      <c r="B950">
        <v>1493</v>
      </c>
      <c r="C950">
        <v>945</v>
      </c>
      <c r="D950">
        <v>5.76</v>
      </c>
      <c r="E950">
        <v>24740</v>
      </c>
      <c r="F950">
        <v>3.7</v>
      </c>
      <c r="G950">
        <v>24740037</v>
      </c>
      <c r="H950">
        <v>24</v>
      </c>
      <c r="I950">
        <v>750</v>
      </c>
      <c r="J950" s="2">
        <f t="shared" si="36"/>
        <v>4320</v>
      </c>
      <c r="K950">
        <v>949</v>
      </c>
      <c r="L950" s="3">
        <f>SUM($I$2:$I950)</f>
        <v>6141290</v>
      </c>
      <c r="M950" s="3">
        <f>SUM($J$2:$J950)</f>
        <v>23186228.699999981</v>
      </c>
      <c r="N950" s="2">
        <f>SUM($D$2:$D950)</f>
        <v>5409.9999999999982</v>
      </c>
      <c r="O950" s="2">
        <f t="shared" si="37"/>
        <v>0.32240032704861282</v>
      </c>
      <c r="P950" s="2" cm="1">
        <f t="array" ref="P950">SUMPRODUCT((O950&gt;$T$9:$T$14)*(O950&lt;=$U$9:$U$14),$S$9:$S$14)</f>
        <v>4</v>
      </c>
    </row>
    <row r="951" spans="1:16" x14ac:dyDescent="0.25">
      <c r="A951">
        <v>977</v>
      </c>
      <c r="B951">
        <v>603</v>
      </c>
      <c r="C951">
        <v>269</v>
      </c>
      <c r="D951">
        <v>4.33</v>
      </c>
      <c r="E951">
        <v>18110</v>
      </c>
      <c r="F951">
        <v>0</v>
      </c>
      <c r="G951">
        <v>18110000</v>
      </c>
      <c r="H951">
        <v>11</v>
      </c>
      <c r="I951">
        <v>750</v>
      </c>
      <c r="J951" s="2">
        <f t="shared" si="36"/>
        <v>3247.5</v>
      </c>
      <c r="K951">
        <v>950</v>
      </c>
      <c r="L951" s="3">
        <f>SUM($I$2:$I951)</f>
        <v>6142040</v>
      </c>
      <c r="M951" s="3">
        <f>SUM($J$2:$J951)</f>
        <v>23189476.199999981</v>
      </c>
      <c r="N951" s="2">
        <f>SUM($D$2:$D951)</f>
        <v>5414.3299999999981</v>
      </c>
      <c r="O951" s="2">
        <f t="shared" si="37"/>
        <v>0.32265836649706392</v>
      </c>
      <c r="P951" s="2" cm="1">
        <f t="array" ref="P951">SUMPRODUCT((O951&gt;$T$9:$T$14)*(O951&lt;=$U$9:$U$14),$S$9:$S$14)</f>
        <v>4</v>
      </c>
    </row>
    <row r="952" spans="1:16" x14ac:dyDescent="0.25">
      <c r="A952">
        <v>1066</v>
      </c>
      <c r="B952">
        <v>692</v>
      </c>
      <c r="C952">
        <v>383</v>
      </c>
      <c r="D952">
        <v>24.31</v>
      </c>
      <c r="E952">
        <v>21610</v>
      </c>
      <c r="F952">
        <v>6.9</v>
      </c>
      <c r="G952">
        <v>21610069</v>
      </c>
      <c r="H952">
        <v>17</v>
      </c>
      <c r="I952">
        <v>740</v>
      </c>
      <c r="J952" s="2">
        <f t="shared" si="36"/>
        <v>17989.399999999998</v>
      </c>
      <c r="K952">
        <v>951</v>
      </c>
      <c r="L952" s="3">
        <f>SUM($I$2:$I952)</f>
        <v>6142780</v>
      </c>
      <c r="M952" s="3">
        <f>SUM($J$2:$J952)</f>
        <v>23207465.599999979</v>
      </c>
      <c r="N952" s="2">
        <f>SUM($D$2:$D952)</f>
        <v>5438.6399999999985</v>
      </c>
      <c r="O952" s="2">
        <f t="shared" si="37"/>
        <v>0.32410708219956891</v>
      </c>
      <c r="P952" s="2" cm="1">
        <f t="array" ref="P952">SUMPRODUCT((O952&gt;$T$9:$T$14)*(O952&lt;=$U$9:$U$14),$S$9:$S$14)</f>
        <v>4</v>
      </c>
    </row>
    <row r="953" spans="1:16" x14ac:dyDescent="0.25">
      <c r="A953">
        <v>1107</v>
      </c>
      <c r="B953">
        <v>733</v>
      </c>
      <c r="C953">
        <v>447</v>
      </c>
      <c r="D953">
        <v>17.02</v>
      </c>
      <c r="E953">
        <v>13630</v>
      </c>
      <c r="F953">
        <v>2</v>
      </c>
      <c r="G953">
        <v>13630020</v>
      </c>
      <c r="H953">
        <v>6</v>
      </c>
      <c r="I953">
        <v>740</v>
      </c>
      <c r="J953" s="2">
        <f t="shared" si="36"/>
        <v>12594.8</v>
      </c>
      <c r="K953">
        <v>952</v>
      </c>
      <c r="L953" s="3">
        <f>SUM($I$2:$I953)</f>
        <v>6143520</v>
      </c>
      <c r="M953" s="3">
        <f>SUM($J$2:$J953)</f>
        <v>23220060.39999998</v>
      </c>
      <c r="N953" s="2">
        <f>SUM($D$2:$D953)</f>
        <v>5455.6599999999989</v>
      </c>
      <c r="O953" s="2">
        <f t="shared" si="37"/>
        <v>0.32512136197154068</v>
      </c>
      <c r="P953" s="2" cm="1">
        <f t="array" ref="P953">SUMPRODUCT((O953&gt;$T$9:$T$14)*(O953&lt;=$U$9:$U$14),$S$9:$S$14)</f>
        <v>4</v>
      </c>
    </row>
    <row r="954" spans="1:16" x14ac:dyDescent="0.25">
      <c r="A954">
        <v>574</v>
      </c>
      <c r="B954">
        <v>1361</v>
      </c>
      <c r="C954">
        <v>784</v>
      </c>
      <c r="D954">
        <v>9.6199999999999992</v>
      </c>
      <c r="E954">
        <v>24750</v>
      </c>
      <c r="F954">
        <v>0</v>
      </c>
      <c r="G954">
        <v>24750000</v>
      </c>
      <c r="H954">
        <v>24</v>
      </c>
      <c r="I954">
        <v>740</v>
      </c>
      <c r="J954" s="2">
        <f t="shared" si="36"/>
        <v>7118.7999999999993</v>
      </c>
      <c r="K954">
        <v>953</v>
      </c>
      <c r="L954" s="3">
        <f>SUM($I$2:$I954)</f>
        <v>6144260</v>
      </c>
      <c r="M954" s="3">
        <f>SUM($J$2:$J954)</f>
        <v>23227179.199999981</v>
      </c>
      <c r="N954" s="2">
        <f>SUM($D$2:$D954)</f>
        <v>5465.2799999999988</v>
      </c>
      <c r="O954" s="2">
        <f t="shared" si="37"/>
        <v>0.32569465053830737</v>
      </c>
      <c r="P954" s="2" cm="1">
        <f t="array" ref="P954">SUMPRODUCT((O954&gt;$T$9:$T$14)*(O954&lt;=$U$9:$U$14),$S$9:$S$14)</f>
        <v>4</v>
      </c>
    </row>
    <row r="955" spans="1:16" x14ac:dyDescent="0.25">
      <c r="A955">
        <v>1350</v>
      </c>
      <c r="B955">
        <v>182</v>
      </c>
      <c r="C955">
        <v>1281</v>
      </c>
      <c r="D955">
        <v>9.2200000000000006</v>
      </c>
      <c r="E955">
        <v>37010</v>
      </c>
      <c r="F955">
        <v>0</v>
      </c>
      <c r="G955">
        <v>37010000</v>
      </c>
      <c r="H955">
        <v>77</v>
      </c>
      <c r="I955">
        <v>740</v>
      </c>
      <c r="J955" s="2">
        <f t="shared" si="36"/>
        <v>6822.8</v>
      </c>
      <c r="K955">
        <v>954</v>
      </c>
      <c r="L955" s="3">
        <f>SUM($I$2:$I955)</f>
        <v>6145000</v>
      </c>
      <c r="M955" s="3">
        <f>SUM($J$2:$J955)</f>
        <v>23234001.999999981</v>
      </c>
      <c r="N955" s="2">
        <f>SUM($D$2:$D955)</f>
        <v>5474.4999999999991</v>
      </c>
      <c r="O955" s="2">
        <f t="shared" si="37"/>
        <v>0.32624410174263052</v>
      </c>
      <c r="P955" s="2" cm="1">
        <f t="array" ref="P955">SUMPRODUCT((O955&gt;$T$9:$T$14)*(O955&lt;=$U$9:$U$14),$S$9:$S$14)</f>
        <v>4</v>
      </c>
    </row>
    <row r="956" spans="1:16" x14ac:dyDescent="0.25">
      <c r="A956">
        <v>957</v>
      </c>
      <c r="B956">
        <v>583</v>
      </c>
      <c r="C956">
        <v>241</v>
      </c>
      <c r="D956">
        <v>6.94</v>
      </c>
      <c r="E956">
        <v>14280</v>
      </c>
      <c r="F956">
        <v>7.6</v>
      </c>
      <c r="G956">
        <v>14280076</v>
      </c>
      <c r="H956">
        <v>7</v>
      </c>
      <c r="I956">
        <v>740</v>
      </c>
      <c r="J956" s="2">
        <f t="shared" si="36"/>
        <v>5135.6000000000004</v>
      </c>
      <c r="K956">
        <v>955</v>
      </c>
      <c r="L956" s="3">
        <f>SUM($I$2:$I956)</f>
        <v>6145740</v>
      </c>
      <c r="M956" s="3">
        <f>SUM($J$2:$J956)</f>
        <v>23239137.599999983</v>
      </c>
      <c r="N956" s="2">
        <f>SUM($D$2:$D956)</f>
        <v>5481.4399999999987</v>
      </c>
      <c r="O956" s="2">
        <f t="shared" si="37"/>
        <v>0.32665767998102557</v>
      </c>
      <c r="P956" s="2" cm="1">
        <f t="array" ref="P956">SUMPRODUCT((O956&gt;$T$9:$T$14)*(O956&lt;=$U$9:$U$14),$S$9:$S$14)</f>
        <v>4</v>
      </c>
    </row>
    <row r="957" spans="1:16" x14ac:dyDescent="0.25">
      <c r="A957">
        <v>878</v>
      </c>
      <c r="B957">
        <v>504</v>
      </c>
      <c r="C957">
        <v>131</v>
      </c>
      <c r="D957">
        <v>1.1200000000000001</v>
      </c>
      <c r="E957">
        <v>11720</v>
      </c>
      <c r="F957">
        <v>0</v>
      </c>
      <c r="G957">
        <v>11720000</v>
      </c>
      <c r="H957">
        <v>3</v>
      </c>
      <c r="I957">
        <v>740</v>
      </c>
      <c r="J957" s="2">
        <f t="shared" si="36"/>
        <v>828.80000000000007</v>
      </c>
      <c r="K957">
        <v>956</v>
      </c>
      <c r="L957" s="3">
        <f>SUM($I$2:$I957)</f>
        <v>6146480</v>
      </c>
      <c r="M957" s="3">
        <f>SUM($J$2:$J957)</f>
        <v>23239966.399999984</v>
      </c>
      <c r="N957" s="2">
        <f>SUM($D$2:$D957)</f>
        <v>5482.5599999999986</v>
      </c>
      <c r="O957" s="2">
        <f t="shared" si="37"/>
        <v>0.32672442459586742</v>
      </c>
      <c r="P957" s="2" cm="1">
        <f t="array" ref="P957">SUMPRODUCT((O957&gt;$T$9:$T$14)*(O957&lt;=$U$9:$U$14),$S$9:$S$14)</f>
        <v>4</v>
      </c>
    </row>
    <row r="958" spans="1:16" x14ac:dyDescent="0.25">
      <c r="A958">
        <v>1216</v>
      </c>
      <c r="B958">
        <v>48</v>
      </c>
      <c r="C958">
        <v>1106</v>
      </c>
      <c r="D958">
        <v>0.59</v>
      </c>
      <c r="E958">
        <v>28540</v>
      </c>
      <c r="F958">
        <v>0</v>
      </c>
      <c r="G958">
        <v>28540000</v>
      </c>
      <c r="H958">
        <v>37</v>
      </c>
      <c r="I958">
        <v>740</v>
      </c>
      <c r="J958" s="2">
        <f t="shared" si="36"/>
        <v>436.59999999999997</v>
      </c>
      <c r="K958">
        <v>957</v>
      </c>
      <c r="L958" s="3">
        <f>SUM($I$2:$I958)</f>
        <v>6147220</v>
      </c>
      <c r="M958" s="3">
        <f>SUM($J$2:$J958)</f>
        <v>23240402.999999985</v>
      </c>
      <c r="N958" s="2">
        <f>SUM($D$2:$D958)</f>
        <v>5483.1499999999987</v>
      </c>
      <c r="O958" s="2">
        <f t="shared" si="37"/>
        <v>0.32675958470547162</v>
      </c>
      <c r="P958" s="2" cm="1">
        <f t="array" ref="P958">SUMPRODUCT((O958&gt;$T$9:$T$14)*(O958&lt;=$U$9:$U$14),$S$9:$S$14)</f>
        <v>4</v>
      </c>
    </row>
    <row r="959" spans="1:16" x14ac:dyDescent="0.25">
      <c r="A959">
        <v>1156</v>
      </c>
      <c r="B959">
        <v>782</v>
      </c>
      <c r="C959">
        <v>501</v>
      </c>
      <c r="D959">
        <v>0.51</v>
      </c>
      <c r="E959">
        <v>14495</v>
      </c>
      <c r="F959">
        <v>0</v>
      </c>
      <c r="G959">
        <v>14495000</v>
      </c>
      <c r="H959">
        <v>7</v>
      </c>
      <c r="I959">
        <v>740</v>
      </c>
      <c r="J959" s="2">
        <f t="shared" si="36"/>
        <v>377.40000000000003</v>
      </c>
      <c r="K959">
        <v>958</v>
      </c>
      <c r="L959" s="3">
        <f>SUM($I$2:$I959)</f>
        <v>6147960</v>
      </c>
      <c r="M959" s="3">
        <f>SUM($J$2:$J959)</f>
        <v>23240780.399999984</v>
      </c>
      <c r="N959" s="2">
        <f>SUM($D$2:$D959)</f>
        <v>5483.6599999999989</v>
      </c>
      <c r="O959" s="2">
        <f t="shared" si="37"/>
        <v>0.32678997734258713</v>
      </c>
      <c r="P959" s="2" cm="1">
        <f t="array" ref="P959">SUMPRODUCT((O959&gt;$T$9:$T$14)*(O959&lt;=$U$9:$U$14),$S$9:$S$14)</f>
        <v>4</v>
      </c>
    </row>
    <row r="960" spans="1:16" x14ac:dyDescent="0.25">
      <c r="A960">
        <v>826</v>
      </c>
      <c r="B960">
        <v>452</v>
      </c>
      <c r="C960">
        <v>62</v>
      </c>
      <c r="D960">
        <v>21.42</v>
      </c>
      <c r="E960">
        <v>13665</v>
      </c>
      <c r="F960">
        <v>0</v>
      </c>
      <c r="G960">
        <v>13665000</v>
      </c>
      <c r="H960">
        <v>6</v>
      </c>
      <c r="I960">
        <v>730</v>
      </c>
      <c r="J960" s="2">
        <f t="shared" si="36"/>
        <v>15636.6</v>
      </c>
      <c r="K960">
        <v>959</v>
      </c>
      <c r="L960" s="3">
        <f>SUM($I$2:$I960)</f>
        <v>6148690</v>
      </c>
      <c r="M960" s="3">
        <f>SUM($J$2:$J960)</f>
        <v>23256416.999999985</v>
      </c>
      <c r="N960" s="2">
        <f>SUM($D$2:$D960)</f>
        <v>5505.079999999999</v>
      </c>
      <c r="O960" s="2">
        <f t="shared" si="37"/>
        <v>0.32806646810143764</v>
      </c>
      <c r="P960" s="2" cm="1">
        <f t="array" ref="P960">SUMPRODUCT((O960&gt;$T$9:$T$14)*(O960&lt;=$U$9:$U$14),$S$9:$S$14)</f>
        <v>4</v>
      </c>
    </row>
    <row r="961" spans="1:16" x14ac:dyDescent="0.25">
      <c r="A961">
        <v>901</v>
      </c>
      <c r="B961">
        <v>527</v>
      </c>
      <c r="C961">
        <v>163</v>
      </c>
      <c r="D961">
        <v>12.94</v>
      </c>
      <c r="E961">
        <v>17860</v>
      </c>
      <c r="F961">
        <v>0</v>
      </c>
      <c r="G961">
        <v>17860000</v>
      </c>
      <c r="H961">
        <v>11</v>
      </c>
      <c r="I961">
        <v>730</v>
      </c>
      <c r="J961" s="2">
        <f t="shared" si="36"/>
        <v>9446.1999999999989</v>
      </c>
      <c r="K961">
        <v>960</v>
      </c>
      <c r="L961" s="3">
        <f>SUM($I$2:$I961)</f>
        <v>6149420</v>
      </c>
      <c r="M961" s="3">
        <f>SUM($J$2:$J961)</f>
        <v>23265863.199999984</v>
      </c>
      <c r="N961" s="2">
        <f>SUM($D$2:$D961)</f>
        <v>5518.0199999999986</v>
      </c>
      <c r="O961" s="2">
        <f t="shared" si="37"/>
        <v>0.32883760677648549</v>
      </c>
      <c r="P961" s="2" cm="1">
        <f t="array" ref="P961">SUMPRODUCT((O961&gt;$T$9:$T$14)*(O961&lt;=$U$9:$U$14),$S$9:$S$14)</f>
        <v>4</v>
      </c>
    </row>
    <row r="962" spans="1:16" x14ac:dyDescent="0.25">
      <c r="A962">
        <v>630</v>
      </c>
      <c r="B962">
        <v>1417</v>
      </c>
      <c r="C962">
        <v>856</v>
      </c>
      <c r="D962">
        <v>2.82</v>
      </c>
      <c r="E962">
        <v>25665</v>
      </c>
      <c r="F962">
        <v>0</v>
      </c>
      <c r="G962">
        <v>25665000</v>
      </c>
      <c r="H962">
        <v>26</v>
      </c>
      <c r="I962">
        <v>730</v>
      </c>
      <c r="J962" s="2">
        <f t="shared" ref="J962:J1025" si="38">I962*D962</f>
        <v>2058.6</v>
      </c>
      <c r="K962">
        <v>961</v>
      </c>
      <c r="L962" s="3">
        <f>SUM($I$2:$I962)</f>
        <v>6150150</v>
      </c>
      <c r="M962" s="3">
        <f>SUM($J$2:$J962)</f>
        <v>23267921.799999986</v>
      </c>
      <c r="N962" s="2">
        <f>SUM($D$2:$D962)</f>
        <v>5520.8399999999983</v>
      </c>
      <c r="O962" s="2">
        <f t="shared" ref="O962:O1025" si="39">N962/$T$4</f>
        <v>0.32900566018171229</v>
      </c>
      <c r="P962" s="2" cm="1">
        <f t="array" ref="P962">SUMPRODUCT((O962&gt;$T$9:$T$14)*(O962&lt;=$U$9:$U$14),$S$9:$S$14)</f>
        <v>4</v>
      </c>
    </row>
    <row r="963" spans="1:16" x14ac:dyDescent="0.25">
      <c r="A963">
        <v>1478</v>
      </c>
      <c r="B963">
        <v>310</v>
      </c>
      <c r="C963">
        <v>1441</v>
      </c>
      <c r="D963">
        <v>1.98</v>
      </c>
      <c r="E963">
        <v>45710</v>
      </c>
      <c r="F963">
        <v>0</v>
      </c>
      <c r="G963">
        <v>45710000</v>
      </c>
      <c r="H963">
        <v>140</v>
      </c>
      <c r="I963">
        <v>730</v>
      </c>
      <c r="J963" s="2">
        <f t="shared" si="38"/>
        <v>1445.4</v>
      </c>
      <c r="K963">
        <v>962</v>
      </c>
      <c r="L963" s="3">
        <f>SUM($I$2:$I963)</f>
        <v>6150880</v>
      </c>
      <c r="M963" s="3">
        <f>SUM($J$2:$J963)</f>
        <v>23269367.199999984</v>
      </c>
      <c r="N963" s="2">
        <f>SUM($D$2:$D963)</f>
        <v>5522.8199999999979</v>
      </c>
      <c r="O963" s="2">
        <f t="shared" si="39"/>
        <v>0.32912365512580771</v>
      </c>
      <c r="P963" s="2" cm="1">
        <f t="array" ref="P963">SUMPRODUCT((O963&gt;$T$9:$T$14)*(O963&lt;=$U$9:$U$14),$S$9:$S$14)</f>
        <v>4</v>
      </c>
    </row>
    <row r="964" spans="1:16" x14ac:dyDescent="0.25">
      <c r="A964">
        <v>1561</v>
      </c>
      <c r="B964">
        <v>393</v>
      </c>
      <c r="C964">
        <v>1541</v>
      </c>
      <c r="D964">
        <v>0.69</v>
      </c>
      <c r="E964">
        <v>49806</v>
      </c>
      <c r="F964">
        <v>0</v>
      </c>
      <c r="G964">
        <v>49806000</v>
      </c>
      <c r="H964">
        <v>420</v>
      </c>
      <c r="I964">
        <v>730</v>
      </c>
      <c r="J964" s="2">
        <f t="shared" si="38"/>
        <v>503.7</v>
      </c>
      <c r="K964">
        <v>963</v>
      </c>
      <c r="L964" s="3">
        <f>SUM($I$2:$I964)</f>
        <v>6151610</v>
      </c>
      <c r="M964" s="3">
        <f>SUM($J$2:$J964)</f>
        <v>23269870.899999984</v>
      </c>
      <c r="N964" s="2">
        <f>SUM($D$2:$D964)</f>
        <v>5523.5099999999975</v>
      </c>
      <c r="O964" s="2">
        <f t="shared" si="39"/>
        <v>0.32916477457602278</v>
      </c>
      <c r="P964" s="2" cm="1">
        <f t="array" ref="P964">SUMPRODUCT((O964&gt;$T$9:$T$14)*(O964&lt;=$U$9:$U$14),$S$9:$S$14)</f>
        <v>4</v>
      </c>
    </row>
    <row r="965" spans="1:16" x14ac:dyDescent="0.25">
      <c r="A965">
        <v>1000</v>
      </c>
      <c r="B965">
        <v>626</v>
      </c>
      <c r="C965">
        <v>299</v>
      </c>
      <c r="D965">
        <v>15.24</v>
      </c>
      <c r="E965">
        <v>18130</v>
      </c>
      <c r="F965">
        <v>0</v>
      </c>
      <c r="G965">
        <v>18130000</v>
      </c>
      <c r="H965">
        <v>11</v>
      </c>
      <c r="I965">
        <v>720</v>
      </c>
      <c r="J965" s="2">
        <f t="shared" si="38"/>
        <v>10972.8</v>
      </c>
      <c r="K965">
        <v>964</v>
      </c>
      <c r="L965" s="3">
        <f>SUM($I$2:$I965)</f>
        <v>6152330</v>
      </c>
      <c r="M965" s="3">
        <f>SUM($J$2:$J965)</f>
        <v>23280843.699999984</v>
      </c>
      <c r="N965" s="2">
        <f>SUM($D$2:$D965)</f>
        <v>5538.7499999999973</v>
      </c>
      <c r="O965" s="2">
        <f t="shared" si="39"/>
        <v>0.33007297808512087</v>
      </c>
      <c r="P965" s="2" cm="1">
        <f t="array" ref="P965">SUMPRODUCT((O965&gt;$T$9:$T$14)*(O965&lt;=$U$9:$U$14),$S$9:$S$14)</f>
        <v>4</v>
      </c>
    </row>
    <row r="966" spans="1:16" x14ac:dyDescent="0.25">
      <c r="A966">
        <v>532</v>
      </c>
      <c r="B966">
        <v>1319</v>
      </c>
      <c r="C966">
        <v>736</v>
      </c>
      <c r="D966">
        <v>7.73</v>
      </c>
      <c r="E966">
        <v>21450</v>
      </c>
      <c r="F966">
        <v>11.7</v>
      </c>
      <c r="G966">
        <v>21450117</v>
      </c>
      <c r="H966">
        <v>17</v>
      </c>
      <c r="I966">
        <v>720</v>
      </c>
      <c r="J966" s="2">
        <f t="shared" si="38"/>
        <v>5565.6</v>
      </c>
      <c r="K966">
        <v>965</v>
      </c>
      <c r="L966" s="3">
        <f>SUM($I$2:$I966)</f>
        <v>6153050</v>
      </c>
      <c r="M966" s="3">
        <f>SUM($J$2:$J966)</f>
        <v>23286409.299999986</v>
      </c>
      <c r="N966" s="2">
        <f>SUM($D$2:$D966)</f>
        <v>5546.4799999999968</v>
      </c>
      <c r="O966" s="2">
        <f t="shared" si="39"/>
        <v>0.33053363511434186</v>
      </c>
      <c r="P966" s="2" cm="1">
        <f t="array" ref="P966">SUMPRODUCT((O966&gt;$T$9:$T$14)*(O966&lt;=$U$9:$U$14),$S$9:$S$14)</f>
        <v>4</v>
      </c>
    </row>
    <row r="967" spans="1:16" x14ac:dyDescent="0.25">
      <c r="A967">
        <v>431</v>
      </c>
      <c r="B967">
        <v>1218</v>
      </c>
      <c r="C967">
        <v>598</v>
      </c>
      <c r="D967">
        <v>4.87</v>
      </c>
      <c r="E967">
        <v>21460</v>
      </c>
      <c r="F967">
        <v>1.3</v>
      </c>
      <c r="G967">
        <v>21460013</v>
      </c>
      <c r="H967">
        <v>17</v>
      </c>
      <c r="I967">
        <v>720</v>
      </c>
      <c r="J967" s="2">
        <f t="shared" si="38"/>
        <v>3506.4</v>
      </c>
      <c r="K967">
        <v>966</v>
      </c>
      <c r="L967" s="3">
        <f>SUM($I$2:$I967)</f>
        <v>6153770</v>
      </c>
      <c r="M967" s="3">
        <f>SUM($J$2:$J967)</f>
        <v>23289915.699999984</v>
      </c>
      <c r="N967" s="2">
        <f>SUM($D$2:$D967)</f>
        <v>5551.3499999999967</v>
      </c>
      <c r="O967" s="2">
        <f t="shared" si="39"/>
        <v>0.33082385500209172</v>
      </c>
      <c r="P967" s="2" cm="1">
        <f t="array" ref="P967">SUMPRODUCT((O967&gt;$T$9:$T$14)*(O967&lt;=$U$9:$U$14),$S$9:$S$14)</f>
        <v>4</v>
      </c>
    </row>
    <row r="968" spans="1:16" x14ac:dyDescent="0.25">
      <c r="A968">
        <v>778</v>
      </c>
      <c r="B968">
        <v>1565</v>
      </c>
      <c r="C968">
        <v>1048</v>
      </c>
      <c r="D968">
        <v>2.64</v>
      </c>
      <c r="E968">
        <v>31070</v>
      </c>
      <c r="F968">
        <v>0</v>
      </c>
      <c r="G968">
        <v>31070000</v>
      </c>
      <c r="H968">
        <v>48</v>
      </c>
      <c r="I968">
        <v>720</v>
      </c>
      <c r="J968" s="2">
        <f t="shared" si="38"/>
        <v>1900.8000000000002</v>
      </c>
      <c r="K968">
        <v>967</v>
      </c>
      <c r="L968" s="3">
        <f>SUM($I$2:$I968)</f>
        <v>6154490</v>
      </c>
      <c r="M968" s="3">
        <f>SUM($J$2:$J968)</f>
        <v>23291816.499999985</v>
      </c>
      <c r="N968" s="2">
        <f>SUM($D$2:$D968)</f>
        <v>5553.9899999999971</v>
      </c>
      <c r="O968" s="2">
        <f t="shared" si="39"/>
        <v>0.33098118159421897</v>
      </c>
      <c r="P968" s="2" cm="1">
        <f t="array" ref="P968">SUMPRODUCT((O968&gt;$T$9:$T$14)*(O968&lt;=$U$9:$U$14),$S$9:$S$14)</f>
        <v>4</v>
      </c>
    </row>
    <row r="969" spans="1:16" x14ac:dyDescent="0.25">
      <c r="A969">
        <v>1778</v>
      </c>
      <c r="B969">
        <v>1778</v>
      </c>
      <c r="C969">
        <v>0</v>
      </c>
      <c r="D969">
        <v>1.08</v>
      </c>
      <c r="E969">
        <v>58505</v>
      </c>
      <c r="F969">
        <v>0</v>
      </c>
      <c r="G969">
        <v>58505000</v>
      </c>
      <c r="H969" t="s">
        <v>5</v>
      </c>
      <c r="I969">
        <v>720</v>
      </c>
      <c r="J969" s="2">
        <f t="shared" si="38"/>
        <v>777.6</v>
      </c>
      <c r="K969">
        <v>968</v>
      </c>
      <c r="L969" s="3">
        <f>SUM($I$2:$I969)</f>
        <v>6155210</v>
      </c>
      <c r="M969" s="3">
        <f>SUM($J$2:$J969)</f>
        <v>23292594.099999987</v>
      </c>
      <c r="N969" s="2">
        <f>SUM($D$2:$D969)</f>
        <v>5555.069999999997</v>
      </c>
      <c r="O969" s="2">
        <f t="shared" si="39"/>
        <v>0.33104554247281648</v>
      </c>
      <c r="P969" s="2" cm="1">
        <f t="array" ref="P969">SUMPRODUCT((O969&gt;$T$9:$T$14)*(O969&lt;=$U$9:$U$14),$S$9:$S$14)</f>
        <v>4</v>
      </c>
    </row>
    <row r="970" spans="1:16" x14ac:dyDescent="0.25">
      <c r="A970">
        <v>1821</v>
      </c>
      <c r="B970">
        <v>1821</v>
      </c>
      <c r="C970">
        <v>0</v>
      </c>
      <c r="D970">
        <v>0.76</v>
      </c>
      <c r="E970">
        <v>12260</v>
      </c>
      <c r="F970">
        <v>0.8</v>
      </c>
      <c r="G970">
        <v>12260008</v>
      </c>
      <c r="H970">
        <v>3</v>
      </c>
      <c r="I970">
        <v>720</v>
      </c>
      <c r="J970" s="2">
        <f t="shared" si="38"/>
        <v>547.20000000000005</v>
      </c>
      <c r="K970">
        <v>969</v>
      </c>
      <c r="L970" s="3">
        <f>SUM($I$2:$I970)</f>
        <v>6155930</v>
      </c>
      <c r="M970" s="3">
        <f>SUM($J$2:$J970)</f>
        <v>23293141.299999986</v>
      </c>
      <c r="N970" s="2">
        <f>SUM($D$2:$D970)</f>
        <v>5555.8299999999972</v>
      </c>
      <c r="O970" s="2">
        <f t="shared" si="39"/>
        <v>0.33109083346145918</v>
      </c>
      <c r="P970" s="2" cm="1">
        <f t="array" ref="P970">SUMPRODUCT((O970&gt;$T$9:$T$14)*(O970&lt;=$U$9:$U$14),$S$9:$S$14)</f>
        <v>4</v>
      </c>
    </row>
    <row r="971" spans="1:16" x14ac:dyDescent="0.25">
      <c r="A971">
        <v>571</v>
      </c>
      <c r="B971">
        <v>1358</v>
      </c>
      <c r="C971">
        <v>781</v>
      </c>
      <c r="D971">
        <v>40.6</v>
      </c>
      <c r="E971">
        <v>17880</v>
      </c>
      <c r="F971">
        <v>4.7</v>
      </c>
      <c r="G971">
        <v>17880047</v>
      </c>
      <c r="H971">
        <v>11</v>
      </c>
      <c r="I971">
        <v>710</v>
      </c>
      <c r="J971" s="2">
        <f t="shared" si="38"/>
        <v>28826</v>
      </c>
      <c r="K971">
        <v>970</v>
      </c>
      <c r="L971" s="3">
        <f>SUM($I$2:$I971)</f>
        <v>6156640</v>
      </c>
      <c r="M971" s="3">
        <f>SUM($J$2:$J971)</f>
        <v>23321967.299999986</v>
      </c>
      <c r="N971" s="2">
        <f>SUM($D$2:$D971)</f>
        <v>5596.4299999999976</v>
      </c>
      <c r="O971" s="2">
        <f t="shared" si="39"/>
        <v>0.33351032574947653</v>
      </c>
      <c r="P971" s="2" cm="1">
        <f t="array" ref="P971">SUMPRODUCT((O971&gt;$T$9:$T$14)*(O971&lt;=$U$9:$U$14),$S$9:$S$14)</f>
        <v>4</v>
      </c>
    </row>
    <row r="972" spans="1:16" x14ac:dyDescent="0.25">
      <c r="A972">
        <v>1016</v>
      </c>
      <c r="B972">
        <v>642</v>
      </c>
      <c r="C972">
        <v>319</v>
      </c>
      <c r="D972">
        <v>27.28</v>
      </c>
      <c r="E972">
        <v>21230</v>
      </c>
      <c r="F972">
        <v>0</v>
      </c>
      <c r="G972">
        <v>21230000</v>
      </c>
      <c r="H972">
        <v>17</v>
      </c>
      <c r="I972">
        <v>710</v>
      </c>
      <c r="J972" s="2">
        <f t="shared" si="38"/>
        <v>19368.8</v>
      </c>
      <c r="K972">
        <v>971</v>
      </c>
      <c r="L972" s="3">
        <f>SUM($I$2:$I972)</f>
        <v>6157350</v>
      </c>
      <c r="M972" s="3">
        <f>SUM($J$2:$J972)</f>
        <v>23341336.099999987</v>
      </c>
      <c r="N972" s="2">
        <f>SUM($D$2:$D972)</f>
        <v>5623.7099999999973</v>
      </c>
      <c r="O972" s="2">
        <f t="shared" si="39"/>
        <v>0.33513603386812457</v>
      </c>
      <c r="P972" s="2" cm="1">
        <f t="array" ref="P972">SUMPRODUCT((O972&gt;$T$9:$T$14)*(O972&lt;=$U$9:$U$14),$S$9:$S$14)</f>
        <v>4</v>
      </c>
    </row>
    <row r="973" spans="1:16" x14ac:dyDescent="0.25">
      <c r="A973">
        <v>1328</v>
      </c>
      <c r="B973">
        <v>160</v>
      </c>
      <c r="C973">
        <v>1253</v>
      </c>
      <c r="D973">
        <v>9.6999999999999993</v>
      </c>
      <c r="E973">
        <v>40260</v>
      </c>
      <c r="F973">
        <v>0</v>
      </c>
      <c r="G973">
        <v>40260000</v>
      </c>
      <c r="H973">
        <v>101</v>
      </c>
      <c r="I973">
        <v>710</v>
      </c>
      <c r="J973" s="2">
        <f t="shared" si="38"/>
        <v>6886.9999999999991</v>
      </c>
      <c r="K973">
        <v>972</v>
      </c>
      <c r="L973" s="3">
        <f>SUM($I$2:$I973)</f>
        <v>6158060</v>
      </c>
      <c r="M973" s="3">
        <f>SUM($J$2:$J973)</f>
        <v>23348223.099999987</v>
      </c>
      <c r="N973" s="2">
        <f>SUM($D$2:$D973)</f>
        <v>5633.4099999999971</v>
      </c>
      <c r="O973" s="2">
        <f t="shared" si="39"/>
        <v>0.33571408990737994</v>
      </c>
      <c r="P973" s="2" cm="1">
        <f t="array" ref="P973">SUMPRODUCT((O973&gt;$T$9:$T$14)*(O973&lt;=$U$9:$U$14),$S$9:$S$14)</f>
        <v>4</v>
      </c>
    </row>
    <row r="974" spans="1:16" x14ac:dyDescent="0.25">
      <c r="A974">
        <v>785</v>
      </c>
      <c r="B974">
        <v>411</v>
      </c>
      <c r="C974">
        <v>9</v>
      </c>
      <c r="D974">
        <v>4.76</v>
      </c>
      <c r="E974">
        <v>13420</v>
      </c>
      <c r="F974">
        <v>2.9</v>
      </c>
      <c r="G974">
        <v>13420029</v>
      </c>
      <c r="H974">
        <v>6</v>
      </c>
      <c r="I974">
        <v>710</v>
      </c>
      <c r="J974" s="2">
        <f t="shared" si="38"/>
        <v>3379.6</v>
      </c>
      <c r="K974">
        <v>973</v>
      </c>
      <c r="L974" s="3">
        <f>SUM($I$2:$I974)</f>
        <v>6158770</v>
      </c>
      <c r="M974" s="3">
        <f>SUM($J$2:$J974)</f>
        <v>23351602.699999988</v>
      </c>
      <c r="N974" s="2">
        <f>SUM($D$2:$D974)</f>
        <v>5638.1699999999973</v>
      </c>
      <c r="O974" s="2">
        <f t="shared" si="39"/>
        <v>0.33599775452045788</v>
      </c>
      <c r="P974" s="2" cm="1">
        <f t="array" ref="P974">SUMPRODUCT((O974&gt;$T$9:$T$14)*(O974&lt;=$U$9:$U$14),$S$9:$S$14)</f>
        <v>4</v>
      </c>
    </row>
    <row r="975" spans="1:16" x14ac:dyDescent="0.25">
      <c r="A975">
        <v>739</v>
      </c>
      <c r="B975">
        <v>1526</v>
      </c>
      <c r="C975">
        <v>989</v>
      </c>
      <c r="D975">
        <v>1.0900000000000001</v>
      </c>
      <c r="E975">
        <v>33360</v>
      </c>
      <c r="F975">
        <v>0</v>
      </c>
      <c r="G975">
        <v>33360000</v>
      </c>
      <c r="H975">
        <v>60</v>
      </c>
      <c r="I975">
        <v>710</v>
      </c>
      <c r="J975" s="2">
        <f t="shared" si="38"/>
        <v>773.90000000000009</v>
      </c>
      <c r="K975">
        <v>974</v>
      </c>
      <c r="L975" s="3">
        <f>SUM($I$2:$I975)</f>
        <v>6159480</v>
      </c>
      <c r="M975" s="3">
        <f>SUM($J$2:$J975)</f>
        <v>23352376.599999987</v>
      </c>
      <c r="N975" s="2">
        <f>SUM($D$2:$D975)</f>
        <v>5639.2599999999975</v>
      </c>
      <c r="O975" s="2">
        <f t="shared" si="39"/>
        <v>0.33606271133311644</v>
      </c>
      <c r="P975" s="2" cm="1">
        <f t="array" ref="P975">SUMPRODUCT((O975&gt;$T$9:$T$14)*(O975&lt;=$U$9:$U$14),$S$9:$S$14)</f>
        <v>4</v>
      </c>
    </row>
    <row r="976" spans="1:16" x14ac:dyDescent="0.25">
      <c r="A976">
        <v>1037</v>
      </c>
      <c r="B976">
        <v>663</v>
      </c>
      <c r="C976">
        <v>346</v>
      </c>
      <c r="D976">
        <v>0.71</v>
      </c>
      <c r="E976">
        <v>13720</v>
      </c>
      <c r="F976">
        <v>2.7</v>
      </c>
      <c r="G976">
        <v>13720027</v>
      </c>
      <c r="H976">
        <v>6</v>
      </c>
      <c r="I976">
        <v>710</v>
      </c>
      <c r="J976" s="2">
        <f t="shared" si="38"/>
        <v>504.09999999999997</v>
      </c>
      <c r="K976">
        <v>975</v>
      </c>
      <c r="L976" s="3">
        <f>SUM($I$2:$I976)</f>
        <v>6160190</v>
      </c>
      <c r="M976" s="3">
        <f>SUM($J$2:$J976)</f>
        <v>23352880.699999988</v>
      </c>
      <c r="N976" s="2">
        <f>SUM($D$2:$D976)</f>
        <v>5639.9699999999975</v>
      </c>
      <c r="O976" s="2">
        <f t="shared" si="39"/>
        <v>0.3361050226514537</v>
      </c>
      <c r="P976" s="2" cm="1">
        <f t="array" ref="P976">SUMPRODUCT((O976&gt;$T$9:$T$14)*(O976&lt;=$U$9:$U$14),$S$9:$S$14)</f>
        <v>4</v>
      </c>
    </row>
    <row r="977" spans="1:16" x14ac:dyDescent="0.25">
      <c r="A977">
        <v>587</v>
      </c>
      <c r="B977">
        <v>1374</v>
      </c>
      <c r="C977">
        <v>802</v>
      </c>
      <c r="D977">
        <v>17.649999999999999</v>
      </c>
      <c r="E977">
        <v>24550</v>
      </c>
      <c r="F977">
        <v>0</v>
      </c>
      <c r="G977">
        <v>24550000</v>
      </c>
      <c r="H977">
        <v>23</v>
      </c>
      <c r="I977">
        <v>700</v>
      </c>
      <c r="J977" s="2">
        <f t="shared" si="38"/>
        <v>12354.999999999998</v>
      </c>
      <c r="K977">
        <v>976</v>
      </c>
      <c r="L977" s="3">
        <f>SUM($I$2:$I977)</f>
        <v>6160890</v>
      </c>
      <c r="M977" s="3">
        <f>SUM($J$2:$J977)</f>
        <v>23365235.699999988</v>
      </c>
      <c r="N977" s="2">
        <f>SUM($D$2:$D977)</f>
        <v>5657.6199999999972</v>
      </c>
      <c r="O977" s="2">
        <f t="shared" si="39"/>
        <v>0.337156846269274</v>
      </c>
      <c r="P977" s="2" cm="1">
        <f t="array" ref="P977">SUMPRODUCT((O977&gt;$T$9:$T$14)*(O977&lt;=$U$9:$U$14),$S$9:$S$14)</f>
        <v>4</v>
      </c>
    </row>
    <row r="978" spans="1:16" x14ac:dyDescent="0.25">
      <c r="A978">
        <v>1306</v>
      </c>
      <c r="B978">
        <v>138</v>
      </c>
      <c r="C978">
        <v>1227</v>
      </c>
      <c r="D978">
        <v>11.38</v>
      </c>
      <c r="E978">
        <v>39119</v>
      </c>
      <c r="F978">
        <v>0</v>
      </c>
      <c r="G978">
        <v>39119000</v>
      </c>
      <c r="H978">
        <v>93</v>
      </c>
      <c r="I978">
        <v>700</v>
      </c>
      <c r="J978" s="2">
        <f t="shared" si="38"/>
        <v>7966.0000000000009</v>
      </c>
      <c r="K978">
        <v>977</v>
      </c>
      <c r="L978" s="3">
        <f>SUM($I$2:$I978)</f>
        <v>6161590</v>
      </c>
      <c r="M978" s="3">
        <f>SUM($J$2:$J978)</f>
        <v>23373201.699999988</v>
      </c>
      <c r="N978" s="2">
        <f>SUM($D$2:$D978)</f>
        <v>5668.9999999999973</v>
      </c>
      <c r="O978" s="2">
        <f t="shared" si="39"/>
        <v>0.33783501923079218</v>
      </c>
      <c r="P978" s="2" cm="1">
        <f t="array" ref="P978">SUMPRODUCT((O978&gt;$T$9:$T$14)*(O978&lt;=$U$9:$U$14),$S$9:$S$14)</f>
        <v>4</v>
      </c>
    </row>
    <row r="979" spans="1:16" x14ac:dyDescent="0.25">
      <c r="A979">
        <v>836</v>
      </c>
      <c r="B979">
        <v>462</v>
      </c>
      <c r="C979">
        <v>74</v>
      </c>
      <c r="D979">
        <v>5.17</v>
      </c>
      <c r="E979">
        <v>12010</v>
      </c>
      <c r="F979">
        <v>7.5</v>
      </c>
      <c r="G979">
        <v>12010075</v>
      </c>
      <c r="H979">
        <v>3</v>
      </c>
      <c r="I979">
        <v>700</v>
      </c>
      <c r="J979" s="2">
        <f t="shared" si="38"/>
        <v>3619</v>
      </c>
      <c r="K979">
        <v>978</v>
      </c>
      <c r="L979" s="3">
        <f>SUM($I$2:$I979)</f>
        <v>6162290</v>
      </c>
      <c r="M979" s="3">
        <f>SUM($J$2:$J979)</f>
        <v>23376820.699999988</v>
      </c>
      <c r="N979" s="2">
        <f>SUM($D$2:$D979)</f>
        <v>5674.1699999999973</v>
      </c>
      <c r="O979" s="2">
        <f t="shared" si="39"/>
        <v>0.3381431171403747</v>
      </c>
      <c r="P979" s="2" cm="1">
        <f t="array" ref="P979">SUMPRODUCT((O979&gt;$T$9:$T$14)*(O979&lt;=$U$9:$U$14),$S$9:$S$14)</f>
        <v>4</v>
      </c>
    </row>
    <row r="980" spans="1:16" x14ac:dyDescent="0.25">
      <c r="A980">
        <v>857</v>
      </c>
      <c r="B980">
        <v>483</v>
      </c>
      <c r="C980">
        <v>104</v>
      </c>
      <c r="D980">
        <v>3.87</v>
      </c>
      <c r="E980">
        <v>11880</v>
      </c>
      <c r="F980">
        <v>0</v>
      </c>
      <c r="G980">
        <v>11880000</v>
      </c>
      <c r="H980">
        <v>3</v>
      </c>
      <c r="I980">
        <v>700</v>
      </c>
      <c r="J980" s="2">
        <f t="shared" si="38"/>
        <v>2709</v>
      </c>
      <c r="K980">
        <v>979</v>
      </c>
      <c r="L980" s="3">
        <f>SUM($I$2:$I980)</f>
        <v>6162990</v>
      </c>
      <c r="M980" s="3">
        <f>SUM($J$2:$J980)</f>
        <v>23379529.699999988</v>
      </c>
      <c r="N980" s="2">
        <f>SUM($D$2:$D980)</f>
        <v>5678.0399999999972</v>
      </c>
      <c r="O980" s="2">
        <f t="shared" si="39"/>
        <v>0.33837374362201572</v>
      </c>
      <c r="P980" s="2" cm="1">
        <f t="array" ref="P980">SUMPRODUCT((O980&gt;$T$9:$T$14)*(O980&lt;=$U$9:$U$14),$S$9:$S$14)</f>
        <v>4</v>
      </c>
    </row>
    <row r="981" spans="1:16" x14ac:dyDescent="0.25">
      <c r="A981">
        <v>1214</v>
      </c>
      <c r="B981">
        <v>46</v>
      </c>
      <c r="C981">
        <v>1104</v>
      </c>
      <c r="D981">
        <v>6.81</v>
      </c>
      <c r="E981">
        <v>28540</v>
      </c>
      <c r="F981">
        <v>4.4000000000000004</v>
      </c>
      <c r="G981">
        <v>28540044</v>
      </c>
      <c r="H981">
        <v>37</v>
      </c>
      <c r="I981">
        <v>690</v>
      </c>
      <c r="J981" s="2">
        <f t="shared" si="38"/>
        <v>4698.8999999999996</v>
      </c>
      <c r="K981">
        <v>980</v>
      </c>
      <c r="L981" s="3">
        <f>SUM($I$2:$I981)</f>
        <v>6163680</v>
      </c>
      <c r="M981" s="3">
        <f>SUM($J$2:$J981)</f>
        <v>23384228.599999987</v>
      </c>
      <c r="N981" s="2">
        <f>SUM($D$2:$D981)</f>
        <v>5684.8499999999976</v>
      </c>
      <c r="O981" s="2">
        <f t="shared" si="39"/>
        <v>0.33877957471761672</v>
      </c>
      <c r="P981" s="2" cm="1">
        <f t="array" ref="P981">SUMPRODUCT((O981&gt;$T$9:$T$14)*(O981&lt;=$U$9:$U$14),$S$9:$S$14)</f>
        <v>4</v>
      </c>
    </row>
    <row r="982" spans="1:16" x14ac:dyDescent="0.25">
      <c r="A982">
        <v>1061</v>
      </c>
      <c r="B982">
        <v>687</v>
      </c>
      <c r="C982">
        <v>376</v>
      </c>
      <c r="D982">
        <v>2.66</v>
      </c>
      <c r="E982">
        <v>27370</v>
      </c>
      <c r="F982">
        <v>3.6</v>
      </c>
      <c r="G982">
        <v>27370036</v>
      </c>
      <c r="H982">
        <v>33</v>
      </c>
      <c r="I982">
        <v>690</v>
      </c>
      <c r="J982" s="2">
        <f t="shared" si="38"/>
        <v>1835.4</v>
      </c>
      <c r="K982">
        <v>981</v>
      </c>
      <c r="L982" s="3">
        <f>SUM($I$2:$I982)</f>
        <v>6164370</v>
      </c>
      <c r="M982" s="3">
        <f>SUM($J$2:$J982)</f>
        <v>23386063.999999985</v>
      </c>
      <c r="N982" s="2">
        <f>SUM($D$2:$D982)</f>
        <v>5687.5099999999975</v>
      </c>
      <c r="O982" s="2">
        <f t="shared" si="39"/>
        <v>0.33893809317786611</v>
      </c>
      <c r="P982" s="2" cm="1">
        <f t="array" ref="P982">SUMPRODUCT((O982&gt;$T$9:$T$14)*(O982&lt;=$U$9:$U$14),$S$9:$S$14)</f>
        <v>4</v>
      </c>
    </row>
    <row r="983" spans="1:16" x14ac:dyDescent="0.25">
      <c r="A983">
        <v>987</v>
      </c>
      <c r="B983">
        <v>613</v>
      </c>
      <c r="C983">
        <v>281</v>
      </c>
      <c r="D983">
        <v>1.42</v>
      </c>
      <c r="E983">
        <v>14505</v>
      </c>
      <c r="F983">
        <v>0</v>
      </c>
      <c r="G983">
        <v>14505000</v>
      </c>
      <c r="H983">
        <v>7</v>
      </c>
      <c r="I983">
        <v>690</v>
      </c>
      <c r="J983" s="2">
        <f t="shared" si="38"/>
        <v>979.8</v>
      </c>
      <c r="K983">
        <v>982</v>
      </c>
      <c r="L983" s="3">
        <f>SUM($I$2:$I983)</f>
        <v>6165060</v>
      </c>
      <c r="M983" s="3">
        <f>SUM($J$2:$J983)</f>
        <v>23387043.799999986</v>
      </c>
      <c r="N983" s="2">
        <f>SUM($D$2:$D983)</f>
        <v>5688.9299999999976</v>
      </c>
      <c r="O983" s="2">
        <f t="shared" si="39"/>
        <v>0.33902271581454063</v>
      </c>
      <c r="P983" s="2" cm="1">
        <f t="array" ref="P983">SUMPRODUCT((O983&gt;$T$9:$T$14)*(O983&lt;=$U$9:$U$14),$S$9:$S$14)</f>
        <v>4</v>
      </c>
    </row>
    <row r="984" spans="1:16" x14ac:dyDescent="0.25">
      <c r="A984">
        <v>1389</v>
      </c>
      <c r="B984">
        <v>221</v>
      </c>
      <c r="C984">
        <v>1335</v>
      </c>
      <c r="D984">
        <v>1.1100000000000001</v>
      </c>
      <c r="E984">
        <v>33670</v>
      </c>
      <c r="F984">
        <v>4.9000000000000004</v>
      </c>
      <c r="G984">
        <v>33670049</v>
      </c>
      <c r="H984">
        <v>62</v>
      </c>
      <c r="I984">
        <v>690</v>
      </c>
      <c r="J984" s="2">
        <f t="shared" si="38"/>
        <v>765.90000000000009</v>
      </c>
      <c r="K984">
        <v>983</v>
      </c>
      <c r="L984" s="3">
        <f>SUM($I$2:$I984)</f>
        <v>6165750</v>
      </c>
      <c r="M984" s="3">
        <f>SUM($J$2:$J984)</f>
        <v>23387809.699999984</v>
      </c>
      <c r="N984" s="2">
        <f>SUM($D$2:$D984)</f>
        <v>5690.0399999999972</v>
      </c>
      <c r="O984" s="2">
        <f t="shared" si="39"/>
        <v>0.33908886449532133</v>
      </c>
      <c r="P984" s="2" cm="1">
        <f t="array" ref="P984">SUMPRODUCT((O984&gt;$T$9:$T$14)*(O984&lt;=$U$9:$U$14),$S$9:$S$14)</f>
        <v>4</v>
      </c>
    </row>
    <row r="985" spans="1:16" x14ac:dyDescent="0.25">
      <c r="A985">
        <v>452</v>
      </c>
      <c r="B985">
        <v>1239</v>
      </c>
      <c r="C985">
        <v>628</v>
      </c>
      <c r="D985">
        <v>41.76</v>
      </c>
      <c r="E985">
        <v>17700</v>
      </c>
      <c r="F985">
        <v>1.1000000000000001</v>
      </c>
      <c r="G985">
        <v>17700011</v>
      </c>
      <c r="H985">
        <v>11</v>
      </c>
      <c r="I985">
        <v>680</v>
      </c>
      <c r="J985" s="2">
        <f t="shared" si="38"/>
        <v>28396.799999999999</v>
      </c>
      <c r="K985">
        <v>984</v>
      </c>
      <c r="L985" s="3">
        <f>SUM($I$2:$I985)</f>
        <v>6166430</v>
      </c>
      <c r="M985" s="3">
        <f>SUM($J$2:$J985)</f>
        <v>23416206.499999985</v>
      </c>
      <c r="N985" s="2">
        <f>SUM($D$2:$D985)</f>
        <v>5731.7999999999975</v>
      </c>
      <c r="O985" s="2">
        <f t="shared" si="39"/>
        <v>0.34157748513442487</v>
      </c>
      <c r="P985" s="2" cm="1">
        <f t="array" ref="P985">SUMPRODUCT((O985&gt;$T$9:$T$14)*(O985&lt;=$U$9:$U$14),$S$9:$S$14)</f>
        <v>4</v>
      </c>
    </row>
    <row r="986" spans="1:16" x14ac:dyDescent="0.25">
      <c r="A986">
        <v>1235</v>
      </c>
      <c r="B986">
        <v>67</v>
      </c>
      <c r="C986">
        <v>1129</v>
      </c>
      <c r="D986">
        <v>9.5299999999999994</v>
      </c>
      <c r="E986">
        <v>27860</v>
      </c>
      <c r="F986">
        <v>1.4</v>
      </c>
      <c r="G986">
        <v>27860014</v>
      </c>
      <c r="H986">
        <v>35</v>
      </c>
      <c r="I986">
        <v>680</v>
      </c>
      <c r="J986" s="2">
        <f t="shared" si="38"/>
        <v>6480.4</v>
      </c>
      <c r="K986">
        <v>985</v>
      </c>
      <c r="L986" s="3">
        <f>SUM($I$2:$I986)</f>
        <v>6167110</v>
      </c>
      <c r="M986" s="3">
        <f>SUM($J$2:$J986)</f>
        <v>23422686.899999984</v>
      </c>
      <c r="N986" s="2">
        <f>SUM($D$2:$D986)</f>
        <v>5741.3299999999972</v>
      </c>
      <c r="O986" s="2">
        <f t="shared" si="39"/>
        <v>0.34214541029464174</v>
      </c>
      <c r="P986" s="2" cm="1">
        <f t="array" ref="P986">SUMPRODUCT((O986&gt;$T$9:$T$14)*(O986&lt;=$U$9:$U$14),$S$9:$S$14)</f>
        <v>4</v>
      </c>
    </row>
    <row r="987" spans="1:16" x14ac:dyDescent="0.25">
      <c r="A987">
        <v>1236</v>
      </c>
      <c r="B987">
        <v>68</v>
      </c>
      <c r="C987">
        <v>1130</v>
      </c>
      <c r="D987">
        <v>8.67</v>
      </c>
      <c r="E987">
        <v>27850</v>
      </c>
      <c r="F987">
        <v>0</v>
      </c>
      <c r="G987">
        <v>27850000</v>
      </c>
      <c r="H987">
        <v>35</v>
      </c>
      <c r="I987">
        <v>680</v>
      </c>
      <c r="J987" s="2">
        <f t="shared" si="38"/>
        <v>5895.6</v>
      </c>
      <c r="K987">
        <v>986</v>
      </c>
      <c r="L987" s="3">
        <f>SUM($I$2:$I987)</f>
        <v>6167790</v>
      </c>
      <c r="M987" s="3">
        <f>SUM($J$2:$J987)</f>
        <v>23428582.499999985</v>
      </c>
      <c r="N987" s="2">
        <f>SUM($D$2:$D987)</f>
        <v>5749.9999999999973</v>
      </c>
      <c r="O987" s="2">
        <f t="shared" si="39"/>
        <v>0.34266208512560509</v>
      </c>
      <c r="P987" s="2" cm="1">
        <f t="array" ref="P987">SUMPRODUCT((O987&gt;$T$9:$T$14)*(O987&lt;=$U$9:$U$14),$S$9:$S$14)</f>
        <v>4</v>
      </c>
    </row>
    <row r="988" spans="1:16" x14ac:dyDescent="0.25">
      <c r="A988">
        <v>648</v>
      </c>
      <c r="B988">
        <v>1435</v>
      </c>
      <c r="C988">
        <v>877</v>
      </c>
      <c r="D988">
        <v>6.68</v>
      </c>
      <c r="E988">
        <v>21550</v>
      </c>
      <c r="F988">
        <v>0</v>
      </c>
      <c r="G988">
        <v>21550000</v>
      </c>
      <c r="H988">
        <v>17</v>
      </c>
      <c r="I988">
        <v>680</v>
      </c>
      <c r="J988" s="2">
        <f t="shared" si="38"/>
        <v>4542.3999999999996</v>
      </c>
      <c r="K988">
        <v>987</v>
      </c>
      <c r="L988" s="3">
        <f>SUM($I$2:$I988)</f>
        <v>6168470</v>
      </c>
      <c r="M988" s="3">
        <f>SUM($J$2:$J988)</f>
        <v>23433124.899999984</v>
      </c>
      <c r="N988" s="2">
        <f>SUM($D$2:$D988)</f>
        <v>5756.6799999999976</v>
      </c>
      <c r="O988" s="2">
        <f t="shared" si="39"/>
        <v>0.34306016907841186</v>
      </c>
      <c r="P988" s="2" cm="1">
        <f t="array" ref="P988">SUMPRODUCT((O988&gt;$T$9:$T$14)*(O988&lt;=$U$9:$U$14),$S$9:$S$14)</f>
        <v>4</v>
      </c>
    </row>
    <row r="989" spans="1:16" x14ac:dyDescent="0.25">
      <c r="A989">
        <v>933</v>
      </c>
      <c r="B989">
        <v>559</v>
      </c>
      <c r="C989">
        <v>211</v>
      </c>
      <c r="D989">
        <v>5.5</v>
      </c>
      <c r="E989">
        <v>14210</v>
      </c>
      <c r="F989">
        <v>9.9</v>
      </c>
      <c r="G989">
        <v>14210099</v>
      </c>
      <c r="H989">
        <v>7</v>
      </c>
      <c r="I989">
        <v>680</v>
      </c>
      <c r="J989" s="2">
        <f t="shared" si="38"/>
        <v>3740</v>
      </c>
      <c r="K989">
        <v>988</v>
      </c>
      <c r="L989" s="3">
        <f>SUM($I$2:$I989)</f>
        <v>6169150</v>
      </c>
      <c r="M989" s="3">
        <f>SUM($J$2:$J989)</f>
        <v>23436864.899999984</v>
      </c>
      <c r="N989" s="2">
        <f>SUM($D$2:$D989)</f>
        <v>5762.1799999999976</v>
      </c>
      <c r="O989" s="2">
        <f t="shared" si="39"/>
        <v>0.3433879328120103</v>
      </c>
      <c r="P989" s="2" cm="1">
        <f t="array" ref="P989">SUMPRODUCT((O989&gt;$T$9:$T$14)*(O989&lt;=$U$9:$U$14),$S$9:$S$14)</f>
        <v>4</v>
      </c>
    </row>
    <row r="990" spans="1:16" x14ac:dyDescent="0.25">
      <c r="A990">
        <v>444</v>
      </c>
      <c r="B990">
        <v>1231</v>
      </c>
      <c r="C990">
        <v>616</v>
      </c>
      <c r="D990">
        <v>5.0999999999999996</v>
      </c>
      <c r="E990">
        <v>21315</v>
      </c>
      <c r="F990">
        <v>0</v>
      </c>
      <c r="G990">
        <v>21315000</v>
      </c>
      <c r="H990">
        <v>17</v>
      </c>
      <c r="I990">
        <v>680</v>
      </c>
      <c r="J990" s="2">
        <f t="shared" si="38"/>
        <v>3467.9999999999995</v>
      </c>
      <c r="K990">
        <v>989</v>
      </c>
      <c r="L990" s="3">
        <f>SUM($I$2:$I990)</f>
        <v>6169830</v>
      </c>
      <c r="M990" s="3">
        <f>SUM($J$2:$J990)</f>
        <v>23440332.899999984</v>
      </c>
      <c r="N990" s="2">
        <f>SUM($D$2:$D990)</f>
        <v>5767.2799999999979</v>
      </c>
      <c r="O990" s="2">
        <f t="shared" si="39"/>
        <v>0.34369185918316519</v>
      </c>
      <c r="P990" s="2" cm="1">
        <f t="array" ref="P990">SUMPRODUCT((O990&gt;$T$9:$T$14)*(O990&lt;=$U$9:$U$14),$S$9:$S$14)</f>
        <v>4</v>
      </c>
    </row>
    <row r="991" spans="1:16" x14ac:dyDescent="0.25">
      <c r="A991">
        <v>1054</v>
      </c>
      <c r="B991">
        <v>680</v>
      </c>
      <c r="C991">
        <v>368</v>
      </c>
      <c r="D991">
        <v>3.82</v>
      </c>
      <c r="E991">
        <v>14040</v>
      </c>
      <c r="F991">
        <v>0</v>
      </c>
      <c r="G991">
        <v>14040000</v>
      </c>
      <c r="H991">
        <v>7</v>
      </c>
      <c r="I991">
        <v>680</v>
      </c>
      <c r="J991" s="2">
        <f t="shared" si="38"/>
        <v>2597.6</v>
      </c>
      <c r="K991">
        <v>990</v>
      </c>
      <c r="L991" s="3">
        <f>SUM($I$2:$I991)</f>
        <v>6170510</v>
      </c>
      <c r="M991" s="3">
        <f>SUM($J$2:$J991)</f>
        <v>23442930.499999985</v>
      </c>
      <c r="N991" s="2">
        <f>SUM($D$2:$D991)</f>
        <v>5771.0999999999976</v>
      </c>
      <c r="O991" s="2">
        <f t="shared" si="39"/>
        <v>0.34391950599450077</v>
      </c>
      <c r="P991" s="2" cm="1">
        <f t="array" ref="P991">SUMPRODUCT((O991&gt;$T$9:$T$14)*(O991&lt;=$U$9:$U$14),$S$9:$S$14)</f>
        <v>4</v>
      </c>
    </row>
    <row r="992" spans="1:16" x14ac:dyDescent="0.25">
      <c r="A992">
        <v>714</v>
      </c>
      <c r="B992">
        <v>1501</v>
      </c>
      <c r="C992">
        <v>959</v>
      </c>
      <c r="D992">
        <v>3.69</v>
      </c>
      <c r="E992">
        <v>18085</v>
      </c>
      <c r="F992">
        <v>0</v>
      </c>
      <c r="G992">
        <v>18085000</v>
      </c>
      <c r="H992">
        <v>11</v>
      </c>
      <c r="I992">
        <v>680</v>
      </c>
      <c r="J992" s="2">
        <f t="shared" si="38"/>
        <v>2509.1999999999998</v>
      </c>
      <c r="K992">
        <v>991</v>
      </c>
      <c r="L992" s="3">
        <f>SUM($I$2:$I992)</f>
        <v>6171190</v>
      </c>
      <c r="M992" s="3">
        <f>SUM($J$2:$J992)</f>
        <v>23445439.699999984</v>
      </c>
      <c r="N992" s="2">
        <f>SUM($D$2:$D992)</f>
        <v>5774.7899999999972</v>
      </c>
      <c r="O992" s="2">
        <f t="shared" si="39"/>
        <v>0.34413940566304224</v>
      </c>
      <c r="P992" s="2" cm="1">
        <f t="array" ref="P992">SUMPRODUCT((O992&gt;$T$9:$T$14)*(O992&lt;=$U$9:$U$14),$S$9:$S$14)</f>
        <v>4</v>
      </c>
    </row>
    <row r="993" spans="1:16" x14ac:dyDescent="0.25">
      <c r="A993">
        <v>650</v>
      </c>
      <c r="B993">
        <v>1437</v>
      </c>
      <c r="C993">
        <v>880</v>
      </c>
      <c r="D993">
        <v>3.62</v>
      </c>
      <c r="E993">
        <v>24090</v>
      </c>
      <c r="F993">
        <v>1.1000000000000001</v>
      </c>
      <c r="G993">
        <v>24090011</v>
      </c>
      <c r="H993">
        <v>21</v>
      </c>
      <c r="I993">
        <v>680</v>
      </c>
      <c r="J993" s="2">
        <f t="shared" si="38"/>
        <v>2461.6</v>
      </c>
      <c r="K993">
        <v>992</v>
      </c>
      <c r="L993" s="3">
        <f>SUM($I$2:$I993)</f>
        <v>6171870</v>
      </c>
      <c r="M993" s="3">
        <f>SUM($J$2:$J993)</f>
        <v>23447901.299999986</v>
      </c>
      <c r="N993" s="2">
        <f>SUM($D$2:$D993)</f>
        <v>5778.4099999999971</v>
      </c>
      <c r="O993" s="2">
        <f t="shared" si="39"/>
        <v>0.34435513379315608</v>
      </c>
      <c r="P993" s="2" cm="1">
        <f t="array" ref="P993">SUMPRODUCT((O993&gt;$T$9:$T$14)*(O993&lt;=$U$9:$U$14),$S$9:$S$14)</f>
        <v>4</v>
      </c>
    </row>
    <row r="994" spans="1:16" x14ac:dyDescent="0.25">
      <c r="A994">
        <v>860</v>
      </c>
      <c r="B994">
        <v>486</v>
      </c>
      <c r="C994">
        <v>108</v>
      </c>
      <c r="D994">
        <v>1.78</v>
      </c>
      <c r="E994">
        <v>11860</v>
      </c>
      <c r="F994">
        <v>0</v>
      </c>
      <c r="G994">
        <v>11860000</v>
      </c>
      <c r="H994">
        <v>3</v>
      </c>
      <c r="I994">
        <v>680</v>
      </c>
      <c r="J994" s="2">
        <f t="shared" si="38"/>
        <v>1210.4000000000001</v>
      </c>
      <c r="K994">
        <v>993</v>
      </c>
      <c r="L994" s="3">
        <f>SUM($I$2:$I994)</f>
        <v>6172550</v>
      </c>
      <c r="M994" s="3">
        <f>SUM($J$2:$J994)</f>
        <v>23449111.699999984</v>
      </c>
      <c r="N994" s="2">
        <f>SUM($D$2:$D994)</f>
        <v>5780.1899999999969</v>
      </c>
      <c r="O994" s="2">
        <f t="shared" si="39"/>
        <v>0.34446121005602975</v>
      </c>
      <c r="P994" s="2" cm="1">
        <f t="array" ref="P994">SUMPRODUCT((O994&gt;$T$9:$T$14)*(O994&lt;=$U$9:$U$14),$S$9:$S$14)</f>
        <v>4</v>
      </c>
    </row>
    <row r="995" spans="1:16" x14ac:dyDescent="0.25">
      <c r="A995">
        <v>1209</v>
      </c>
      <c r="B995">
        <v>41</v>
      </c>
      <c r="C995">
        <v>1097</v>
      </c>
      <c r="D995">
        <v>20.58</v>
      </c>
      <c r="E995">
        <v>29130</v>
      </c>
      <c r="F995">
        <v>4</v>
      </c>
      <c r="G995">
        <v>29130040</v>
      </c>
      <c r="H995">
        <v>40</v>
      </c>
      <c r="I995">
        <v>670</v>
      </c>
      <c r="J995" s="2">
        <f t="shared" si="38"/>
        <v>13788.599999999999</v>
      </c>
      <c r="K995">
        <v>994</v>
      </c>
      <c r="L995" s="3">
        <f>SUM($I$2:$I995)</f>
        <v>6173220</v>
      </c>
      <c r="M995" s="3">
        <f>SUM($J$2:$J995)</f>
        <v>23462900.299999986</v>
      </c>
      <c r="N995" s="2">
        <f>SUM($D$2:$D995)</f>
        <v>5800.7699999999968</v>
      </c>
      <c r="O995" s="2">
        <f t="shared" si="39"/>
        <v>0.34568764235374888</v>
      </c>
      <c r="P995" s="2" cm="1">
        <f t="array" ref="P995">SUMPRODUCT((O995&gt;$T$9:$T$14)*(O995&lt;=$U$9:$U$14),$S$9:$S$14)</f>
        <v>4</v>
      </c>
    </row>
    <row r="996" spans="1:16" x14ac:dyDescent="0.25">
      <c r="A996">
        <v>854</v>
      </c>
      <c r="B996">
        <v>480</v>
      </c>
      <c r="C996">
        <v>99</v>
      </c>
      <c r="D996">
        <v>18.89</v>
      </c>
      <c r="E996">
        <v>17370</v>
      </c>
      <c r="F996">
        <v>0</v>
      </c>
      <c r="G996">
        <v>17370000</v>
      </c>
      <c r="H996">
        <v>11</v>
      </c>
      <c r="I996">
        <v>670</v>
      </c>
      <c r="J996" s="2">
        <f t="shared" si="38"/>
        <v>12656.300000000001</v>
      </c>
      <c r="K996">
        <v>995</v>
      </c>
      <c r="L996" s="3">
        <f>SUM($I$2:$I996)</f>
        <v>6173890</v>
      </c>
      <c r="M996" s="3">
        <f>SUM($J$2:$J996)</f>
        <v>23475556.599999987</v>
      </c>
      <c r="N996" s="2">
        <f>SUM($D$2:$D996)</f>
        <v>5819.6599999999971</v>
      </c>
      <c r="O996" s="2">
        <f t="shared" si="39"/>
        <v>0.3468133617951441</v>
      </c>
      <c r="P996" s="2" cm="1">
        <f t="array" ref="P996">SUMPRODUCT((O996&gt;$T$9:$T$14)*(O996&lt;=$U$9:$U$14),$S$9:$S$14)</f>
        <v>4</v>
      </c>
    </row>
    <row r="997" spans="1:16" x14ac:dyDescent="0.25">
      <c r="A997">
        <v>979</v>
      </c>
      <c r="B997">
        <v>605</v>
      </c>
      <c r="C997">
        <v>273</v>
      </c>
      <c r="D997">
        <v>15.39</v>
      </c>
      <c r="E997">
        <v>20110</v>
      </c>
      <c r="F997">
        <v>1</v>
      </c>
      <c r="G997">
        <v>20110010</v>
      </c>
      <c r="H997">
        <v>15</v>
      </c>
      <c r="I997">
        <v>670</v>
      </c>
      <c r="J997" s="2">
        <f t="shared" si="38"/>
        <v>10311.300000000001</v>
      </c>
      <c r="K997">
        <v>996</v>
      </c>
      <c r="L997" s="3">
        <f>SUM($I$2:$I997)</f>
        <v>6174560</v>
      </c>
      <c r="M997" s="3">
        <f>SUM($J$2:$J997)</f>
        <v>23485867.899999987</v>
      </c>
      <c r="N997" s="2">
        <f>SUM($D$2:$D997)</f>
        <v>5835.0499999999975</v>
      </c>
      <c r="O997" s="2">
        <f t="shared" si="39"/>
        <v>0.34773050431515862</v>
      </c>
      <c r="P997" s="2" cm="1">
        <f t="array" ref="P997">SUMPRODUCT((O997&gt;$T$9:$T$14)*(O997&lt;=$U$9:$U$14),$S$9:$S$14)</f>
        <v>4</v>
      </c>
    </row>
    <row r="998" spans="1:16" x14ac:dyDescent="0.25">
      <c r="A998">
        <v>1125</v>
      </c>
      <c r="B998">
        <v>751</v>
      </c>
      <c r="C998">
        <v>465</v>
      </c>
      <c r="D998">
        <v>15.01</v>
      </c>
      <c r="E998">
        <v>20820</v>
      </c>
      <c r="F998">
        <v>0</v>
      </c>
      <c r="G998">
        <v>20820000</v>
      </c>
      <c r="H998">
        <v>17</v>
      </c>
      <c r="I998">
        <v>670</v>
      </c>
      <c r="J998" s="2">
        <f t="shared" si="38"/>
        <v>10056.700000000001</v>
      </c>
      <c r="K998">
        <v>997</v>
      </c>
      <c r="L998" s="3">
        <f>SUM($I$2:$I998)</f>
        <v>6175230</v>
      </c>
      <c r="M998" s="3">
        <f>SUM($J$2:$J998)</f>
        <v>23495924.599999987</v>
      </c>
      <c r="N998" s="2">
        <f>SUM($D$2:$D998)</f>
        <v>5850.0599999999977</v>
      </c>
      <c r="O998" s="2">
        <f t="shared" si="39"/>
        <v>0.34862500134085173</v>
      </c>
      <c r="P998" s="2" cm="1">
        <f t="array" ref="P998">SUMPRODUCT((O998&gt;$T$9:$T$14)*(O998&lt;=$U$9:$U$14),$S$9:$S$14)</f>
        <v>4</v>
      </c>
    </row>
    <row r="999" spans="1:16" x14ac:dyDescent="0.25">
      <c r="A999">
        <v>348</v>
      </c>
      <c r="B999">
        <v>1143</v>
      </c>
      <c r="C999">
        <v>2003</v>
      </c>
      <c r="D999">
        <v>9.57</v>
      </c>
      <c r="E999">
        <v>85150</v>
      </c>
      <c r="F999">
        <v>0</v>
      </c>
      <c r="G999">
        <v>85150000</v>
      </c>
      <c r="H999">
        <v>7279</v>
      </c>
      <c r="I999">
        <v>670</v>
      </c>
      <c r="J999" s="2">
        <f t="shared" si="38"/>
        <v>6411.9000000000005</v>
      </c>
      <c r="K999">
        <v>998</v>
      </c>
      <c r="L999" s="3">
        <f>SUM($I$2:$I999)</f>
        <v>6175900</v>
      </c>
      <c r="M999" s="3">
        <f>SUM($J$2:$J999)</f>
        <v>23502336.499999985</v>
      </c>
      <c r="N999" s="2">
        <f>SUM($D$2:$D999)</f>
        <v>5859.6299999999974</v>
      </c>
      <c r="O999" s="2">
        <f t="shared" si="39"/>
        <v>0.34919531023731293</v>
      </c>
      <c r="P999" s="2" cm="1">
        <f t="array" ref="P999">SUMPRODUCT((O999&gt;$T$9:$T$14)*(O999&lt;=$U$9:$U$14),$S$9:$S$14)</f>
        <v>4</v>
      </c>
    </row>
    <row r="1000" spans="1:16" x14ac:dyDescent="0.25">
      <c r="A1000">
        <v>1060</v>
      </c>
      <c r="B1000">
        <v>686</v>
      </c>
      <c r="C1000">
        <v>375</v>
      </c>
      <c r="D1000">
        <v>2.09</v>
      </c>
      <c r="E1000">
        <v>20940</v>
      </c>
      <c r="F1000">
        <v>1.6</v>
      </c>
      <c r="G1000">
        <v>20940016</v>
      </c>
      <c r="H1000">
        <v>17</v>
      </c>
      <c r="I1000">
        <v>670</v>
      </c>
      <c r="J1000" s="2">
        <f t="shared" si="38"/>
        <v>1400.3</v>
      </c>
      <c r="K1000">
        <v>999</v>
      </c>
      <c r="L1000" s="3">
        <f>SUM($I$2:$I1000)</f>
        <v>6176570</v>
      </c>
      <c r="M1000" s="3">
        <f>SUM($J$2:$J1000)</f>
        <v>23503736.799999986</v>
      </c>
      <c r="N1000" s="2">
        <f>SUM($D$2:$D1000)</f>
        <v>5861.7199999999975</v>
      </c>
      <c r="O1000" s="2">
        <f t="shared" si="39"/>
        <v>0.34931986045608032</v>
      </c>
      <c r="P1000" s="2" cm="1">
        <f t="array" ref="P1000">SUMPRODUCT((O1000&gt;$T$9:$T$14)*(O1000&lt;=$U$9:$U$14),$S$9:$S$14)</f>
        <v>4</v>
      </c>
    </row>
    <row r="1001" spans="1:16" x14ac:dyDescent="0.25">
      <c r="A1001">
        <v>921</v>
      </c>
      <c r="B1001">
        <v>547</v>
      </c>
      <c r="C1001">
        <v>195</v>
      </c>
      <c r="D1001">
        <v>2.0099999999999998</v>
      </c>
      <c r="E1001">
        <v>13720</v>
      </c>
      <c r="F1001">
        <v>3.4</v>
      </c>
      <c r="G1001">
        <v>13720034</v>
      </c>
      <c r="H1001">
        <v>6</v>
      </c>
      <c r="I1001">
        <v>670</v>
      </c>
      <c r="J1001" s="2">
        <f t="shared" si="38"/>
        <v>1346.6999999999998</v>
      </c>
      <c r="K1001">
        <v>1000</v>
      </c>
      <c r="L1001" s="3">
        <f>SUM($I$2:$I1001)</f>
        <v>6177240</v>
      </c>
      <c r="M1001" s="3">
        <f>SUM($J$2:$J1001)</f>
        <v>23505083.499999985</v>
      </c>
      <c r="N1001" s="2">
        <f>SUM($D$2:$D1001)</f>
        <v>5863.7299999999977</v>
      </c>
      <c r="O1001" s="2">
        <f t="shared" si="39"/>
        <v>0.34943964320235904</v>
      </c>
      <c r="P1001" s="2" cm="1">
        <f t="array" ref="P1001">SUMPRODUCT((O1001&gt;$T$9:$T$14)*(O1001&lt;=$U$9:$U$14),$S$9:$S$14)</f>
        <v>4</v>
      </c>
    </row>
    <row r="1002" spans="1:16" x14ac:dyDescent="0.25">
      <c r="A1002">
        <v>1458</v>
      </c>
      <c r="B1002">
        <v>290</v>
      </c>
      <c r="C1002">
        <v>1414</v>
      </c>
      <c r="D1002">
        <v>1.84</v>
      </c>
      <c r="E1002">
        <v>46250</v>
      </c>
      <c r="F1002">
        <v>0</v>
      </c>
      <c r="G1002">
        <v>46250000</v>
      </c>
      <c r="H1002">
        <v>148</v>
      </c>
      <c r="I1002">
        <v>670</v>
      </c>
      <c r="J1002" s="2">
        <f t="shared" si="38"/>
        <v>1232.8</v>
      </c>
      <c r="K1002">
        <v>1001</v>
      </c>
      <c r="L1002" s="3">
        <f>SUM($I$2:$I1002)</f>
        <v>6177910</v>
      </c>
      <c r="M1002" s="3">
        <f>SUM($J$2:$J1002)</f>
        <v>23506316.299999986</v>
      </c>
      <c r="N1002" s="2">
        <f>SUM($D$2:$D1002)</f>
        <v>5865.5699999999979</v>
      </c>
      <c r="O1002" s="2">
        <f t="shared" si="39"/>
        <v>0.3495492950695992</v>
      </c>
      <c r="P1002" s="2" cm="1">
        <f t="array" ref="P1002">SUMPRODUCT((O1002&gt;$T$9:$T$14)*(O1002&lt;=$U$9:$U$14),$S$9:$S$14)</f>
        <v>4</v>
      </c>
    </row>
    <row r="1003" spans="1:16" x14ac:dyDescent="0.25">
      <c r="A1003">
        <v>583</v>
      </c>
      <c r="B1003">
        <v>1370</v>
      </c>
      <c r="C1003">
        <v>798</v>
      </c>
      <c r="D1003">
        <v>12.2</v>
      </c>
      <c r="E1003">
        <v>21360</v>
      </c>
      <c r="F1003">
        <v>0</v>
      </c>
      <c r="G1003">
        <v>21360000</v>
      </c>
      <c r="H1003">
        <v>17</v>
      </c>
      <c r="I1003">
        <v>660</v>
      </c>
      <c r="J1003" s="2">
        <f t="shared" si="38"/>
        <v>8051.9999999999991</v>
      </c>
      <c r="K1003">
        <v>1002</v>
      </c>
      <c r="L1003" s="3">
        <f>SUM($I$2:$I1003)</f>
        <v>6178570</v>
      </c>
      <c r="M1003" s="3">
        <f>SUM($J$2:$J1003)</f>
        <v>23514368.299999986</v>
      </c>
      <c r="N1003" s="2">
        <f>SUM($D$2:$D1003)</f>
        <v>5877.7699999999977</v>
      </c>
      <c r="O1003" s="2">
        <f t="shared" si="39"/>
        <v>0.35027633462412661</v>
      </c>
      <c r="P1003" s="2" cm="1">
        <f t="array" ref="P1003">SUMPRODUCT((O1003&gt;$T$9:$T$14)*(O1003&lt;=$U$9:$U$14),$S$9:$S$14)</f>
        <v>4</v>
      </c>
    </row>
    <row r="1004" spans="1:16" x14ac:dyDescent="0.25">
      <c r="A1004">
        <v>1327</v>
      </c>
      <c r="B1004">
        <v>159</v>
      </c>
      <c r="C1004">
        <v>1252</v>
      </c>
      <c r="D1004">
        <v>1.49</v>
      </c>
      <c r="E1004">
        <v>40300</v>
      </c>
      <c r="F1004">
        <v>0</v>
      </c>
      <c r="G1004">
        <v>40300000</v>
      </c>
      <c r="H1004">
        <v>101</v>
      </c>
      <c r="I1004">
        <v>660</v>
      </c>
      <c r="J1004" s="2">
        <f t="shared" si="38"/>
        <v>983.4</v>
      </c>
      <c r="K1004">
        <v>1003</v>
      </c>
      <c r="L1004" s="3">
        <f>SUM($I$2:$I1004)</f>
        <v>6179230</v>
      </c>
      <c r="M1004" s="3">
        <f>SUM($J$2:$J1004)</f>
        <v>23515351.699999984</v>
      </c>
      <c r="N1004" s="2">
        <f>SUM($D$2:$D1004)</f>
        <v>5879.2599999999975</v>
      </c>
      <c r="O1004" s="2">
        <f t="shared" si="39"/>
        <v>0.35036512879922865</v>
      </c>
      <c r="P1004" s="2" cm="1">
        <f t="array" ref="P1004">SUMPRODUCT((O1004&gt;$T$9:$T$14)*(O1004&lt;=$U$9:$U$14),$S$9:$S$14)</f>
        <v>4</v>
      </c>
    </row>
    <row r="1005" spans="1:16" x14ac:dyDescent="0.25">
      <c r="A1005">
        <v>1468</v>
      </c>
      <c r="B1005">
        <v>300</v>
      </c>
      <c r="C1005">
        <v>1428</v>
      </c>
      <c r="D1005">
        <v>13.55</v>
      </c>
      <c r="E1005">
        <v>46025</v>
      </c>
      <c r="F1005">
        <v>4</v>
      </c>
      <c r="G1005">
        <v>46025040</v>
      </c>
      <c r="H1005">
        <v>144</v>
      </c>
      <c r="I1005">
        <v>650</v>
      </c>
      <c r="J1005" s="2">
        <f t="shared" si="38"/>
        <v>8807.5</v>
      </c>
      <c r="K1005">
        <v>1004</v>
      </c>
      <c r="L1005" s="3">
        <f>SUM($I$2:$I1005)</f>
        <v>6179880</v>
      </c>
      <c r="M1005" s="3">
        <f>SUM($J$2:$J1005)</f>
        <v>23524159.199999984</v>
      </c>
      <c r="N1005" s="2">
        <f>SUM($D$2:$D1005)</f>
        <v>5892.8099999999977</v>
      </c>
      <c r="O1005" s="2">
        <f t="shared" si="39"/>
        <v>0.35117261945200295</v>
      </c>
      <c r="P1005" s="2" cm="1">
        <f t="array" ref="P1005">SUMPRODUCT((O1005&gt;$T$9:$T$14)*(O1005&lt;=$U$9:$U$14),$S$9:$S$14)</f>
        <v>4</v>
      </c>
    </row>
    <row r="1006" spans="1:16" x14ac:dyDescent="0.25">
      <c r="A1006">
        <v>526</v>
      </c>
      <c r="B1006">
        <v>1313</v>
      </c>
      <c r="C1006">
        <v>728</v>
      </c>
      <c r="D1006">
        <v>9.76</v>
      </c>
      <c r="E1006">
        <v>26270</v>
      </c>
      <c r="F1006">
        <v>0</v>
      </c>
      <c r="G1006">
        <v>26270000</v>
      </c>
      <c r="H1006">
        <v>28</v>
      </c>
      <c r="I1006">
        <v>650</v>
      </c>
      <c r="J1006" s="2">
        <f t="shared" si="38"/>
        <v>6344</v>
      </c>
      <c r="K1006">
        <v>1005</v>
      </c>
      <c r="L1006" s="3">
        <f>SUM($I$2:$I1006)</f>
        <v>6180530</v>
      </c>
      <c r="M1006" s="3">
        <f>SUM($J$2:$J1006)</f>
        <v>23530503.199999984</v>
      </c>
      <c r="N1006" s="2">
        <f>SUM($D$2:$D1006)</f>
        <v>5902.5699999999979</v>
      </c>
      <c r="O1006" s="2">
        <f t="shared" si="39"/>
        <v>0.35175425109562486</v>
      </c>
      <c r="P1006" s="2" cm="1">
        <f t="array" ref="P1006">SUMPRODUCT((O1006&gt;$T$9:$T$14)*(O1006&lt;=$U$9:$U$14),$S$9:$S$14)</f>
        <v>4</v>
      </c>
    </row>
    <row r="1007" spans="1:16" x14ac:dyDescent="0.25">
      <c r="A1007">
        <v>1481</v>
      </c>
      <c r="B1007">
        <v>313</v>
      </c>
      <c r="C1007">
        <v>1444</v>
      </c>
      <c r="D1007">
        <v>8.7200000000000006</v>
      </c>
      <c r="E1007">
        <v>45430</v>
      </c>
      <c r="F1007">
        <v>0</v>
      </c>
      <c r="G1007">
        <v>45430000</v>
      </c>
      <c r="H1007">
        <v>138</v>
      </c>
      <c r="I1007">
        <v>650</v>
      </c>
      <c r="J1007" s="2">
        <f t="shared" si="38"/>
        <v>5668</v>
      </c>
      <c r="K1007">
        <v>1006</v>
      </c>
      <c r="L1007" s="3">
        <f>SUM($I$2:$I1007)</f>
        <v>6181180</v>
      </c>
      <c r="M1007" s="3">
        <f>SUM($J$2:$J1007)</f>
        <v>23536171.199999984</v>
      </c>
      <c r="N1007" s="2">
        <f>SUM($D$2:$D1007)</f>
        <v>5911.2899999999981</v>
      </c>
      <c r="O1007" s="2">
        <f t="shared" si="39"/>
        <v>0.35227390559689359</v>
      </c>
      <c r="P1007" s="2" cm="1">
        <f t="array" ref="P1007">SUMPRODUCT((O1007&gt;$T$9:$T$14)*(O1007&lt;=$U$9:$U$14),$S$9:$S$14)</f>
        <v>4</v>
      </c>
    </row>
    <row r="1008" spans="1:16" x14ac:dyDescent="0.25">
      <c r="A1008">
        <v>1203</v>
      </c>
      <c r="B1008">
        <v>35</v>
      </c>
      <c r="C1008">
        <v>1090</v>
      </c>
      <c r="D1008">
        <v>2.75</v>
      </c>
      <c r="E1008">
        <v>29195</v>
      </c>
      <c r="F1008">
        <v>5.3</v>
      </c>
      <c r="G1008">
        <v>29195053</v>
      </c>
      <c r="H1008">
        <v>40</v>
      </c>
      <c r="I1008">
        <v>650</v>
      </c>
      <c r="J1008" s="2">
        <f t="shared" si="38"/>
        <v>1787.5</v>
      </c>
      <c r="K1008">
        <v>1007</v>
      </c>
      <c r="L1008" s="3">
        <f>SUM($I$2:$I1008)</f>
        <v>6181830</v>
      </c>
      <c r="M1008" s="3">
        <f>SUM($J$2:$J1008)</f>
        <v>23537958.699999984</v>
      </c>
      <c r="N1008" s="2">
        <f>SUM($D$2:$D1008)</f>
        <v>5914.0399999999981</v>
      </c>
      <c r="O1008" s="2">
        <f t="shared" si="39"/>
        <v>0.35243778746369281</v>
      </c>
      <c r="P1008" s="2" cm="1">
        <f t="array" ref="P1008">SUMPRODUCT((O1008&gt;$T$9:$T$14)*(O1008&lt;=$U$9:$U$14),$S$9:$S$14)</f>
        <v>4</v>
      </c>
    </row>
    <row r="1009" spans="1:16" x14ac:dyDescent="0.25">
      <c r="A1009">
        <v>1239</v>
      </c>
      <c r="B1009">
        <v>71</v>
      </c>
      <c r="C1009">
        <v>1134</v>
      </c>
      <c r="D1009">
        <v>1.86</v>
      </c>
      <c r="E1009">
        <v>27830</v>
      </c>
      <c r="F1009">
        <v>0</v>
      </c>
      <c r="G1009">
        <v>27830000</v>
      </c>
      <c r="H1009">
        <v>35</v>
      </c>
      <c r="I1009">
        <v>650</v>
      </c>
      <c r="J1009" s="2">
        <f t="shared" si="38"/>
        <v>1209</v>
      </c>
      <c r="K1009">
        <v>1008</v>
      </c>
      <c r="L1009" s="3">
        <f>SUM($I$2:$I1009)</f>
        <v>6182480</v>
      </c>
      <c r="M1009" s="3">
        <f>SUM($J$2:$J1009)</f>
        <v>23539167.699999984</v>
      </c>
      <c r="N1009" s="2">
        <f>SUM($D$2:$D1009)</f>
        <v>5915.8999999999978</v>
      </c>
      <c r="O1009" s="2">
        <f t="shared" si="39"/>
        <v>0.35254863119905516</v>
      </c>
      <c r="P1009" s="2" cm="1">
        <f t="array" ref="P1009">SUMPRODUCT((O1009&gt;$T$9:$T$14)*(O1009&lt;=$U$9:$U$14),$S$9:$S$14)</f>
        <v>4</v>
      </c>
    </row>
    <row r="1010" spans="1:16" x14ac:dyDescent="0.25">
      <c r="A1010">
        <v>1461</v>
      </c>
      <c r="B1010">
        <v>293</v>
      </c>
      <c r="C1010">
        <v>1420</v>
      </c>
      <c r="D1010">
        <v>79.41</v>
      </c>
      <c r="E1010">
        <v>46070</v>
      </c>
      <c r="F1010">
        <v>4.8</v>
      </c>
      <c r="G1010">
        <v>46070048</v>
      </c>
      <c r="H1010">
        <v>144</v>
      </c>
      <c r="I1010">
        <v>640</v>
      </c>
      <c r="J1010" s="2">
        <f t="shared" si="38"/>
        <v>50822.399999999994</v>
      </c>
      <c r="K1010">
        <v>1009</v>
      </c>
      <c r="L1010" s="3">
        <f>SUM($I$2:$I1010)</f>
        <v>6183120</v>
      </c>
      <c r="M1010" s="3">
        <f>SUM($J$2:$J1010)</f>
        <v>23589990.099999983</v>
      </c>
      <c r="N1010" s="2">
        <f>SUM($D$2:$D1010)</f>
        <v>5995.3099999999977</v>
      </c>
      <c r="O1010" s="2">
        <f t="shared" si="39"/>
        <v>0.35728094357815504</v>
      </c>
      <c r="P1010" s="2" cm="1">
        <f t="array" ref="P1010">SUMPRODUCT((O1010&gt;$T$9:$T$14)*(O1010&lt;=$U$9:$U$14),$S$9:$S$14)</f>
        <v>4</v>
      </c>
    </row>
    <row r="1011" spans="1:16" x14ac:dyDescent="0.25">
      <c r="A1011">
        <v>548</v>
      </c>
      <c r="B1011">
        <v>1335</v>
      </c>
      <c r="C1011">
        <v>754</v>
      </c>
      <c r="D1011">
        <v>7.88</v>
      </c>
      <c r="E1011">
        <v>24590</v>
      </c>
      <c r="F1011">
        <v>5.4</v>
      </c>
      <c r="G1011">
        <v>24590054</v>
      </c>
      <c r="H1011">
        <v>23</v>
      </c>
      <c r="I1011">
        <v>640</v>
      </c>
      <c r="J1011" s="2">
        <f t="shared" si="38"/>
        <v>5043.2</v>
      </c>
      <c r="K1011">
        <v>1010</v>
      </c>
      <c r="L1011" s="3">
        <f>SUM($I$2:$I1011)</f>
        <v>6183760</v>
      </c>
      <c r="M1011" s="3">
        <f>SUM($J$2:$J1011)</f>
        <v>23595033.299999982</v>
      </c>
      <c r="N1011" s="2">
        <f>SUM($D$2:$D1011)</f>
        <v>6003.1899999999978</v>
      </c>
      <c r="O1011" s="2">
        <f t="shared" si="39"/>
        <v>0.3577505396182924</v>
      </c>
      <c r="P1011" s="2" cm="1">
        <f t="array" ref="P1011">SUMPRODUCT((O1011&gt;$T$9:$T$14)*(O1011&lt;=$U$9:$U$14),$S$9:$S$14)</f>
        <v>4</v>
      </c>
    </row>
    <row r="1012" spans="1:16" x14ac:dyDescent="0.25">
      <c r="A1012">
        <v>1204</v>
      </c>
      <c r="B1012">
        <v>36</v>
      </c>
      <c r="C1012">
        <v>1091</v>
      </c>
      <c r="D1012">
        <v>5.4</v>
      </c>
      <c r="E1012">
        <v>29195</v>
      </c>
      <c r="F1012">
        <v>0</v>
      </c>
      <c r="G1012">
        <v>29195000</v>
      </c>
      <c r="H1012">
        <v>40</v>
      </c>
      <c r="I1012">
        <v>640</v>
      </c>
      <c r="J1012" s="2">
        <f t="shared" si="38"/>
        <v>3456</v>
      </c>
      <c r="K1012">
        <v>1011</v>
      </c>
      <c r="L1012" s="3">
        <f>SUM($I$2:$I1012)</f>
        <v>6184400</v>
      </c>
      <c r="M1012" s="3">
        <f>SUM($J$2:$J1012)</f>
        <v>23598489.299999982</v>
      </c>
      <c r="N1012" s="2">
        <f>SUM($D$2:$D1012)</f>
        <v>6008.5899999999974</v>
      </c>
      <c r="O1012" s="2">
        <f t="shared" si="39"/>
        <v>0.35807234401127991</v>
      </c>
      <c r="P1012" s="2" cm="1">
        <f t="array" ref="P1012">SUMPRODUCT((O1012&gt;$T$9:$T$14)*(O1012&lt;=$U$9:$U$14),$S$9:$S$14)</f>
        <v>4</v>
      </c>
    </row>
    <row r="1013" spans="1:16" x14ac:dyDescent="0.25">
      <c r="A1013">
        <v>817</v>
      </c>
      <c r="B1013">
        <v>443</v>
      </c>
      <c r="C1013">
        <v>52</v>
      </c>
      <c r="D1013">
        <v>3.71</v>
      </c>
      <c r="E1013">
        <v>12205</v>
      </c>
      <c r="F1013">
        <v>0</v>
      </c>
      <c r="G1013">
        <v>12205000</v>
      </c>
      <c r="H1013">
        <v>3</v>
      </c>
      <c r="I1013">
        <v>640</v>
      </c>
      <c r="J1013" s="2">
        <f t="shared" si="38"/>
        <v>2374.4</v>
      </c>
      <c r="K1013">
        <v>1012</v>
      </c>
      <c r="L1013" s="3">
        <f>SUM($I$2:$I1013)</f>
        <v>6185040</v>
      </c>
      <c r="M1013" s="3">
        <f>SUM($J$2:$J1013)</f>
        <v>23600863.699999981</v>
      </c>
      <c r="N1013" s="2">
        <f>SUM($D$2:$D1013)</f>
        <v>6012.2999999999975</v>
      </c>
      <c r="O1013" s="2">
        <f t="shared" si="39"/>
        <v>0.35829343554794357</v>
      </c>
      <c r="P1013" s="2" cm="1">
        <f t="array" ref="P1013">SUMPRODUCT((O1013&gt;$T$9:$T$14)*(O1013&lt;=$U$9:$U$14),$S$9:$S$14)</f>
        <v>4</v>
      </c>
    </row>
    <row r="1014" spans="1:16" x14ac:dyDescent="0.25">
      <c r="A1014">
        <v>446</v>
      </c>
      <c r="B1014">
        <v>1233</v>
      </c>
      <c r="C1014">
        <v>619</v>
      </c>
      <c r="D1014">
        <v>9.85</v>
      </c>
      <c r="E1014">
        <v>25680</v>
      </c>
      <c r="F1014">
        <v>5.6</v>
      </c>
      <c r="G1014">
        <v>25680056</v>
      </c>
      <c r="H1014">
        <v>26</v>
      </c>
      <c r="I1014">
        <v>630</v>
      </c>
      <c r="J1014" s="2">
        <f t="shared" si="38"/>
        <v>6205.5</v>
      </c>
      <c r="K1014">
        <v>1013</v>
      </c>
      <c r="L1014" s="3">
        <f>SUM($I$2:$I1014)</f>
        <v>6185670</v>
      </c>
      <c r="M1014" s="3">
        <f>SUM($J$2:$J1014)</f>
        <v>23607069.199999981</v>
      </c>
      <c r="N1014" s="2">
        <f>SUM($D$2:$D1014)</f>
        <v>6022.1499999999978</v>
      </c>
      <c r="O1014" s="2">
        <f t="shared" si="39"/>
        <v>0.35888043059811525</v>
      </c>
      <c r="P1014" s="2" cm="1">
        <f t="array" ref="P1014">SUMPRODUCT((O1014&gt;$T$9:$T$14)*(O1014&lt;=$U$9:$U$14),$S$9:$S$14)</f>
        <v>4</v>
      </c>
    </row>
    <row r="1015" spans="1:16" x14ac:dyDescent="0.25">
      <c r="A1015">
        <v>1110</v>
      </c>
      <c r="B1015">
        <v>736</v>
      </c>
      <c r="C1015">
        <v>450</v>
      </c>
      <c r="D1015">
        <v>9.41</v>
      </c>
      <c r="E1015">
        <v>13640</v>
      </c>
      <c r="F1015">
        <v>2.1</v>
      </c>
      <c r="G1015">
        <v>13640021</v>
      </c>
      <c r="H1015">
        <v>6</v>
      </c>
      <c r="I1015">
        <v>630</v>
      </c>
      <c r="J1015" s="2">
        <f t="shared" si="38"/>
        <v>5928.3</v>
      </c>
      <c r="K1015">
        <v>1014</v>
      </c>
      <c r="L1015" s="3">
        <f>SUM($I$2:$I1015)</f>
        <v>6186300</v>
      </c>
      <c r="M1015" s="3">
        <f>SUM($J$2:$J1015)</f>
        <v>23612997.499999981</v>
      </c>
      <c r="N1015" s="2">
        <f>SUM($D$2:$D1015)</f>
        <v>6031.5599999999977</v>
      </c>
      <c r="O1015" s="2">
        <f t="shared" si="39"/>
        <v>0.35944120454959905</v>
      </c>
      <c r="P1015" s="2" cm="1">
        <f t="array" ref="P1015">SUMPRODUCT((O1015&gt;$T$9:$T$14)*(O1015&lt;=$U$9:$U$14),$S$9:$S$14)</f>
        <v>4</v>
      </c>
    </row>
    <row r="1016" spans="1:16" x14ac:dyDescent="0.25">
      <c r="A1016">
        <v>1237</v>
      </c>
      <c r="B1016">
        <v>69</v>
      </c>
      <c r="C1016">
        <v>1132</v>
      </c>
      <c r="D1016">
        <v>7.57</v>
      </c>
      <c r="E1016">
        <v>27835</v>
      </c>
      <c r="F1016">
        <v>2.5</v>
      </c>
      <c r="G1016">
        <v>27835025</v>
      </c>
      <c r="H1016">
        <v>35</v>
      </c>
      <c r="I1016">
        <v>630</v>
      </c>
      <c r="J1016" s="2">
        <f t="shared" si="38"/>
        <v>4769.1000000000004</v>
      </c>
      <c r="K1016">
        <v>1015</v>
      </c>
      <c r="L1016" s="3">
        <f>SUM($I$2:$I1016)</f>
        <v>6186930</v>
      </c>
      <c r="M1016" s="3">
        <f>SUM($J$2:$J1016)</f>
        <v>23617766.599999983</v>
      </c>
      <c r="N1016" s="2">
        <f>SUM($D$2:$D1016)</f>
        <v>6039.1299999999974</v>
      </c>
      <c r="O1016" s="2">
        <f t="shared" si="39"/>
        <v>0.35989232663384269</v>
      </c>
      <c r="P1016" s="2" cm="1">
        <f t="array" ref="P1016">SUMPRODUCT((O1016&gt;$T$9:$T$14)*(O1016&lt;=$U$9:$U$14),$S$9:$S$14)</f>
        <v>4</v>
      </c>
    </row>
    <row r="1017" spans="1:16" x14ac:dyDescent="0.25">
      <c r="A1017">
        <v>433</v>
      </c>
      <c r="B1017">
        <v>1220</v>
      </c>
      <c r="C1017">
        <v>602</v>
      </c>
      <c r="D1017">
        <v>29.85</v>
      </c>
      <c r="E1017">
        <v>22220</v>
      </c>
      <c r="F1017">
        <v>0</v>
      </c>
      <c r="G1017">
        <v>22220000</v>
      </c>
      <c r="H1017">
        <v>17</v>
      </c>
      <c r="I1017">
        <v>620</v>
      </c>
      <c r="J1017" s="2">
        <f t="shared" si="38"/>
        <v>18507</v>
      </c>
      <c r="K1017">
        <v>1016</v>
      </c>
      <c r="L1017" s="3">
        <f>SUM($I$2:$I1017)</f>
        <v>6187550</v>
      </c>
      <c r="M1017" s="3">
        <f>SUM($J$2:$J1017)</f>
        <v>23636273.599999983</v>
      </c>
      <c r="N1017" s="2">
        <f>SUM($D$2:$D1017)</f>
        <v>6068.9799999999977</v>
      </c>
      <c r="O1017" s="2">
        <f t="shared" si="39"/>
        <v>0.3616711898061904</v>
      </c>
      <c r="P1017" s="2" cm="1">
        <f t="array" ref="P1017">SUMPRODUCT((O1017&gt;$T$9:$T$14)*(O1017&lt;=$U$9:$U$14),$S$9:$S$14)</f>
        <v>4</v>
      </c>
    </row>
    <row r="1018" spans="1:16" x14ac:dyDescent="0.25">
      <c r="A1018">
        <v>1105</v>
      </c>
      <c r="B1018">
        <v>731</v>
      </c>
      <c r="C1018">
        <v>439</v>
      </c>
      <c r="D1018">
        <v>6.83</v>
      </c>
      <c r="E1018">
        <v>17510</v>
      </c>
      <c r="F1018">
        <v>0</v>
      </c>
      <c r="G1018">
        <v>17510000</v>
      </c>
      <c r="H1018">
        <v>11</v>
      </c>
      <c r="I1018">
        <v>620</v>
      </c>
      <c r="J1018" s="2">
        <f t="shared" si="38"/>
        <v>4234.6000000000004</v>
      </c>
      <c r="K1018">
        <v>1017</v>
      </c>
      <c r="L1018" s="3">
        <f>SUM($I$2:$I1018)</f>
        <v>6188170</v>
      </c>
      <c r="M1018" s="3">
        <f>SUM($J$2:$J1018)</f>
        <v>23640508.199999984</v>
      </c>
      <c r="N1018" s="2">
        <f>SUM($D$2:$D1018)</f>
        <v>6075.8099999999977</v>
      </c>
      <c r="O1018" s="2">
        <f t="shared" si="39"/>
        <v>0.36207821276991353</v>
      </c>
      <c r="P1018" s="2" cm="1">
        <f t="array" ref="P1018">SUMPRODUCT((O1018&gt;$T$9:$T$14)*(O1018&lt;=$U$9:$U$14),$S$9:$S$14)</f>
        <v>4</v>
      </c>
    </row>
    <row r="1019" spans="1:16" x14ac:dyDescent="0.25">
      <c r="A1019">
        <v>521</v>
      </c>
      <c r="B1019">
        <v>1308</v>
      </c>
      <c r="C1019">
        <v>722</v>
      </c>
      <c r="D1019">
        <v>6.05</v>
      </c>
      <c r="E1019">
        <v>21500</v>
      </c>
      <c r="F1019">
        <v>0</v>
      </c>
      <c r="G1019">
        <v>21500000</v>
      </c>
      <c r="H1019">
        <v>17</v>
      </c>
      <c r="I1019">
        <v>620</v>
      </c>
      <c r="J1019" s="2">
        <f t="shared" si="38"/>
        <v>3751</v>
      </c>
      <c r="K1019">
        <v>1018</v>
      </c>
      <c r="L1019" s="3">
        <f>SUM($I$2:$I1019)</f>
        <v>6188790</v>
      </c>
      <c r="M1019" s="3">
        <f>SUM($J$2:$J1019)</f>
        <v>23644259.199999984</v>
      </c>
      <c r="N1019" s="2">
        <f>SUM($D$2:$D1019)</f>
        <v>6081.8599999999979</v>
      </c>
      <c r="O1019" s="2">
        <f t="shared" si="39"/>
        <v>0.36243875287687177</v>
      </c>
      <c r="P1019" s="2" cm="1">
        <f t="array" ref="P1019">SUMPRODUCT((O1019&gt;$T$9:$T$14)*(O1019&lt;=$U$9:$U$14),$S$9:$S$14)</f>
        <v>4</v>
      </c>
    </row>
    <row r="1020" spans="1:16" x14ac:dyDescent="0.25">
      <c r="A1020">
        <v>863</v>
      </c>
      <c r="B1020">
        <v>489</v>
      </c>
      <c r="C1020">
        <v>112</v>
      </c>
      <c r="D1020">
        <v>5.46</v>
      </c>
      <c r="E1020">
        <v>11840</v>
      </c>
      <c r="F1020">
        <v>0</v>
      </c>
      <c r="G1020">
        <v>11840000</v>
      </c>
      <c r="H1020">
        <v>3</v>
      </c>
      <c r="I1020">
        <v>620</v>
      </c>
      <c r="J1020" s="2">
        <f t="shared" si="38"/>
        <v>3385.2</v>
      </c>
      <c r="K1020">
        <v>1019</v>
      </c>
      <c r="L1020" s="3">
        <f>SUM($I$2:$I1020)</f>
        <v>6189410</v>
      </c>
      <c r="M1020" s="3">
        <f>SUM($J$2:$J1020)</f>
        <v>23647644.399999984</v>
      </c>
      <c r="N1020" s="2">
        <f>SUM($D$2:$D1020)</f>
        <v>6087.3199999999979</v>
      </c>
      <c r="O1020" s="2">
        <f t="shared" si="39"/>
        <v>0.36276413287422582</v>
      </c>
      <c r="P1020" s="2" cm="1">
        <f t="array" ref="P1020">SUMPRODUCT((O1020&gt;$T$9:$T$14)*(O1020&lt;=$U$9:$U$14),$S$9:$S$14)</f>
        <v>4</v>
      </c>
    </row>
    <row r="1021" spans="1:16" x14ac:dyDescent="0.25">
      <c r="A1021">
        <v>874</v>
      </c>
      <c r="B1021">
        <v>500</v>
      </c>
      <c r="C1021">
        <v>126</v>
      </c>
      <c r="D1021">
        <v>4.59</v>
      </c>
      <c r="E1021">
        <v>11740</v>
      </c>
      <c r="F1021">
        <v>1.5</v>
      </c>
      <c r="G1021">
        <v>11740015</v>
      </c>
      <c r="H1021">
        <v>3</v>
      </c>
      <c r="I1021">
        <v>620</v>
      </c>
      <c r="J1021" s="2">
        <f t="shared" si="38"/>
        <v>2845.7999999999997</v>
      </c>
      <c r="K1021">
        <v>1020</v>
      </c>
      <c r="L1021" s="3">
        <f>SUM($I$2:$I1021)</f>
        <v>6190030</v>
      </c>
      <c r="M1021" s="3">
        <f>SUM($J$2:$J1021)</f>
        <v>23650490.199999984</v>
      </c>
      <c r="N1021" s="2">
        <f>SUM($D$2:$D1021)</f>
        <v>6091.909999999998</v>
      </c>
      <c r="O1021" s="2">
        <f t="shared" si="39"/>
        <v>0.36303766660826525</v>
      </c>
      <c r="P1021" s="2" cm="1">
        <f t="array" ref="P1021">SUMPRODUCT((O1021&gt;$T$9:$T$14)*(O1021&lt;=$U$9:$U$14),$S$9:$S$14)</f>
        <v>4</v>
      </c>
    </row>
    <row r="1022" spans="1:16" x14ac:dyDescent="0.25">
      <c r="A1022">
        <v>1080</v>
      </c>
      <c r="B1022">
        <v>706</v>
      </c>
      <c r="C1022">
        <v>402</v>
      </c>
      <c r="D1022">
        <v>4.07</v>
      </c>
      <c r="E1022">
        <v>14300</v>
      </c>
      <c r="F1022">
        <v>1.4</v>
      </c>
      <c r="G1022">
        <v>14300014</v>
      </c>
      <c r="H1022">
        <v>7</v>
      </c>
      <c r="I1022">
        <v>620</v>
      </c>
      <c r="J1022" s="2">
        <f t="shared" si="38"/>
        <v>2523.4</v>
      </c>
      <c r="K1022">
        <v>1021</v>
      </c>
      <c r="L1022" s="3">
        <f>SUM($I$2:$I1022)</f>
        <v>6190650</v>
      </c>
      <c r="M1022" s="3">
        <f>SUM($J$2:$J1022)</f>
        <v>23653013.599999983</v>
      </c>
      <c r="N1022" s="2">
        <f>SUM($D$2:$D1022)</f>
        <v>6095.9799999999977</v>
      </c>
      <c r="O1022" s="2">
        <f t="shared" si="39"/>
        <v>0.36328021177112801</v>
      </c>
      <c r="P1022" s="2" cm="1">
        <f t="array" ref="P1022">SUMPRODUCT((O1022&gt;$T$9:$T$14)*(O1022&lt;=$U$9:$U$14),$S$9:$S$14)</f>
        <v>4</v>
      </c>
    </row>
    <row r="1023" spans="1:16" x14ac:dyDescent="0.25">
      <c r="A1023">
        <v>820</v>
      </c>
      <c r="B1023">
        <v>446</v>
      </c>
      <c r="C1023">
        <v>56</v>
      </c>
      <c r="D1023">
        <v>2.34</v>
      </c>
      <c r="E1023">
        <v>12038</v>
      </c>
      <c r="F1023">
        <v>0</v>
      </c>
      <c r="G1023">
        <v>12038000</v>
      </c>
      <c r="H1023">
        <v>3</v>
      </c>
      <c r="I1023">
        <v>620</v>
      </c>
      <c r="J1023" s="2">
        <f t="shared" si="38"/>
        <v>1450.8</v>
      </c>
      <c r="K1023">
        <v>1022</v>
      </c>
      <c r="L1023" s="3">
        <f>SUM($I$2:$I1023)</f>
        <v>6191270</v>
      </c>
      <c r="M1023" s="3">
        <f>SUM($J$2:$J1023)</f>
        <v>23654464.399999984</v>
      </c>
      <c r="N1023" s="2">
        <f>SUM($D$2:$D1023)</f>
        <v>6098.3199999999979</v>
      </c>
      <c r="O1023" s="2">
        <f t="shared" si="39"/>
        <v>0.36341966034142265</v>
      </c>
      <c r="P1023" s="2" cm="1">
        <f t="array" ref="P1023">SUMPRODUCT((O1023&gt;$T$9:$T$14)*(O1023&lt;=$U$9:$U$14),$S$9:$S$14)</f>
        <v>4</v>
      </c>
    </row>
    <row r="1024" spans="1:16" x14ac:dyDescent="0.25">
      <c r="A1024">
        <v>699</v>
      </c>
      <c r="B1024">
        <v>1486</v>
      </c>
      <c r="C1024">
        <v>938</v>
      </c>
      <c r="D1024">
        <v>1.0900000000000001</v>
      </c>
      <c r="E1024">
        <v>20040</v>
      </c>
      <c r="F1024">
        <v>0</v>
      </c>
      <c r="G1024">
        <v>20040000</v>
      </c>
      <c r="H1024">
        <v>15</v>
      </c>
      <c r="I1024">
        <v>620</v>
      </c>
      <c r="J1024" s="2">
        <f t="shared" si="38"/>
        <v>675.80000000000007</v>
      </c>
      <c r="K1024">
        <v>1023</v>
      </c>
      <c r="L1024" s="3">
        <f>SUM($I$2:$I1024)</f>
        <v>6191890</v>
      </c>
      <c r="M1024" s="3">
        <f>SUM($J$2:$J1024)</f>
        <v>23655140.199999984</v>
      </c>
      <c r="N1024" s="2">
        <f>SUM($D$2:$D1024)</f>
        <v>6099.409999999998</v>
      </c>
      <c r="O1024" s="2">
        <f t="shared" si="39"/>
        <v>0.36348461715408126</v>
      </c>
      <c r="P1024" s="2" cm="1">
        <f t="array" ref="P1024">SUMPRODUCT((O1024&gt;$T$9:$T$14)*(O1024&lt;=$U$9:$U$14),$S$9:$S$14)</f>
        <v>4</v>
      </c>
    </row>
    <row r="1025" spans="1:16" x14ac:dyDescent="0.25">
      <c r="A1025">
        <v>1391</v>
      </c>
      <c r="B1025">
        <v>223</v>
      </c>
      <c r="C1025">
        <v>1339</v>
      </c>
      <c r="D1025">
        <v>1.01</v>
      </c>
      <c r="E1025">
        <v>33670</v>
      </c>
      <c r="F1025">
        <v>3.9</v>
      </c>
      <c r="G1025">
        <v>33670039</v>
      </c>
      <c r="H1025">
        <v>62</v>
      </c>
      <c r="I1025">
        <v>620</v>
      </c>
      <c r="J1025" s="2">
        <f t="shared" si="38"/>
        <v>626.20000000000005</v>
      </c>
      <c r="K1025">
        <v>1024</v>
      </c>
      <c r="L1025" s="3">
        <f>SUM($I$2:$I1025)</f>
        <v>6192510</v>
      </c>
      <c r="M1025" s="3">
        <f>SUM($J$2:$J1025)</f>
        <v>23655766.399999984</v>
      </c>
      <c r="N1025" s="2">
        <f>SUM($D$2:$D1025)</f>
        <v>6100.4199999999983</v>
      </c>
      <c r="O1025" s="2">
        <f t="shared" si="39"/>
        <v>0.36354480649425114</v>
      </c>
      <c r="P1025" s="2" cm="1">
        <f t="array" ref="P1025">SUMPRODUCT((O1025&gt;$T$9:$T$14)*(O1025&lt;=$U$9:$U$14),$S$9:$S$14)</f>
        <v>4</v>
      </c>
    </row>
    <row r="1026" spans="1:16" x14ac:dyDescent="0.25">
      <c r="A1026">
        <v>853</v>
      </c>
      <c r="B1026">
        <v>479</v>
      </c>
      <c r="C1026">
        <v>98</v>
      </c>
      <c r="D1026">
        <v>16.239999999999998</v>
      </c>
      <c r="E1026">
        <v>14195</v>
      </c>
      <c r="F1026">
        <v>0</v>
      </c>
      <c r="G1026">
        <v>14195000</v>
      </c>
      <c r="H1026">
        <v>7</v>
      </c>
      <c r="I1026">
        <v>610</v>
      </c>
      <c r="J1026" s="2">
        <f t="shared" ref="J1026:J1089" si="40">I1026*D1026</f>
        <v>9906.4</v>
      </c>
      <c r="K1026">
        <v>1025</v>
      </c>
      <c r="L1026" s="3">
        <f>SUM($I$2:$I1026)</f>
        <v>6193120</v>
      </c>
      <c r="M1026" s="3">
        <f>SUM($J$2:$J1026)</f>
        <v>23665672.799999982</v>
      </c>
      <c r="N1026" s="2">
        <f>SUM($D$2:$D1026)</f>
        <v>6116.659999999998</v>
      </c>
      <c r="O1026" s="2">
        <f t="shared" ref="O1026:O1089" si="41">N1026/$T$4</f>
        <v>0.36451260340945807</v>
      </c>
      <c r="P1026" s="2" cm="1">
        <f t="array" ref="P1026">SUMPRODUCT((O1026&gt;$T$9:$T$14)*(O1026&lt;=$U$9:$U$14),$S$9:$S$14)</f>
        <v>4</v>
      </c>
    </row>
    <row r="1027" spans="1:16" x14ac:dyDescent="0.25">
      <c r="A1027">
        <v>1006</v>
      </c>
      <c r="B1027">
        <v>632</v>
      </c>
      <c r="C1027">
        <v>306</v>
      </c>
      <c r="D1027">
        <v>11.7</v>
      </c>
      <c r="E1027">
        <v>13650</v>
      </c>
      <c r="F1027">
        <v>0</v>
      </c>
      <c r="G1027">
        <v>13650000</v>
      </c>
      <c r="H1027">
        <v>6</v>
      </c>
      <c r="I1027">
        <v>610</v>
      </c>
      <c r="J1027" s="2">
        <f t="shared" si="40"/>
        <v>7137</v>
      </c>
      <c r="K1027">
        <v>1026</v>
      </c>
      <c r="L1027" s="3">
        <f>SUM($I$2:$I1027)</f>
        <v>6193730</v>
      </c>
      <c r="M1027" s="3">
        <f>SUM($J$2:$J1027)</f>
        <v>23672809.799999982</v>
      </c>
      <c r="N1027" s="2">
        <f>SUM($D$2:$D1027)</f>
        <v>6128.3599999999979</v>
      </c>
      <c r="O1027" s="2">
        <f t="shared" si="41"/>
        <v>0.365209846260931</v>
      </c>
      <c r="P1027" s="2" cm="1">
        <f t="array" ref="P1027">SUMPRODUCT((O1027&gt;$T$9:$T$14)*(O1027&lt;=$U$9:$U$14),$S$9:$S$14)</f>
        <v>4</v>
      </c>
    </row>
    <row r="1028" spans="1:16" x14ac:dyDescent="0.25">
      <c r="A1028">
        <v>837</v>
      </c>
      <c r="B1028">
        <v>463</v>
      </c>
      <c r="C1028">
        <v>75</v>
      </c>
      <c r="D1028">
        <v>9.14</v>
      </c>
      <c r="E1028">
        <v>12000</v>
      </c>
      <c r="F1028">
        <v>8</v>
      </c>
      <c r="G1028">
        <v>12000080</v>
      </c>
      <c r="H1028">
        <v>3</v>
      </c>
      <c r="I1028">
        <v>610</v>
      </c>
      <c r="J1028" s="2">
        <f t="shared" si="40"/>
        <v>5575.4000000000005</v>
      </c>
      <c r="K1028">
        <v>1027</v>
      </c>
      <c r="L1028" s="3">
        <f>SUM($I$2:$I1028)</f>
        <v>6194340</v>
      </c>
      <c r="M1028" s="3">
        <f>SUM($J$2:$J1028)</f>
        <v>23678385.199999981</v>
      </c>
      <c r="N1028" s="2">
        <f>SUM($D$2:$D1028)</f>
        <v>6137.4999999999982</v>
      </c>
      <c r="O1028" s="2">
        <f t="shared" si="41"/>
        <v>0.36575452999276548</v>
      </c>
      <c r="P1028" s="2" cm="1">
        <f t="array" ref="P1028">SUMPRODUCT((O1028&gt;$T$9:$T$14)*(O1028&lt;=$U$9:$U$14),$S$9:$S$14)</f>
        <v>4</v>
      </c>
    </row>
    <row r="1029" spans="1:16" x14ac:dyDescent="0.25">
      <c r="A1029">
        <v>1177</v>
      </c>
      <c r="B1029">
        <v>9</v>
      </c>
      <c r="C1029">
        <v>1056</v>
      </c>
      <c r="D1029">
        <v>6.29</v>
      </c>
      <c r="E1029">
        <v>31030</v>
      </c>
      <c r="F1029">
        <v>0</v>
      </c>
      <c r="G1029">
        <v>31030000</v>
      </c>
      <c r="H1029">
        <v>48</v>
      </c>
      <c r="I1029">
        <v>610</v>
      </c>
      <c r="J1029" s="2">
        <f t="shared" si="40"/>
        <v>3836.9</v>
      </c>
      <c r="K1029">
        <v>1028</v>
      </c>
      <c r="L1029" s="3">
        <f>SUM($I$2:$I1029)</f>
        <v>6194950</v>
      </c>
      <c r="M1029" s="3">
        <f>SUM($J$2:$J1029)</f>
        <v>23682222.099999979</v>
      </c>
      <c r="N1029" s="2">
        <f>SUM($D$2:$D1029)</f>
        <v>6143.7899999999981</v>
      </c>
      <c r="O1029" s="2">
        <f t="shared" si="41"/>
        <v>0.3661293725171898</v>
      </c>
      <c r="P1029" s="2" cm="1">
        <f t="array" ref="P1029">SUMPRODUCT((O1029&gt;$T$9:$T$14)*(O1029&lt;=$U$9:$U$14),$S$9:$S$14)</f>
        <v>4</v>
      </c>
    </row>
    <row r="1030" spans="1:16" x14ac:dyDescent="0.25">
      <c r="A1030">
        <v>354</v>
      </c>
      <c r="B1030">
        <v>1149</v>
      </c>
      <c r="C1030">
        <v>2024</v>
      </c>
      <c r="D1030">
        <v>1.7</v>
      </c>
      <c r="E1030">
        <v>80620</v>
      </c>
      <c r="F1030">
        <v>0</v>
      </c>
      <c r="G1030">
        <v>80620000</v>
      </c>
      <c r="H1030">
        <v>7146</v>
      </c>
      <c r="I1030">
        <v>610</v>
      </c>
      <c r="J1030" s="2">
        <f t="shared" si="40"/>
        <v>1037</v>
      </c>
      <c r="K1030">
        <v>1029</v>
      </c>
      <c r="L1030" s="3">
        <f>SUM($I$2:$I1030)</f>
        <v>6195560</v>
      </c>
      <c r="M1030" s="3">
        <f>SUM($J$2:$J1030)</f>
        <v>23683259.099999979</v>
      </c>
      <c r="N1030" s="2">
        <f>SUM($D$2:$D1030)</f>
        <v>6145.489999999998</v>
      </c>
      <c r="O1030" s="2">
        <f t="shared" si="41"/>
        <v>0.3662306813075748</v>
      </c>
      <c r="P1030" s="2" cm="1">
        <f t="array" ref="P1030">SUMPRODUCT((O1030&gt;$T$9:$T$14)*(O1030&lt;=$U$9:$U$14),$S$9:$S$14)</f>
        <v>4</v>
      </c>
    </row>
    <row r="1031" spans="1:16" x14ac:dyDescent="0.25">
      <c r="A1031">
        <v>807</v>
      </c>
      <c r="B1031">
        <v>433</v>
      </c>
      <c r="C1031">
        <v>42</v>
      </c>
      <c r="D1031">
        <v>1.1299999999999999</v>
      </c>
      <c r="E1031">
        <v>12254</v>
      </c>
      <c r="F1031">
        <v>2</v>
      </c>
      <c r="G1031">
        <v>12254020</v>
      </c>
      <c r="H1031">
        <v>3</v>
      </c>
      <c r="I1031">
        <v>610</v>
      </c>
      <c r="J1031" s="2">
        <f t="shared" si="40"/>
        <v>689.3</v>
      </c>
      <c r="K1031">
        <v>1030</v>
      </c>
      <c r="L1031" s="3">
        <f>SUM($I$2:$I1031)</f>
        <v>6196170</v>
      </c>
      <c r="M1031" s="3">
        <f>SUM($J$2:$J1031)</f>
        <v>23683948.39999998</v>
      </c>
      <c r="N1031" s="2">
        <f>SUM($D$2:$D1031)</f>
        <v>6146.6199999999981</v>
      </c>
      <c r="O1031" s="2">
        <f t="shared" si="41"/>
        <v>0.36629802185647775</v>
      </c>
      <c r="P1031" s="2" cm="1">
        <f t="array" ref="P1031">SUMPRODUCT((O1031&gt;$T$9:$T$14)*(O1031&lt;=$U$9:$U$14),$S$9:$S$14)</f>
        <v>4</v>
      </c>
    </row>
    <row r="1032" spans="1:16" x14ac:dyDescent="0.25">
      <c r="A1032">
        <v>1326</v>
      </c>
      <c r="B1032">
        <v>158</v>
      </c>
      <c r="C1032">
        <v>1251</v>
      </c>
      <c r="D1032">
        <v>0.2</v>
      </c>
      <c r="E1032">
        <v>40330</v>
      </c>
      <c r="F1032">
        <v>6.9</v>
      </c>
      <c r="G1032">
        <v>40330069</v>
      </c>
      <c r="H1032">
        <v>101</v>
      </c>
      <c r="I1032">
        <v>610</v>
      </c>
      <c r="J1032" s="2">
        <f t="shared" si="40"/>
        <v>122</v>
      </c>
      <c r="K1032">
        <v>1031</v>
      </c>
      <c r="L1032" s="3">
        <f>SUM($I$2:$I1032)</f>
        <v>6196780</v>
      </c>
      <c r="M1032" s="3">
        <f>SUM($J$2:$J1032)</f>
        <v>23684070.39999998</v>
      </c>
      <c r="N1032" s="2">
        <f>SUM($D$2:$D1032)</f>
        <v>6146.8199999999979</v>
      </c>
      <c r="O1032" s="2">
        <f t="shared" si="41"/>
        <v>0.3663099405376995</v>
      </c>
      <c r="P1032" s="2" cm="1">
        <f t="array" ref="P1032">SUMPRODUCT((O1032&gt;$T$9:$T$14)*(O1032&lt;=$U$9:$U$14),$S$9:$S$14)</f>
        <v>4</v>
      </c>
    </row>
    <row r="1033" spans="1:16" x14ac:dyDescent="0.25">
      <c r="A1033">
        <v>1147</v>
      </c>
      <c r="B1033">
        <v>773</v>
      </c>
      <c r="C1033">
        <v>491</v>
      </c>
      <c r="D1033">
        <v>33.729999999999997</v>
      </c>
      <c r="E1033">
        <v>16540</v>
      </c>
      <c r="F1033">
        <v>1.3</v>
      </c>
      <c r="G1033">
        <v>16540013</v>
      </c>
      <c r="H1033">
        <v>10</v>
      </c>
      <c r="I1033">
        <v>600</v>
      </c>
      <c r="J1033" s="2">
        <f t="shared" si="40"/>
        <v>20237.999999999996</v>
      </c>
      <c r="K1033">
        <v>1032</v>
      </c>
      <c r="L1033" s="3">
        <f>SUM($I$2:$I1033)</f>
        <v>6197380</v>
      </c>
      <c r="M1033" s="3">
        <f>SUM($J$2:$J1033)</f>
        <v>23704308.39999998</v>
      </c>
      <c r="N1033" s="2">
        <f>SUM($D$2:$D1033)</f>
        <v>6180.5499999999975</v>
      </c>
      <c r="O1033" s="2">
        <f t="shared" si="41"/>
        <v>0.36832002612574932</v>
      </c>
      <c r="P1033" s="2" cm="1">
        <f t="array" ref="P1033">SUMPRODUCT((O1033&gt;$T$9:$T$14)*(O1033&lt;=$U$9:$U$14),$S$9:$S$14)</f>
        <v>4</v>
      </c>
    </row>
    <row r="1034" spans="1:16" x14ac:dyDescent="0.25">
      <c r="A1034">
        <v>402</v>
      </c>
      <c r="B1034">
        <v>1197</v>
      </c>
      <c r="C1034">
        <v>570</v>
      </c>
      <c r="D1034">
        <v>12.06</v>
      </c>
      <c r="E1034">
        <v>20010</v>
      </c>
      <c r="F1034">
        <v>1.4</v>
      </c>
      <c r="G1034">
        <v>20010014</v>
      </c>
      <c r="H1034">
        <v>15</v>
      </c>
      <c r="I1034">
        <v>600</v>
      </c>
      <c r="J1034" s="2">
        <f t="shared" si="40"/>
        <v>7236</v>
      </c>
      <c r="K1034">
        <v>1033</v>
      </c>
      <c r="L1034" s="3">
        <f>SUM($I$2:$I1034)</f>
        <v>6197980</v>
      </c>
      <c r="M1034" s="3">
        <f>SUM($J$2:$J1034)</f>
        <v>23711544.39999998</v>
      </c>
      <c r="N1034" s="2">
        <f>SUM($D$2:$D1034)</f>
        <v>6192.6099999999979</v>
      </c>
      <c r="O1034" s="2">
        <f t="shared" si="41"/>
        <v>0.36903872260342147</v>
      </c>
      <c r="P1034" s="2" cm="1">
        <f t="array" ref="P1034">SUMPRODUCT((O1034&gt;$T$9:$T$14)*(O1034&lt;=$U$9:$U$14),$S$9:$S$14)</f>
        <v>4</v>
      </c>
    </row>
    <row r="1035" spans="1:16" x14ac:dyDescent="0.25">
      <c r="A1035">
        <v>1267</v>
      </c>
      <c r="B1035">
        <v>99</v>
      </c>
      <c r="C1035">
        <v>1174</v>
      </c>
      <c r="D1035">
        <v>5.82</v>
      </c>
      <c r="E1035">
        <v>40280</v>
      </c>
      <c r="F1035">
        <v>0</v>
      </c>
      <c r="G1035">
        <v>40280000</v>
      </c>
      <c r="H1035">
        <v>101</v>
      </c>
      <c r="I1035">
        <v>600</v>
      </c>
      <c r="J1035" s="2">
        <f t="shared" si="40"/>
        <v>3492</v>
      </c>
      <c r="K1035">
        <v>1034</v>
      </c>
      <c r="L1035" s="3">
        <f>SUM($I$2:$I1035)</f>
        <v>6198580</v>
      </c>
      <c r="M1035" s="3">
        <f>SUM($J$2:$J1035)</f>
        <v>23715036.39999998</v>
      </c>
      <c r="N1035" s="2">
        <f>SUM($D$2:$D1035)</f>
        <v>6198.4299999999976</v>
      </c>
      <c r="O1035" s="2">
        <f t="shared" si="41"/>
        <v>0.36938555622697467</v>
      </c>
      <c r="P1035" s="2" cm="1">
        <f t="array" ref="P1035">SUMPRODUCT((O1035&gt;$T$9:$T$14)*(O1035&lt;=$U$9:$U$14),$S$9:$S$14)</f>
        <v>4</v>
      </c>
    </row>
    <row r="1036" spans="1:16" x14ac:dyDescent="0.25">
      <c r="A1036">
        <v>1178</v>
      </c>
      <c r="B1036">
        <v>10</v>
      </c>
      <c r="C1036">
        <v>1057</v>
      </c>
      <c r="D1036">
        <v>4.26</v>
      </c>
      <c r="E1036">
        <v>31025</v>
      </c>
      <c r="F1036">
        <v>0</v>
      </c>
      <c r="G1036">
        <v>31025000</v>
      </c>
      <c r="H1036">
        <v>48</v>
      </c>
      <c r="I1036">
        <v>600</v>
      </c>
      <c r="J1036" s="2">
        <f t="shared" si="40"/>
        <v>2556</v>
      </c>
      <c r="K1036">
        <v>1035</v>
      </c>
      <c r="L1036" s="3">
        <f>SUM($I$2:$I1036)</f>
        <v>6199180</v>
      </c>
      <c r="M1036" s="3">
        <f>SUM($J$2:$J1036)</f>
        <v>23717592.39999998</v>
      </c>
      <c r="N1036" s="2">
        <f>SUM($D$2:$D1036)</f>
        <v>6202.6899999999978</v>
      </c>
      <c r="O1036" s="2">
        <f t="shared" si="41"/>
        <v>0.36963942413699818</v>
      </c>
      <c r="P1036" s="2" cm="1">
        <f t="array" ref="P1036">SUMPRODUCT((O1036&gt;$T$9:$T$14)*(O1036&lt;=$U$9:$U$14),$S$9:$S$14)</f>
        <v>4</v>
      </c>
    </row>
    <row r="1037" spans="1:16" x14ac:dyDescent="0.25">
      <c r="A1037">
        <v>937</v>
      </c>
      <c r="B1037">
        <v>563</v>
      </c>
      <c r="C1037">
        <v>219</v>
      </c>
      <c r="D1037">
        <v>3.28</v>
      </c>
      <c r="E1037">
        <v>14540</v>
      </c>
      <c r="F1037">
        <v>4.0999999999999996</v>
      </c>
      <c r="G1037">
        <v>14540041</v>
      </c>
      <c r="H1037">
        <v>7</v>
      </c>
      <c r="I1037">
        <v>600</v>
      </c>
      <c r="J1037" s="2">
        <f t="shared" si="40"/>
        <v>1967.9999999999998</v>
      </c>
      <c r="K1037">
        <v>1036</v>
      </c>
      <c r="L1037" s="3">
        <f>SUM($I$2:$I1037)</f>
        <v>6199780</v>
      </c>
      <c r="M1037" s="3">
        <f>SUM($J$2:$J1037)</f>
        <v>23719560.39999998</v>
      </c>
      <c r="N1037" s="2">
        <f>SUM($D$2:$D1037)</f>
        <v>6205.9699999999975</v>
      </c>
      <c r="O1037" s="2">
        <f t="shared" si="41"/>
        <v>0.36983489050903501</v>
      </c>
      <c r="P1037" s="2" cm="1">
        <f t="array" ref="P1037">SUMPRODUCT((O1037&gt;$T$9:$T$14)*(O1037&lt;=$U$9:$U$14),$S$9:$S$14)</f>
        <v>4</v>
      </c>
    </row>
    <row r="1038" spans="1:16" x14ac:dyDescent="0.25">
      <c r="A1038">
        <v>792</v>
      </c>
      <c r="B1038">
        <v>418</v>
      </c>
      <c r="C1038">
        <v>18</v>
      </c>
      <c r="D1038">
        <v>1.22</v>
      </c>
      <c r="E1038">
        <v>13150</v>
      </c>
      <c r="F1038">
        <v>6.7</v>
      </c>
      <c r="G1038">
        <v>13150067</v>
      </c>
      <c r="H1038">
        <v>5</v>
      </c>
      <c r="I1038">
        <v>600</v>
      </c>
      <c r="J1038" s="2">
        <f t="shared" si="40"/>
        <v>732</v>
      </c>
      <c r="K1038">
        <v>1037</v>
      </c>
      <c r="L1038" s="3">
        <f>SUM($I$2:$I1038)</f>
        <v>6200380</v>
      </c>
      <c r="M1038" s="3">
        <f>SUM($J$2:$J1038)</f>
        <v>23720292.39999998</v>
      </c>
      <c r="N1038" s="2">
        <f>SUM($D$2:$D1038)</f>
        <v>6207.1899999999978</v>
      </c>
      <c r="O1038" s="2">
        <f t="shared" si="41"/>
        <v>0.36990759446448779</v>
      </c>
      <c r="P1038" s="2" cm="1">
        <f t="array" ref="P1038">SUMPRODUCT((O1038&gt;$T$9:$T$14)*(O1038&lt;=$U$9:$U$14),$S$9:$S$14)</f>
        <v>4</v>
      </c>
    </row>
    <row r="1039" spans="1:16" x14ac:dyDescent="0.25">
      <c r="A1039">
        <v>688</v>
      </c>
      <c r="B1039">
        <v>1475</v>
      </c>
      <c r="C1039">
        <v>927</v>
      </c>
      <c r="D1039">
        <v>9.49</v>
      </c>
      <c r="E1039">
        <v>26261</v>
      </c>
      <c r="F1039">
        <v>6.5</v>
      </c>
      <c r="G1039">
        <v>26261065</v>
      </c>
      <c r="H1039">
        <v>28</v>
      </c>
      <c r="I1039">
        <v>590</v>
      </c>
      <c r="J1039" s="2">
        <f t="shared" si="40"/>
        <v>5599.1</v>
      </c>
      <c r="K1039">
        <v>1038</v>
      </c>
      <c r="L1039" s="3">
        <f>SUM($I$2:$I1039)</f>
        <v>6200970</v>
      </c>
      <c r="M1039" s="3">
        <f>SUM($J$2:$J1039)</f>
        <v>23725891.499999981</v>
      </c>
      <c r="N1039" s="2">
        <f>SUM($D$2:$D1039)</f>
        <v>6216.6799999999976</v>
      </c>
      <c r="O1039" s="2">
        <f t="shared" si="41"/>
        <v>0.37047313588846031</v>
      </c>
      <c r="P1039" s="2" cm="1">
        <f t="array" ref="P1039">SUMPRODUCT((O1039&gt;$T$9:$T$14)*(O1039&lt;=$U$9:$U$14),$S$9:$S$14)</f>
        <v>4</v>
      </c>
    </row>
    <row r="1040" spans="1:16" x14ac:dyDescent="0.25">
      <c r="A1040">
        <v>925</v>
      </c>
      <c r="B1040">
        <v>551</v>
      </c>
      <c r="C1040">
        <v>201</v>
      </c>
      <c r="D1040">
        <v>8.6199999999999992</v>
      </c>
      <c r="E1040">
        <v>14310</v>
      </c>
      <c r="F1040">
        <v>0</v>
      </c>
      <c r="G1040">
        <v>14310000</v>
      </c>
      <c r="H1040">
        <v>7</v>
      </c>
      <c r="I1040">
        <v>590</v>
      </c>
      <c r="J1040" s="2">
        <f t="shared" si="40"/>
        <v>5085.7999999999993</v>
      </c>
      <c r="K1040">
        <v>1039</v>
      </c>
      <c r="L1040" s="3">
        <f>SUM($I$2:$I1040)</f>
        <v>6201560</v>
      </c>
      <c r="M1040" s="3">
        <f>SUM($J$2:$J1040)</f>
        <v>23730977.299999982</v>
      </c>
      <c r="N1040" s="2">
        <f>SUM($D$2:$D1040)</f>
        <v>6225.2999999999975</v>
      </c>
      <c r="O1040" s="2">
        <f t="shared" si="41"/>
        <v>0.37098683104911817</v>
      </c>
      <c r="P1040" s="2" cm="1">
        <f t="array" ref="P1040">SUMPRODUCT((O1040&gt;$T$9:$T$14)*(O1040&lt;=$U$9:$U$14),$S$9:$S$14)</f>
        <v>4</v>
      </c>
    </row>
    <row r="1041" spans="1:16" x14ac:dyDescent="0.25">
      <c r="A1041">
        <v>861</v>
      </c>
      <c r="B1041">
        <v>487</v>
      </c>
      <c r="C1041">
        <v>109</v>
      </c>
      <c r="D1041">
        <v>7.28</v>
      </c>
      <c r="E1041">
        <v>11850</v>
      </c>
      <c r="F1041">
        <v>4.2</v>
      </c>
      <c r="G1041">
        <v>11850042</v>
      </c>
      <c r="H1041">
        <v>3</v>
      </c>
      <c r="I1041">
        <v>590</v>
      </c>
      <c r="J1041" s="2">
        <f t="shared" si="40"/>
        <v>4295.2</v>
      </c>
      <c r="K1041">
        <v>1040</v>
      </c>
      <c r="L1041" s="3">
        <f>SUM($I$2:$I1041)</f>
        <v>6202150</v>
      </c>
      <c r="M1041" s="3">
        <f>SUM($J$2:$J1041)</f>
        <v>23735272.499999981</v>
      </c>
      <c r="N1041" s="2">
        <f>SUM($D$2:$D1041)</f>
        <v>6232.5799999999972</v>
      </c>
      <c r="O1041" s="2">
        <f t="shared" si="41"/>
        <v>0.37142067104559018</v>
      </c>
      <c r="P1041" s="2" cm="1">
        <f t="array" ref="P1041">SUMPRODUCT((O1041&gt;$T$9:$T$14)*(O1041&lt;=$U$9:$U$14),$S$9:$S$14)</f>
        <v>4</v>
      </c>
    </row>
    <row r="1042" spans="1:16" x14ac:dyDescent="0.25">
      <c r="A1042">
        <v>1266</v>
      </c>
      <c r="B1042">
        <v>98</v>
      </c>
      <c r="C1042">
        <v>1172</v>
      </c>
      <c r="D1042">
        <v>4.57</v>
      </c>
      <c r="E1042">
        <v>40300</v>
      </c>
      <c r="F1042">
        <v>5.4</v>
      </c>
      <c r="G1042">
        <v>40300054</v>
      </c>
      <c r="H1042">
        <v>101</v>
      </c>
      <c r="I1042">
        <v>590</v>
      </c>
      <c r="J1042" s="2">
        <f t="shared" si="40"/>
        <v>2696.3</v>
      </c>
      <c r="K1042">
        <v>1041</v>
      </c>
      <c r="L1042" s="3">
        <f>SUM($I$2:$I1042)</f>
        <v>6202740</v>
      </c>
      <c r="M1042" s="3">
        <f>SUM($J$2:$J1042)</f>
        <v>23737968.799999982</v>
      </c>
      <c r="N1042" s="2">
        <f>SUM($D$2:$D1042)</f>
        <v>6237.1499999999969</v>
      </c>
      <c r="O1042" s="2">
        <f t="shared" si="41"/>
        <v>0.37169301291150741</v>
      </c>
      <c r="P1042" s="2" cm="1">
        <f t="array" ref="P1042">SUMPRODUCT((O1042&gt;$T$9:$T$14)*(O1042&lt;=$U$9:$U$14),$S$9:$S$14)</f>
        <v>4</v>
      </c>
    </row>
    <row r="1043" spans="1:16" x14ac:dyDescent="0.25">
      <c r="A1043">
        <v>335</v>
      </c>
      <c r="B1043">
        <v>1130</v>
      </c>
      <c r="C1043">
        <v>1974</v>
      </c>
      <c r="D1043">
        <v>4.3</v>
      </c>
      <c r="E1043">
        <v>71100</v>
      </c>
      <c r="F1043">
        <v>1</v>
      </c>
      <c r="G1043">
        <v>71100010</v>
      </c>
      <c r="H1043">
        <v>655</v>
      </c>
      <c r="I1043">
        <v>590</v>
      </c>
      <c r="J1043" s="2">
        <f t="shared" si="40"/>
        <v>2537</v>
      </c>
      <c r="K1043">
        <v>1042</v>
      </c>
      <c r="L1043" s="3">
        <f>SUM($I$2:$I1043)</f>
        <v>6203330</v>
      </c>
      <c r="M1043" s="3">
        <f>SUM($J$2:$J1043)</f>
        <v>23740505.799999982</v>
      </c>
      <c r="N1043" s="2">
        <f>SUM($D$2:$D1043)</f>
        <v>6241.4499999999971</v>
      </c>
      <c r="O1043" s="2">
        <f t="shared" si="41"/>
        <v>0.37194926455777527</v>
      </c>
      <c r="P1043" s="2" cm="1">
        <f t="array" ref="P1043">SUMPRODUCT((O1043&gt;$T$9:$T$14)*(O1043&lt;=$U$9:$U$14),$S$9:$S$14)</f>
        <v>4</v>
      </c>
    </row>
    <row r="1044" spans="1:16" x14ac:dyDescent="0.25">
      <c r="A1044">
        <v>590</v>
      </c>
      <c r="B1044">
        <v>1377</v>
      </c>
      <c r="C1044">
        <v>805</v>
      </c>
      <c r="D1044">
        <v>3.12</v>
      </c>
      <c r="E1044">
        <v>20800</v>
      </c>
      <c r="F1044">
        <v>9.8000000000000007</v>
      </c>
      <c r="G1044">
        <v>20800098</v>
      </c>
      <c r="H1044">
        <v>17</v>
      </c>
      <c r="I1044">
        <v>590</v>
      </c>
      <c r="J1044" s="2">
        <f t="shared" si="40"/>
        <v>1840.8</v>
      </c>
      <c r="K1044">
        <v>1043</v>
      </c>
      <c r="L1044" s="3">
        <f>SUM($I$2:$I1044)</f>
        <v>6203920</v>
      </c>
      <c r="M1044" s="3">
        <f>SUM($J$2:$J1044)</f>
        <v>23742346.599999983</v>
      </c>
      <c r="N1044" s="2">
        <f>SUM($D$2:$D1044)</f>
        <v>6244.569999999997</v>
      </c>
      <c r="O1044" s="2">
        <f t="shared" si="41"/>
        <v>0.37213519598483469</v>
      </c>
      <c r="P1044" s="2" cm="1">
        <f t="array" ref="P1044">SUMPRODUCT((O1044&gt;$T$9:$T$14)*(O1044&lt;=$U$9:$U$14),$S$9:$S$14)</f>
        <v>4</v>
      </c>
    </row>
    <row r="1045" spans="1:16" x14ac:dyDescent="0.25">
      <c r="A1045">
        <v>997</v>
      </c>
      <c r="B1045">
        <v>623</v>
      </c>
      <c r="C1045">
        <v>295</v>
      </c>
      <c r="D1045">
        <v>1.3</v>
      </c>
      <c r="E1045">
        <v>17920</v>
      </c>
      <c r="F1045">
        <v>0</v>
      </c>
      <c r="G1045">
        <v>17920000</v>
      </c>
      <c r="H1045">
        <v>11</v>
      </c>
      <c r="I1045">
        <v>590</v>
      </c>
      <c r="J1045" s="2">
        <f t="shared" si="40"/>
        <v>767</v>
      </c>
      <c r="K1045">
        <v>1044</v>
      </c>
      <c r="L1045" s="3">
        <f>SUM($I$2:$I1045)</f>
        <v>6204510</v>
      </c>
      <c r="M1045" s="3">
        <f>SUM($J$2:$J1045)</f>
        <v>23743113.599999983</v>
      </c>
      <c r="N1045" s="2">
        <f>SUM($D$2:$D1045)</f>
        <v>6245.8699999999972</v>
      </c>
      <c r="O1045" s="2">
        <f t="shared" si="41"/>
        <v>0.37221266741277614</v>
      </c>
      <c r="P1045" s="2" cm="1">
        <f t="array" ref="P1045">SUMPRODUCT((O1045&gt;$T$9:$T$14)*(O1045&lt;=$U$9:$U$14),$S$9:$S$14)</f>
        <v>4</v>
      </c>
    </row>
    <row r="1046" spans="1:16" x14ac:dyDescent="0.25">
      <c r="A1046">
        <v>858</v>
      </c>
      <c r="B1046">
        <v>484</v>
      </c>
      <c r="C1046">
        <v>105</v>
      </c>
      <c r="D1046">
        <v>1.2</v>
      </c>
      <c r="E1046">
        <v>11870</v>
      </c>
      <c r="F1046">
        <v>10.1</v>
      </c>
      <c r="G1046">
        <v>11870101</v>
      </c>
      <c r="H1046">
        <v>3</v>
      </c>
      <c r="I1046">
        <v>590</v>
      </c>
      <c r="J1046" s="2">
        <f t="shared" si="40"/>
        <v>708</v>
      </c>
      <c r="K1046">
        <v>1045</v>
      </c>
      <c r="L1046" s="3">
        <f>SUM($I$2:$I1046)</f>
        <v>6205100</v>
      </c>
      <c r="M1046" s="3">
        <f>SUM($J$2:$J1046)</f>
        <v>23743821.599999983</v>
      </c>
      <c r="N1046" s="2">
        <f>SUM($D$2:$D1046)</f>
        <v>6247.069999999997</v>
      </c>
      <c r="O1046" s="2">
        <f t="shared" si="41"/>
        <v>0.37228417950010673</v>
      </c>
      <c r="P1046" s="2" cm="1">
        <f t="array" ref="P1046">SUMPRODUCT((O1046&gt;$T$9:$T$14)*(O1046&lt;=$U$9:$U$14),$S$9:$S$14)</f>
        <v>4</v>
      </c>
    </row>
    <row r="1047" spans="1:16" x14ac:dyDescent="0.25">
      <c r="A1047">
        <v>1104</v>
      </c>
      <c r="B1047">
        <v>730</v>
      </c>
      <c r="C1047">
        <v>438</v>
      </c>
      <c r="D1047">
        <v>17.03</v>
      </c>
      <c r="E1047">
        <v>20020</v>
      </c>
      <c r="F1047">
        <v>6</v>
      </c>
      <c r="G1047">
        <v>20020060</v>
      </c>
      <c r="H1047">
        <v>15</v>
      </c>
      <c r="I1047">
        <v>580</v>
      </c>
      <c r="J1047" s="2">
        <f t="shared" si="40"/>
        <v>9877.4000000000015</v>
      </c>
      <c r="K1047">
        <v>1046</v>
      </c>
      <c r="L1047" s="3">
        <f>SUM($I$2:$I1047)</f>
        <v>6205680</v>
      </c>
      <c r="M1047" s="3">
        <f>SUM($J$2:$J1047)</f>
        <v>23753698.999999981</v>
      </c>
      <c r="N1047" s="2">
        <f>SUM($D$2:$D1047)</f>
        <v>6264.0999999999967</v>
      </c>
      <c r="O1047" s="2">
        <f t="shared" si="41"/>
        <v>0.3732990552061396</v>
      </c>
      <c r="P1047" s="2" cm="1">
        <f t="array" ref="P1047">SUMPRODUCT((O1047&gt;$T$9:$T$14)*(O1047&lt;=$U$9:$U$14),$S$9:$S$14)</f>
        <v>4</v>
      </c>
    </row>
    <row r="1048" spans="1:16" x14ac:dyDescent="0.25">
      <c r="A1048">
        <v>1151</v>
      </c>
      <c r="B1048">
        <v>777</v>
      </c>
      <c r="C1048">
        <v>495</v>
      </c>
      <c r="D1048">
        <v>13.07</v>
      </c>
      <c r="E1048">
        <v>24030</v>
      </c>
      <c r="F1048">
        <v>0</v>
      </c>
      <c r="G1048">
        <v>24030000</v>
      </c>
      <c r="H1048">
        <v>21</v>
      </c>
      <c r="I1048">
        <v>580</v>
      </c>
      <c r="J1048" s="2">
        <f t="shared" si="40"/>
        <v>7580.6</v>
      </c>
      <c r="K1048">
        <v>1047</v>
      </c>
      <c r="L1048" s="3">
        <f>SUM($I$2:$I1048)</f>
        <v>6206260</v>
      </c>
      <c r="M1048" s="3">
        <f>SUM($J$2:$J1048)</f>
        <v>23761279.599999983</v>
      </c>
      <c r="N1048" s="2">
        <f>SUM($D$2:$D1048)</f>
        <v>6277.1699999999964</v>
      </c>
      <c r="O1048" s="2">
        <f t="shared" si="41"/>
        <v>0.37407794102398156</v>
      </c>
      <c r="P1048" s="2" cm="1">
        <f t="array" ref="P1048">SUMPRODUCT((O1048&gt;$T$9:$T$14)*(O1048&lt;=$U$9:$U$14),$S$9:$S$14)</f>
        <v>4</v>
      </c>
    </row>
    <row r="1049" spans="1:16" x14ac:dyDescent="0.25">
      <c r="A1049">
        <v>503</v>
      </c>
      <c r="B1049">
        <v>1290</v>
      </c>
      <c r="C1049">
        <v>697</v>
      </c>
      <c r="D1049">
        <v>10.24</v>
      </c>
      <c r="E1049">
        <v>25670</v>
      </c>
      <c r="F1049">
        <v>0</v>
      </c>
      <c r="G1049">
        <v>25670000</v>
      </c>
      <c r="H1049">
        <v>26</v>
      </c>
      <c r="I1049">
        <v>580</v>
      </c>
      <c r="J1049" s="2">
        <f t="shared" si="40"/>
        <v>5939.2</v>
      </c>
      <c r="K1049">
        <v>1048</v>
      </c>
      <c r="L1049" s="3">
        <f>SUM($I$2:$I1049)</f>
        <v>6206840</v>
      </c>
      <c r="M1049" s="3">
        <f>SUM($J$2:$J1049)</f>
        <v>23767218.799999982</v>
      </c>
      <c r="N1049" s="2">
        <f>SUM($D$2:$D1049)</f>
        <v>6287.4099999999962</v>
      </c>
      <c r="O1049" s="2">
        <f t="shared" si="41"/>
        <v>0.37468817750253569</v>
      </c>
      <c r="P1049" s="2" cm="1">
        <f t="array" ref="P1049">SUMPRODUCT((O1049&gt;$T$9:$T$14)*(O1049&lt;=$U$9:$U$14),$S$9:$S$14)</f>
        <v>4</v>
      </c>
    </row>
    <row r="1050" spans="1:16" x14ac:dyDescent="0.25">
      <c r="A1050">
        <v>741</v>
      </c>
      <c r="B1050">
        <v>1528</v>
      </c>
      <c r="C1050">
        <v>991</v>
      </c>
      <c r="D1050">
        <v>5.94</v>
      </c>
      <c r="E1050">
        <v>33350</v>
      </c>
      <c r="F1050">
        <v>0</v>
      </c>
      <c r="G1050">
        <v>33350000</v>
      </c>
      <c r="H1050">
        <v>60</v>
      </c>
      <c r="I1050">
        <v>580</v>
      </c>
      <c r="J1050" s="2">
        <f t="shared" si="40"/>
        <v>3445.2000000000003</v>
      </c>
      <c r="K1050">
        <v>1049</v>
      </c>
      <c r="L1050" s="3">
        <f>SUM($I$2:$I1050)</f>
        <v>6207420</v>
      </c>
      <c r="M1050" s="3">
        <f>SUM($J$2:$J1050)</f>
        <v>23770663.999999981</v>
      </c>
      <c r="N1050" s="2">
        <f>SUM($D$2:$D1050)</f>
        <v>6293.3499999999958</v>
      </c>
      <c r="O1050" s="2">
        <f t="shared" si="41"/>
        <v>0.37504216233482196</v>
      </c>
      <c r="P1050" s="2" cm="1">
        <f t="array" ref="P1050">SUMPRODUCT((O1050&gt;$T$9:$T$14)*(O1050&lt;=$U$9:$U$14),$S$9:$S$14)</f>
        <v>4</v>
      </c>
    </row>
    <row r="1051" spans="1:16" x14ac:dyDescent="0.25">
      <c r="A1051">
        <v>1296</v>
      </c>
      <c r="B1051">
        <v>128</v>
      </c>
      <c r="C1051">
        <v>1214</v>
      </c>
      <c r="D1051">
        <v>5.53</v>
      </c>
      <c r="E1051">
        <v>37005</v>
      </c>
      <c r="F1051">
        <v>6</v>
      </c>
      <c r="G1051">
        <v>37005060</v>
      </c>
      <c r="H1051">
        <v>77</v>
      </c>
      <c r="I1051">
        <v>580</v>
      </c>
      <c r="J1051" s="2">
        <f t="shared" si="40"/>
        <v>3207.4</v>
      </c>
      <c r="K1051">
        <v>1050</v>
      </c>
      <c r="L1051" s="3">
        <f>SUM($I$2:$I1051)</f>
        <v>6208000</v>
      </c>
      <c r="M1051" s="3">
        <f>SUM($J$2:$J1051)</f>
        <v>23773871.39999998</v>
      </c>
      <c r="N1051" s="2">
        <f>SUM($D$2:$D1051)</f>
        <v>6298.8799999999956</v>
      </c>
      <c r="O1051" s="2">
        <f t="shared" si="41"/>
        <v>0.37537171387060358</v>
      </c>
      <c r="P1051" s="2" cm="1">
        <f t="array" ref="P1051">SUMPRODUCT((O1051&gt;$T$9:$T$14)*(O1051&lt;=$U$9:$U$14),$S$9:$S$14)</f>
        <v>4</v>
      </c>
    </row>
    <row r="1052" spans="1:16" x14ac:dyDescent="0.25">
      <c r="A1052">
        <v>862</v>
      </c>
      <c r="B1052">
        <v>488</v>
      </c>
      <c r="C1052">
        <v>110</v>
      </c>
      <c r="D1052">
        <v>5.03</v>
      </c>
      <c r="E1052">
        <v>11844</v>
      </c>
      <c r="F1052">
        <v>2.2999999999999998</v>
      </c>
      <c r="G1052">
        <v>11844023</v>
      </c>
      <c r="H1052">
        <v>3</v>
      </c>
      <c r="I1052">
        <v>580</v>
      </c>
      <c r="J1052" s="2">
        <f t="shared" si="40"/>
        <v>2917.4</v>
      </c>
      <c r="K1052">
        <v>1051</v>
      </c>
      <c r="L1052" s="3">
        <f>SUM($I$2:$I1052)</f>
        <v>6208580</v>
      </c>
      <c r="M1052" s="3">
        <f>SUM($J$2:$J1052)</f>
        <v>23776788.799999978</v>
      </c>
      <c r="N1052" s="2">
        <f>SUM($D$2:$D1052)</f>
        <v>6303.9099999999953</v>
      </c>
      <c r="O1052" s="2">
        <f t="shared" si="41"/>
        <v>0.37567146870333085</v>
      </c>
      <c r="P1052" s="2" cm="1">
        <f t="array" ref="P1052">SUMPRODUCT((O1052&gt;$T$9:$T$14)*(O1052&lt;=$U$9:$U$14),$S$9:$S$14)</f>
        <v>4</v>
      </c>
    </row>
    <row r="1053" spans="1:16" x14ac:dyDescent="0.25">
      <c r="A1053">
        <v>1222</v>
      </c>
      <c r="B1053">
        <v>54</v>
      </c>
      <c r="C1053">
        <v>1114</v>
      </c>
      <c r="D1053">
        <v>0.91</v>
      </c>
      <c r="E1053">
        <v>27960</v>
      </c>
      <c r="F1053">
        <v>2.7</v>
      </c>
      <c r="G1053">
        <v>27960027</v>
      </c>
      <c r="H1053">
        <v>35</v>
      </c>
      <c r="I1053">
        <v>580</v>
      </c>
      <c r="J1053" s="2">
        <f t="shared" si="40"/>
        <v>527.80000000000007</v>
      </c>
      <c r="K1053">
        <v>1052</v>
      </c>
      <c r="L1053" s="3">
        <f>SUM($I$2:$I1053)</f>
        <v>6209160</v>
      </c>
      <c r="M1053" s="3">
        <f>SUM($J$2:$J1053)</f>
        <v>23777316.599999979</v>
      </c>
      <c r="N1053" s="2">
        <f>SUM($D$2:$D1053)</f>
        <v>6304.8199999999952</v>
      </c>
      <c r="O1053" s="2">
        <f t="shared" si="41"/>
        <v>0.37572569870288985</v>
      </c>
      <c r="P1053" s="2" cm="1">
        <f t="array" ref="P1053">SUMPRODUCT((O1053&gt;$T$9:$T$14)*(O1053&lt;=$U$9:$U$14),$S$9:$S$14)</f>
        <v>4</v>
      </c>
    </row>
    <row r="1054" spans="1:16" x14ac:dyDescent="0.25">
      <c r="A1054">
        <v>559</v>
      </c>
      <c r="B1054">
        <v>1346</v>
      </c>
      <c r="C1054">
        <v>765</v>
      </c>
      <c r="D1054">
        <v>0.54</v>
      </c>
      <c r="E1054">
        <v>19532</v>
      </c>
      <c r="F1054">
        <v>0</v>
      </c>
      <c r="G1054">
        <v>19532000</v>
      </c>
      <c r="H1054">
        <v>12</v>
      </c>
      <c r="I1054">
        <v>580</v>
      </c>
      <c r="J1054" s="2">
        <f t="shared" si="40"/>
        <v>313.20000000000005</v>
      </c>
      <c r="K1054">
        <v>1053</v>
      </c>
      <c r="L1054" s="3">
        <f>SUM($I$2:$I1054)</f>
        <v>6209740</v>
      </c>
      <c r="M1054" s="3">
        <f>SUM($J$2:$J1054)</f>
        <v>23777629.799999978</v>
      </c>
      <c r="N1054" s="2">
        <f>SUM($D$2:$D1054)</f>
        <v>6305.3599999999951</v>
      </c>
      <c r="O1054" s="2">
        <f t="shared" si="41"/>
        <v>0.37575787914218861</v>
      </c>
      <c r="P1054" s="2" cm="1">
        <f t="array" ref="P1054">SUMPRODUCT((O1054&gt;$T$9:$T$14)*(O1054&lt;=$U$9:$U$14),$S$9:$S$14)</f>
        <v>4</v>
      </c>
    </row>
    <row r="1055" spans="1:16" x14ac:dyDescent="0.25">
      <c r="A1055">
        <v>674</v>
      </c>
      <c r="B1055">
        <v>1461</v>
      </c>
      <c r="C1055">
        <v>909</v>
      </c>
      <c r="D1055">
        <v>16.739999999999998</v>
      </c>
      <c r="E1055">
        <v>16000</v>
      </c>
      <c r="F1055">
        <v>1</v>
      </c>
      <c r="G1055">
        <v>16000010</v>
      </c>
      <c r="H1055">
        <v>8</v>
      </c>
      <c r="I1055">
        <v>570</v>
      </c>
      <c r="J1055" s="2">
        <f t="shared" si="40"/>
        <v>9541.7999999999993</v>
      </c>
      <c r="K1055">
        <v>1054</v>
      </c>
      <c r="L1055" s="3">
        <f>SUM($I$2:$I1055)</f>
        <v>6210310</v>
      </c>
      <c r="M1055" s="3">
        <f>SUM($J$2:$J1055)</f>
        <v>23787171.599999979</v>
      </c>
      <c r="N1055" s="2">
        <f>SUM($D$2:$D1055)</f>
        <v>6322.0999999999949</v>
      </c>
      <c r="O1055" s="2">
        <f t="shared" si="41"/>
        <v>0.37675547276044991</v>
      </c>
      <c r="P1055" s="2" cm="1">
        <f t="array" ref="P1055">SUMPRODUCT((O1055&gt;$T$9:$T$14)*(O1055&lt;=$U$9:$U$14),$S$9:$S$14)</f>
        <v>4</v>
      </c>
    </row>
    <row r="1056" spans="1:16" x14ac:dyDescent="0.25">
      <c r="A1056">
        <v>944</v>
      </c>
      <c r="B1056">
        <v>570</v>
      </c>
      <c r="C1056">
        <v>228</v>
      </c>
      <c r="D1056">
        <v>10.06</v>
      </c>
      <c r="E1056">
        <v>11870</v>
      </c>
      <c r="F1056">
        <v>0</v>
      </c>
      <c r="G1056">
        <v>11870000</v>
      </c>
      <c r="H1056">
        <v>3</v>
      </c>
      <c r="I1056">
        <v>570</v>
      </c>
      <c r="J1056" s="2">
        <f t="shared" si="40"/>
        <v>5734.2000000000007</v>
      </c>
      <c r="K1056">
        <v>1055</v>
      </c>
      <c r="L1056" s="3">
        <f>SUM($I$2:$I1056)</f>
        <v>6210880</v>
      </c>
      <c r="M1056" s="3">
        <f>SUM($J$2:$J1056)</f>
        <v>23792905.799999978</v>
      </c>
      <c r="N1056" s="2">
        <f>SUM($D$2:$D1056)</f>
        <v>6332.1599999999953</v>
      </c>
      <c r="O1056" s="2">
        <f t="shared" si="41"/>
        <v>0.37735498242590448</v>
      </c>
      <c r="P1056" s="2" cm="1">
        <f t="array" ref="P1056">SUMPRODUCT((O1056&gt;$T$9:$T$14)*(O1056&lt;=$U$9:$U$14),$S$9:$S$14)</f>
        <v>4</v>
      </c>
    </row>
    <row r="1057" spans="1:16" x14ac:dyDescent="0.25">
      <c r="A1057">
        <v>524</v>
      </c>
      <c r="B1057">
        <v>1311</v>
      </c>
      <c r="C1057">
        <v>725</v>
      </c>
      <c r="D1057">
        <v>7.58</v>
      </c>
      <c r="E1057">
        <v>20080</v>
      </c>
      <c r="F1057">
        <v>0</v>
      </c>
      <c r="G1057">
        <v>20080000</v>
      </c>
      <c r="H1057">
        <v>15</v>
      </c>
      <c r="I1057">
        <v>570</v>
      </c>
      <c r="J1057" s="2">
        <f t="shared" si="40"/>
        <v>4320.6000000000004</v>
      </c>
      <c r="K1057">
        <v>1056</v>
      </c>
      <c r="L1057" s="3">
        <f>SUM($I$2:$I1057)</f>
        <v>6211450</v>
      </c>
      <c r="M1057" s="3">
        <f>SUM($J$2:$J1057)</f>
        <v>23797226.39999998</v>
      </c>
      <c r="N1057" s="2">
        <f>SUM($D$2:$D1057)</f>
        <v>6339.7399999999952</v>
      </c>
      <c r="O1057" s="2">
        <f t="shared" si="41"/>
        <v>0.37780670044420916</v>
      </c>
      <c r="P1057" s="2" cm="1">
        <f t="array" ref="P1057">SUMPRODUCT((O1057&gt;$T$9:$T$14)*(O1057&lt;=$U$9:$U$14),$S$9:$S$14)</f>
        <v>4</v>
      </c>
    </row>
    <row r="1058" spans="1:16" x14ac:dyDescent="0.25">
      <c r="A1058">
        <v>856</v>
      </c>
      <c r="B1058">
        <v>482</v>
      </c>
      <c r="C1058">
        <v>103</v>
      </c>
      <c r="D1058">
        <v>4.26</v>
      </c>
      <c r="E1058">
        <v>11890</v>
      </c>
      <c r="F1058">
        <v>0</v>
      </c>
      <c r="G1058">
        <v>11890000</v>
      </c>
      <c r="H1058">
        <v>3</v>
      </c>
      <c r="I1058">
        <v>570</v>
      </c>
      <c r="J1058" s="2">
        <f t="shared" si="40"/>
        <v>2428.1999999999998</v>
      </c>
      <c r="K1058">
        <v>1057</v>
      </c>
      <c r="L1058" s="3">
        <f>SUM($I$2:$I1058)</f>
        <v>6212020</v>
      </c>
      <c r="M1058" s="3">
        <f>SUM($J$2:$J1058)</f>
        <v>23799654.599999979</v>
      </c>
      <c r="N1058" s="2">
        <f>SUM($D$2:$D1058)</f>
        <v>6343.9999999999955</v>
      </c>
      <c r="O1058" s="2">
        <f t="shared" si="41"/>
        <v>0.37806056835423268</v>
      </c>
      <c r="P1058" s="2" cm="1">
        <f t="array" ref="P1058">SUMPRODUCT((O1058&gt;$T$9:$T$14)*(O1058&lt;=$U$9:$U$14),$S$9:$S$14)</f>
        <v>4</v>
      </c>
    </row>
    <row r="1059" spans="1:16" x14ac:dyDescent="0.25">
      <c r="A1059">
        <v>612</v>
      </c>
      <c r="B1059">
        <v>1399</v>
      </c>
      <c r="C1059">
        <v>835</v>
      </c>
      <c r="D1059">
        <v>2.09</v>
      </c>
      <c r="E1059">
        <v>24160</v>
      </c>
      <c r="F1059">
        <v>10.3</v>
      </c>
      <c r="G1059">
        <v>24160103</v>
      </c>
      <c r="H1059">
        <v>21</v>
      </c>
      <c r="I1059">
        <v>570</v>
      </c>
      <c r="J1059" s="2">
        <f t="shared" si="40"/>
        <v>1191.3</v>
      </c>
      <c r="K1059">
        <v>1058</v>
      </c>
      <c r="L1059" s="3">
        <f>SUM($I$2:$I1059)</f>
        <v>6212590</v>
      </c>
      <c r="M1059" s="3">
        <f>SUM($J$2:$J1059)</f>
        <v>23800845.89999998</v>
      </c>
      <c r="N1059" s="2">
        <f>SUM($D$2:$D1059)</f>
        <v>6346.0899999999956</v>
      </c>
      <c r="O1059" s="2">
        <f t="shared" si="41"/>
        <v>0.37818511857300008</v>
      </c>
      <c r="P1059" s="2" cm="1">
        <f t="array" ref="P1059">SUMPRODUCT((O1059&gt;$T$9:$T$14)*(O1059&lt;=$U$9:$U$14),$S$9:$S$14)</f>
        <v>4</v>
      </c>
    </row>
    <row r="1060" spans="1:16" x14ac:dyDescent="0.25">
      <c r="A1060">
        <v>1208</v>
      </c>
      <c r="B1060">
        <v>40</v>
      </c>
      <c r="C1060">
        <v>1095</v>
      </c>
      <c r="D1060">
        <v>1.85</v>
      </c>
      <c r="E1060">
        <v>29164</v>
      </c>
      <c r="F1060">
        <v>1.9</v>
      </c>
      <c r="G1060">
        <v>29164019</v>
      </c>
      <c r="H1060">
        <v>40</v>
      </c>
      <c r="I1060">
        <v>570</v>
      </c>
      <c r="J1060" s="2">
        <f t="shared" si="40"/>
        <v>1054.5</v>
      </c>
      <c r="K1060">
        <v>1059</v>
      </c>
      <c r="L1060" s="3">
        <f>SUM($I$2:$I1060)</f>
        <v>6213160</v>
      </c>
      <c r="M1060" s="3">
        <f>SUM($J$2:$J1060)</f>
        <v>23801900.39999998</v>
      </c>
      <c r="N1060" s="2">
        <f>SUM($D$2:$D1060)</f>
        <v>6347.939999999996</v>
      </c>
      <c r="O1060" s="2">
        <f t="shared" si="41"/>
        <v>0.37829536637430139</v>
      </c>
      <c r="P1060" s="2" cm="1">
        <f t="array" ref="P1060">SUMPRODUCT((O1060&gt;$T$9:$T$14)*(O1060&lt;=$U$9:$U$14),$S$9:$S$14)</f>
        <v>4</v>
      </c>
    </row>
    <row r="1061" spans="1:16" x14ac:dyDescent="0.25">
      <c r="A1061">
        <v>1365</v>
      </c>
      <c r="B1061">
        <v>197</v>
      </c>
      <c r="C1061">
        <v>1303</v>
      </c>
      <c r="D1061">
        <v>1.5</v>
      </c>
      <c r="E1061">
        <v>33720</v>
      </c>
      <c r="F1061">
        <v>5.7</v>
      </c>
      <c r="G1061">
        <v>33720057</v>
      </c>
      <c r="H1061">
        <v>62</v>
      </c>
      <c r="I1061">
        <v>570</v>
      </c>
      <c r="J1061" s="2">
        <f t="shared" si="40"/>
        <v>855</v>
      </c>
      <c r="K1061">
        <v>1060</v>
      </c>
      <c r="L1061" s="3">
        <f>SUM($I$2:$I1061)</f>
        <v>6213730</v>
      </c>
      <c r="M1061" s="3">
        <f>SUM($J$2:$J1061)</f>
        <v>23802755.39999998</v>
      </c>
      <c r="N1061" s="2">
        <f>SUM($D$2:$D1061)</f>
        <v>6349.439999999996</v>
      </c>
      <c r="O1061" s="2">
        <f t="shared" si="41"/>
        <v>0.37838475648346459</v>
      </c>
      <c r="P1061" s="2" cm="1">
        <f t="array" ref="P1061">SUMPRODUCT((O1061&gt;$T$9:$T$14)*(O1061&lt;=$U$9:$U$14),$S$9:$S$14)</f>
        <v>4</v>
      </c>
    </row>
    <row r="1062" spans="1:16" x14ac:dyDescent="0.25">
      <c r="A1062">
        <v>1210</v>
      </c>
      <c r="B1062">
        <v>42</v>
      </c>
      <c r="C1062">
        <v>1099</v>
      </c>
      <c r="D1062">
        <v>1.2</v>
      </c>
      <c r="E1062">
        <v>29110</v>
      </c>
      <c r="F1062">
        <v>6.2</v>
      </c>
      <c r="G1062">
        <v>29110062</v>
      </c>
      <c r="H1062">
        <v>40</v>
      </c>
      <c r="I1062">
        <v>570</v>
      </c>
      <c r="J1062" s="2">
        <f t="shared" si="40"/>
        <v>684</v>
      </c>
      <c r="K1062">
        <v>1061</v>
      </c>
      <c r="L1062" s="3">
        <f>SUM($I$2:$I1062)</f>
        <v>6214300</v>
      </c>
      <c r="M1062" s="3">
        <f>SUM($J$2:$J1062)</f>
        <v>23803439.39999998</v>
      </c>
      <c r="N1062" s="2">
        <f>SUM($D$2:$D1062)</f>
        <v>6350.6399999999958</v>
      </c>
      <c r="O1062" s="2">
        <f t="shared" si="41"/>
        <v>0.37845626857079517</v>
      </c>
      <c r="P1062" s="2" cm="1">
        <f t="array" ref="P1062">SUMPRODUCT((O1062&gt;$T$9:$T$14)*(O1062&lt;=$U$9:$U$14),$S$9:$S$14)</f>
        <v>4</v>
      </c>
    </row>
    <row r="1063" spans="1:16" x14ac:dyDescent="0.25">
      <c r="A1063">
        <v>647</v>
      </c>
      <c r="B1063">
        <v>1434</v>
      </c>
      <c r="C1063">
        <v>875</v>
      </c>
      <c r="D1063">
        <v>26.23</v>
      </c>
      <c r="E1063">
        <v>14120</v>
      </c>
      <c r="F1063">
        <v>0</v>
      </c>
      <c r="G1063">
        <v>14120000</v>
      </c>
      <c r="H1063">
        <v>7</v>
      </c>
      <c r="I1063">
        <v>560</v>
      </c>
      <c r="J1063" s="2">
        <f t="shared" si="40"/>
        <v>14688.800000000001</v>
      </c>
      <c r="K1063">
        <v>1062</v>
      </c>
      <c r="L1063" s="3">
        <f>SUM($I$2:$I1063)</f>
        <v>6214860</v>
      </c>
      <c r="M1063" s="3">
        <f>SUM($J$2:$J1063)</f>
        <v>23818128.199999981</v>
      </c>
      <c r="N1063" s="2">
        <f>SUM($D$2:$D1063)</f>
        <v>6376.8699999999953</v>
      </c>
      <c r="O1063" s="2">
        <f t="shared" si="41"/>
        <v>0.38001940361302899</v>
      </c>
      <c r="P1063" s="2" cm="1">
        <f t="array" ref="P1063">SUMPRODUCT((O1063&gt;$T$9:$T$14)*(O1063&lt;=$U$9:$U$14),$S$9:$S$14)</f>
        <v>4</v>
      </c>
    </row>
    <row r="1064" spans="1:16" x14ac:dyDescent="0.25">
      <c r="A1064">
        <v>1383</v>
      </c>
      <c r="B1064">
        <v>215</v>
      </c>
      <c r="C1064">
        <v>1328</v>
      </c>
      <c r="D1064">
        <v>9.7200000000000006</v>
      </c>
      <c r="E1064">
        <v>38700</v>
      </c>
      <c r="F1064">
        <v>1.8</v>
      </c>
      <c r="G1064">
        <v>38700018</v>
      </c>
      <c r="H1064">
        <v>89</v>
      </c>
      <c r="I1064">
        <v>560</v>
      </c>
      <c r="J1064" s="2">
        <f t="shared" si="40"/>
        <v>5443.2000000000007</v>
      </c>
      <c r="K1064">
        <v>1063</v>
      </c>
      <c r="L1064" s="3">
        <f>SUM($I$2:$I1064)</f>
        <v>6215420</v>
      </c>
      <c r="M1064" s="3">
        <f>SUM($J$2:$J1064)</f>
        <v>23823571.39999998</v>
      </c>
      <c r="N1064" s="2">
        <f>SUM($D$2:$D1064)</f>
        <v>6386.5899999999956</v>
      </c>
      <c r="O1064" s="2">
        <f t="shared" si="41"/>
        <v>0.38059865152040651</v>
      </c>
      <c r="P1064" s="2" cm="1">
        <f t="array" ref="P1064">SUMPRODUCT((O1064&gt;$T$9:$T$14)*(O1064&lt;=$U$9:$U$14),$S$9:$S$14)</f>
        <v>4</v>
      </c>
    </row>
    <row r="1065" spans="1:16" x14ac:dyDescent="0.25">
      <c r="A1065">
        <v>577</v>
      </c>
      <c r="B1065">
        <v>1364</v>
      </c>
      <c r="C1065">
        <v>788</v>
      </c>
      <c r="D1065">
        <v>9.5399999999999991</v>
      </c>
      <c r="E1065">
        <v>24520</v>
      </c>
      <c r="F1065">
        <v>0</v>
      </c>
      <c r="G1065">
        <v>24520000</v>
      </c>
      <c r="H1065">
        <v>23</v>
      </c>
      <c r="I1065">
        <v>560</v>
      </c>
      <c r="J1065" s="2">
        <f t="shared" si="40"/>
        <v>5342.4</v>
      </c>
      <c r="K1065">
        <v>1064</v>
      </c>
      <c r="L1065" s="3">
        <f>SUM($I$2:$I1065)</f>
        <v>6215980</v>
      </c>
      <c r="M1065" s="3">
        <f>SUM($J$2:$J1065)</f>
        <v>23828913.799999978</v>
      </c>
      <c r="N1065" s="2">
        <f>SUM($D$2:$D1065)</f>
        <v>6396.1299999999956</v>
      </c>
      <c r="O1065" s="2">
        <f t="shared" si="41"/>
        <v>0.38116717261468447</v>
      </c>
      <c r="P1065" s="2" cm="1">
        <f t="array" ref="P1065">SUMPRODUCT((O1065&gt;$T$9:$T$14)*(O1065&lt;=$U$9:$U$14),$S$9:$S$14)</f>
        <v>4</v>
      </c>
    </row>
    <row r="1066" spans="1:16" x14ac:dyDescent="0.25">
      <c r="A1066">
        <v>405</v>
      </c>
      <c r="B1066">
        <v>1200</v>
      </c>
      <c r="C1066">
        <v>573</v>
      </c>
      <c r="D1066">
        <v>4.76</v>
      </c>
      <c r="E1066">
        <v>26265</v>
      </c>
      <c r="F1066">
        <v>0</v>
      </c>
      <c r="G1066">
        <v>26267000</v>
      </c>
      <c r="H1066">
        <v>28</v>
      </c>
      <c r="I1066">
        <v>560</v>
      </c>
      <c r="J1066" s="2">
        <f t="shared" si="40"/>
        <v>2665.6</v>
      </c>
      <c r="K1066">
        <v>1065</v>
      </c>
      <c r="L1066" s="3">
        <f>SUM($I$2:$I1066)</f>
        <v>6216540</v>
      </c>
      <c r="M1066" s="3">
        <f>SUM($J$2:$J1066)</f>
        <v>23831579.39999998</v>
      </c>
      <c r="N1066" s="2">
        <f>SUM($D$2:$D1066)</f>
        <v>6400.8899999999958</v>
      </c>
      <c r="O1066" s="2">
        <f t="shared" si="41"/>
        <v>0.38145083722776241</v>
      </c>
      <c r="P1066" s="2" cm="1">
        <f t="array" ref="P1066">SUMPRODUCT((O1066&gt;$T$9:$T$14)*(O1066&lt;=$U$9:$U$14),$S$9:$S$14)</f>
        <v>4</v>
      </c>
    </row>
    <row r="1067" spans="1:16" x14ac:dyDescent="0.25">
      <c r="A1067">
        <v>1092</v>
      </c>
      <c r="B1067">
        <v>718</v>
      </c>
      <c r="C1067">
        <v>419</v>
      </c>
      <c r="D1067">
        <v>4.2</v>
      </c>
      <c r="E1067">
        <v>14540</v>
      </c>
      <c r="F1067">
        <v>0</v>
      </c>
      <c r="G1067">
        <v>14540000</v>
      </c>
      <c r="H1067">
        <v>7</v>
      </c>
      <c r="I1067">
        <v>560</v>
      </c>
      <c r="J1067" s="2">
        <f t="shared" si="40"/>
        <v>2352</v>
      </c>
      <c r="K1067">
        <v>1066</v>
      </c>
      <c r="L1067" s="3">
        <f>SUM($I$2:$I1067)</f>
        <v>6217100</v>
      </c>
      <c r="M1067" s="3">
        <f>SUM($J$2:$J1067)</f>
        <v>23833931.39999998</v>
      </c>
      <c r="N1067" s="2">
        <f>SUM($D$2:$D1067)</f>
        <v>6405.0899999999956</v>
      </c>
      <c r="O1067" s="2">
        <f t="shared" si="41"/>
        <v>0.38170112953341934</v>
      </c>
      <c r="P1067" s="2" cm="1">
        <f t="array" ref="P1067">SUMPRODUCT((O1067&gt;$T$9:$T$14)*(O1067&lt;=$U$9:$U$14),$S$9:$S$14)</f>
        <v>4</v>
      </c>
    </row>
    <row r="1068" spans="1:16" x14ac:dyDescent="0.25">
      <c r="A1068">
        <v>774</v>
      </c>
      <c r="B1068">
        <v>1561</v>
      </c>
      <c r="C1068">
        <v>1038</v>
      </c>
      <c r="D1068">
        <v>3.35</v>
      </c>
      <c r="E1068">
        <v>31320</v>
      </c>
      <c r="F1068">
        <v>0</v>
      </c>
      <c r="G1068">
        <v>31320000</v>
      </c>
      <c r="H1068">
        <v>49</v>
      </c>
      <c r="I1068">
        <v>560</v>
      </c>
      <c r="J1068" s="2">
        <f t="shared" si="40"/>
        <v>1876</v>
      </c>
      <c r="K1068">
        <v>1067</v>
      </c>
      <c r="L1068" s="3">
        <f>SUM($I$2:$I1068)</f>
        <v>6217660</v>
      </c>
      <c r="M1068" s="3">
        <f>SUM($J$2:$J1068)</f>
        <v>23835807.39999998</v>
      </c>
      <c r="N1068" s="2">
        <f>SUM($D$2:$D1068)</f>
        <v>6408.439999999996</v>
      </c>
      <c r="O1068" s="2">
        <f t="shared" si="41"/>
        <v>0.38190076744388385</v>
      </c>
      <c r="P1068" s="2" cm="1">
        <f t="array" ref="P1068">SUMPRODUCT((O1068&gt;$T$9:$T$14)*(O1068&lt;=$U$9:$U$14),$S$9:$S$14)</f>
        <v>4</v>
      </c>
    </row>
    <row r="1069" spans="1:16" x14ac:dyDescent="0.25">
      <c r="A1069">
        <v>769</v>
      </c>
      <c r="B1069">
        <v>1556</v>
      </c>
      <c r="C1069">
        <v>1025</v>
      </c>
      <c r="D1069">
        <v>3.28</v>
      </c>
      <c r="E1069">
        <v>32740</v>
      </c>
      <c r="F1069">
        <v>0</v>
      </c>
      <c r="G1069">
        <v>32740000</v>
      </c>
      <c r="H1069">
        <v>58</v>
      </c>
      <c r="I1069">
        <v>560</v>
      </c>
      <c r="J1069" s="2">
        <f t="shared" si="40"/>
        <v>1836.8</v>
      </c>
      <c r="K1069">
        <v>1068</v>
      </c>
      <c r="L1069" s="3">
        <f>SUM($I$2:$I1069)</f>
        <v>6218220</v>
      </c>
      <c r="M1069" s="3">
        <f>SUM($J$2:$J1069)</f>
        <v>23837644.199999981</v>
      </c>
      <c r="N1069" s="2">
        <f>SUM($D$2:$D1069)</f>
        <v>6411.7199999999957</v>
      </c>
      <c r="O1069" s="2">
        <f t="shared" si="41"/>
        <v>0.38209623381592073</v>
      </c>
      <c r="P1069" s="2" cm="1">
        <f t="array" ref="P1069">SUMPRODUCT((O1069&gt;$T$9:$T$14)*(O1069&lt;=$U$9:$U$14),$S$9:$S$14)</f>
        <v>4</v>
      </c>
    </row>
    <row r="1070" spans="1:16" x14ac:dyDescent="0.25">
      <c r="A1070">
        <v>1152</v>
      </c>
      <c r="B1070">
        <v>778</v>
      </c>
      <c r="C1070">
        <v>496</v>
      </c>
      <c r="D1070">
        <v>2.34</v>
      </c>
      <c r="E1070">
        <v>24070</v>
      </c>
      <c r="F1070">
        <v>0</v>
      </c>
      <c r="G1070">
        <v>24070000</v>
      </c>
      <c r="H1070">
        <v>21</v>
      </c>
      <c r="I1070">
        <v>560</v>
      </c>
      <c r="J1070" s="2">
        <f t="shared" si="40"/>
        <v>1310.3999999999999</v>
      </c>
      <c r="K1070">
        <v>1069</v>
      </c>
      <c r="L1070" s="3">
        <f>SUM($I$2:$I1070)</f>
        <v>6218780</v>
      </c>
      <c r="M1070" s="3">
        <f>SUM($J$2:$J1070)</f>
        <v>23838954.599999979</v>
      </c>
      <c r="N1070" s="2">
        <f>SUM($D$2:$D1070)</f>
        <v>6414.0599999999959</v>
      </c>
      <c r="O1070" s="2">
        <f t="shared" si="41"/>
        <v>0.3822356823862153</v>
      </c>
      <c r="P1070" s="2" cm="1">
        <f t="array" ref="P1070">SUMPRODUCT((O1070&gt;$T$9:$T$14)*(O1070&lt;=$U$9:$U$14),$S$9:$S$14)</f>
        <v>4</v>
      </c>
    </row>
    <row r="1071" spans="1:16" x14ac:dyDescent="0.25">
      <c r="A1071">
        <v>770</v>
      </c>
      <c r="B1071">
        <v>1557</v>
      </c>
      <c r="C1071">
        <v>1029</v>
      </c>
      <c r="D1071">
        <v>1.69</v>
      </c>
      <c r="E1071">
        <v>32706</v>
      </c>
      <c r="F1071">
        <v>0</v>
      </c>
      <c r="G1071">
        <v>32706000</v>
      </c>
      <c r="H1071">
        <v>58</v>
      </c>
      <c r="I1071">
        <v>560</v>
      </c>
      <c r="J1071" s="2">
        <f t="shared" si="40"/>
        <v>946.4</v>
      </c>
      <c r="K1071">
        <v>1070</v>
      </c>
      <c r="L1071" s="3">
        <f>SUM($I$2:$I1071)</f>
        <v>6219340</v>
      </c>
      <c r="M1071" s="3">
        <f>SUM($J$2:$J1071)</f>
        <v>23839900.999999978</v>
      </c>
      <c r="N1071" s="2">
        <f>SUM($D$2:$D1071)</f>
        <v>6415.7499999999955</v>
      </c>
      <c r="O1071" s="2">
        <f t="shared" si="41"/>
        <v>0.38233639524253915</v>
      </c>
      <c r="P1071" s="2" cm="1">
        <f t="array" ref="P1071">SUMPRODUCT((O1071&gt;$T$9:$T$14)*(O1071&lt;=$U$9:$U$14),$S$9:$S$14)</f>
        <v>4</v>
      </c>
    </row>
    <row r="1072" spans="1:16" x14ac:dyDescent="0.25">
      <c r="A1072">
        <v>869</v>
      </c>
      <c r="B1072">
        <v>495</v>
      </c>
      <c r="C1072">
        <v>120</v>
      </c>
      <c r="D1072">
        <v>1.29</v>
      </c>
      <c r="E1072">
        <v>11770</v>
      </c>
      <c r="F1072">
        <v>11</v>
      </c>
      <c r="G1072">
        <v>11770110</v>
      </c>
      <c r="H1072">
        <v>3</v>
      </c>
      <c r="I1072">
        <v>560</v>
      </c>
      <c r="J1072" s="2">
        <f t="shared" si="40"/>
        <v>722.4</v>
      </c>
      <c r="K1072">
        <v>1071</v>
      </c>
      <c r="L1072" s="3">
        <f>SUM($I$2:$I1072)</f>
        <v>6219900</v>
      </c>
      <c r="M1072" s="3">
        <f>SUM($J$2:$J1072)</f>
        <v>23840623.399999976</v>
      </c>
      <c r="N1072" s="2">
        <f>SUM($D$2:$D1072)</f>
        <v>6417.0399999999954</v>
      </c>
      <c r="O1072" s="2">
        <f t="shared" si="41"/>
        <v>0.38241327073641951</v>
      </c>
      <c r="P1072" s="2" cm="1">
        <f t="array" ref="P1072">SUMPRODUCT((O1072&gt;$T$9:$T$14)*(O1072&lt;=$U$9:$U$14),$S$9:$S$14)</f>
        <v>4</v>
      </c>
    </row>
    <row r="1073" spans="1:16" x14ac:dyDescent="0.25">
      <c r="A1073">
        <v>351</v>
      </c>
      <c r="B1073">
        <v>1146</v>
      </c>
      <c r="C1073">
        <v>2012</v>
      </c>
      <c r="D1073">
        <v>0.61</v>
      </c>
      <c r="E1073">
        <v>83540</v>
      </c>
      <c r="F1073">
        <v>0</v>
      </c>
      <c r="G1073">
        <v>83540000</v>
      </c>
      <c r="H1073">
        <v>7236</v>
      </c>
      <c r="I1073">
        <v>560</v>
      </c>
      <c r="J1073" s="2">
        <f t="shared" si="40"/>
        <v>341.59999999999997</v>
      </c>
      <c r="K1073">
        <v>1072</v>
      </c>
      <c r="L1073" s="3">
        <f>SUM($I$2:$I1073)</f>
        <v>6220460</v>
      </c>
      <c r="M1073" s="3">
        <f>SUM($J$2:$J1073)</f>
        <v>23840964.999999978</v>
      </c>
      <c r="N1073" s="2">
        <f>SUM($D$2:$D1073)</f>
        <v>6417.6499999999951</v>
      </c>
      <c r="O1073" s="2">
        <f t="shared" si="41"/>
        <v>0.38244962271414584</v>
      </c>
      <c r="P1073" s="2" cm="1">
        <f t="array" ref="P1073">SUMPRODUCT((O1073&gt;$T$9:$T$14)*(O1073&lt;=$U$9:$U$14),$S$9:$S$14)</f>
        <v>4</v>
      </c>
    </row>
    <row r="1074" spans="1:16" x14ac:dyDescent="0.25">
      <c r="A1074">
        <v>1463</v>
      </c>
      <c r="B1074">
        <v>295</v>
      </c>
      <c r="C1074">
        <v>1423</v>
      </c>
      <c r="D1074">
        <v>15.97</v>
      </c>
      <c r="E1074">
        <v>46045</v>
      </c>
      <c r="F1074">
        <v>12.7</v>
      </c>
      <c r="G1074">
        <v>46045127</v>
      </c>
      <c r="H1074">
        <v>144</v>
      </c>
      <c r="I1074">
        <v>550</v>
      </c>
      <c r="J1074" s="2">
        <f t="shared" si="40"/>
        <v>8783.5</v>
      </c>
      <c r="K1074">
        <v>1073</v>
      </c>
      <c r="L1074" s="3">
        <f>SUM($I$2:$I1074)</f>
        <v>6221010</v>
      </c>
      <c r="M1074" s="3">
        <f>SUM($J$2:$J1074)</f>
        <v>23849748.499999978</v>
      </c>
      <c r="N1074" s="2">
        <f>SUM($D$2:$D1074)</f>
        <v>6433.6199999999953</v>
      </c>
      <c r="O1074" s="2">
        <f t="shared" si="41"/>
        <v>0.38340132940970345</v>
      </c>
      <c r="P1074" s="2" cm="1">
        <f t="array" ref="P1074">SUMPRODUCT((O1074&gt;$T$9:$T$14)*(O1074&lt;=$U$9:$U$14),$S$9:$S$14)</f>
        <v>4</v>
      </c>
    </row>
    <row r="1075" spans="1:16" x14ac:dyDescent="0.25">
      <c r="A1075">
        <v>1065</v>
      </c>
      <c r="B1075">
        <v>691</v>
      </c>
      <c r="C1075">
        <v>382</v>
      </c>
      <c r="D1075">
        <v>14.81</v>
      </c>
      <c r="E1075">
        <v>20060</v>
      </c>
      <c r="F1075">
        <v>0</v>
      </c>
      <c r="G1075">
        <v>20060000</v>
      </c>
      <c r="H1075">
        <v>15</v>
      </c>
      <c r="I1075">
        <v>550</v>
      </c>
      <c r="J1075" s="2">
        <f t="shared" si="40"/>
        <v>8145.5</v>
      </c>
      <c r="K1075">
        <v>1074</v>
      </c>
      <c r="L1075" s="3">
        <f>SUM($I$2:$I1075)</f>
        <v>6221560</v>
      </c>
      <c r="M1075" s="3">
        <f>SUM($J$2:$J1075)</f>
        <v>23857893.999999978</v>
      </c>
      <c r="N1075" s="2">
        <f>SUM($D$2:$D1075)</f>
        <v>6448.4299999999957</v>
      </c>
      <c r="O1075" s="2">
        <f t="shared" si="41"/>
        <v>0.38428390775417481</v>
      </c>
      <c r="P1075" s="2" cm="1">
        <f t="array" ref="P1075">SUMPRODUCT((O1075&gt;$T$9:$T$14)*(O1075&lt;=$U$9:$U$14),$S$9:$S$14)</f>
        <v>4</v>
      </c>
    </row>
    <row r="1076" spans="1:16" x14ac:dyDescent="0.25">
      <c r="A1076">
        <v>569</v>
      </c>
      <c r="B1076">
        <v>1356</v>
      </c>
      <c r="C1076">
        <v>779</v>
      </c>
      <c r="D1076">
        <v>9.44</v>
      </c>
      <c r="E1076">
        <v>17570</v>
      </c>
      <c r="F1076">
        <v>0</v>
      </c>
      <c r="G1076">
        <v>17570000</v>
      </c>
      <c r="H1076">
        <v>11</v>
      </c>
      <c r="I1076">
        <v>550</v>
      </c>
      <c r="J1076" s="2">
        <f t="shared" si="40"/>
        <v>5192</v>
      </c>
      <c r="K1076">
        <v>1075</v>
      </c>
      <c r="L1076" s="3">
        <f>SUM($I$2:$I1076)</f>
        <v>6222110</v>
      </c>
      <c r="M1076" s="3">
        <f>SUM($J$2:$J1076)</f>
        <v>23863085.999999978</v>
      </c>
      <c r="N1076" s="2">
        <f>SUM($D$2:$D1076)</f>
        <v>6457.8699999999953</v>
      </c>
      <c r="O1076" s="2">
        <f t="shared" si="41"/>
        <v>0.38484646950784185</v>
      </c>
      <c r="P1076" s="2" cm="1">
        <f t="array" ref="P1076">SUMPRODUCT((O1076&gt;$T$9:$T$14)*(O1076&lt;=$U$9:$U$14),$S$9:$S$14)</f>
        <v>4</v>
      </c>
    </row>
    <row r="1077" spans="1:16" x14ac:dyDescent="0.25">
      <c r="A1077">
        <v>1469</v>
      </c>
      <c r="B1077">
        <v>301</v>
      </c>
      <c r="C1077">
        <v>1429</v>
      </c>
      <c r="D1077">
        <v>3.98</v>
      </c>
      <c r="E1077">
        <v>46025</v>
      </c>
      <c r="F1077">
        <v>0</v>
      </c>
      <c r="G1077">
        <v>46025000</v>
      </c>
      <c r="H1077">
        <v>144</v>
      </c>
      <c r="I1077">
        <v>550</v>
      </c>
      <c r="J1077" s="2">
        <f t="shared" si="40"/>
        <v>2189</v>
      </c>
      <c r="K1077">
        <v>1076</v>
      </c>
      <c r="L1077" s="3">
        <f>SUM($I$2:$I1077)</f>
        <v>6222660</v>
      </c>
      <c r="M1077" s="3">
        <f>SUM($J$2:$J1077)</f>
        <v>23865274.999999978</v>
      </c>
      <c r="N1077" s="2">
        <f>SUM($D$2:$D1077)</f>
        <v>6461.8499999999949</v>
      </c>
      <c r="O1077" s="2">
        <f t="shared" si="41"/>
        <v>0.38508365126415484</v>
      </c>
      <c r="P1077" s="2" cm="1">
        <f t="array" ref="P1077">SUMPRODUCT((O1077&gt;$T$9:$T$14)*(O1077&lt;=$U$9:$U$14),$S$9:$S$14)</f>
        <v>4</v>
      </c>
    </row>
    <row r="1078" spans="1:16" x14ac:dyDescent="0.25">
      <c r="A1078">
        <v>1234</v>
      </c>
      <c r="B1078">
        <v>66</v>
      </c>
      <c r="C1078">
        <v>1127</v>
      </c>
      <c r="D1078">
        <v>0.73</v>
      </c>
      <c r="E1078">
        <v>27880</v>
      </c>
      <c r="F1078">
        <v>0</v>
      </c>
      <c r="G1078">
        <v>27880000</v>
      </c>
      <c r="H1078">
        <v>35</v>
      </c>
      <c r="I1078">
        <v>550</v>
      </c>
      <c r="J1078" s="2">
        <f t="shared" si="40"/>
        <v>401.5</v>
      </c>
      <c r="K1078">
        <v>1077</v>
      </c>
      <c r="L1078" s="3">
        <f>SUM($I$2:$I1078)</f>
        <v>6223210</v>
      </c>
      <c r="M1078" s="3">
        <f>SUM($J$2:$J1078)</f>
        <v>23865676.499999978</v>
      </c>
      <c r="N1078" s="2">
        <f>SUM($D$2:$D1078)</f>
        <v>6462.5799999999945</v>
      </c>
      <c r="O1078" s="2">
        <f t="shared" si="41"/>
        <v>0.38512715445061424</v>
      </c>
      <c r="P1078" s="2" cm="1">
        <f t="array" ref="P1078">SUMPRODUCT((O1078&gt;$T$9:$T$14)*(O1078&lt;=$U$9:$U$14),$S$9:$S$14)</f>
        <v>4</v>
      </c>
    </row>
    <row r="1079" spans="1:16" x14ac:dyDescent="0.25">
      <c r="A1079">
        <v>1069</v>
      </c>
      <c r="B1079">
        <v>695</v>
      </c>
      <c r="C1079">
        <v>386</v>
      </c>
      <c r="D1079">
        <v>10.49</v>
      </c>
      <c r="E1079">
        <v>26350</v>
      </c>
      <c r="F1079">
        <v>0</v>
      </c>
      <c r="G1079">
        <v>26350000</v>
      </c>
      <c r="H1079">
        <v>28</v>
      </c>
      <c r="I1079">
        <v>540</v>
      </c>
      <c r="J1079" s="2">
        <f t="shared" si="40"/>
        <v>5664.6</v>
      </c>
      <c r="K1079">
        <v>1078</v>
      </c>
      <c r="L1079" s="3">
        <f>SUM($I$2:$I1079)</f>
        <v>6223750</v>
      </c>
      <c r="M1079" s="3">
        <f>SUM($J$2:$J1079)</f>
        <v>23871341.099999979</v>
      </c>
      <c r="N1079" s="2">
        <f>SUM($D$2:$D1079)</f>
        <v>6473.0699999999943</v>
      </c>
      <c r="O1079" s="2">
        <f t="shared" si="41"/>
        <v>0.38575228928069555</v>
      </c>
      <c r="P1079" s="2" cm="1">
        <f t="array" ref="P1079">SUMPRODUCT((O1079&gt;$T$9:$T$14)*(O1079&lt;=$U$9:$U$14),$S$9:$S$14)</f>
        <v>4</v>
      </c>
    </row>
    <row r="1080" spans="1:16" x14ac:dyDescent="0.25">
      <c r="A1080">
        <v>1377</v>
      </c>
      <c r="B1080">
        <v>209</v>
      </c>
      <c r="C1080">
        <v>1319</v>
      </c>
      <c r="D1080">
        <v>10.24</v>
      </c>
      <c r="E1080">
        <v>33710</v>
      </c>
      <c r="F1080">
        <v>0</v>
      </c>
      <c r="G1080">
        <v>33710000</v>
      </c>
      <c r="H1080">
        <v>62</v>
      </c>
      <c r="I1080">
        <v>540</v>
      </c>
      <c r="J1080" s="2">
        <f t="shared" si="40"/>
        <v>5529.6</v>
      </c>
      <c r="K1080">
        <v>1079</v>
      </c>
      <c r="L1080" s="3">
        <f>SUM($I$2:$I1080)</f>
        <v>6224290</v>
      </c>
      <c r="M1080" s="3">
        <f>SUM($J$2:$J1080)</f>
        <v>23876870.699999981</v>
      </c>
      <c r="N1080" s="2">
        <f>SUM($D$2:$D1080)</f>
        <v>6483.309999999994</v>
      </c>
      <c r="O1080" s="2">
        <f t="shared" si="41"/>
        <v>0.38636252575924968</v>
      </c>
      <c r="P1080" s="2" cm="1">
        <f t="array" ref="P1080">SUMPRODUCT((O1080&gt;$T$9:$T$14)*(O1080&lt;=$U$9:$U$14),$S$9:$S$14)</f>
        <v>4</v>
      </c>
    </row>
    <row r="1081" spans="1:16" x14ac:dyDescent="0.25">
      <c r="A1081">
        <v>1307</v>
      </c>
      <c r="B1081">
        <v>139</v>
      </c>
      <c r="C1081">
        <v>1228</v>
      </c>
      <c r="D1081">
        <v>4.9000000000000004</v>
      </c>
      <c r="E1081">
        <v>38710</v>
      </c>
      <c r="F1081">
        <v>0</v>
      </c>
      <c r="G1081">
        <v>38710000</v>
      </c>
      <c r="H1081">
        <v>89</v>
      </c>
      <c r="I1081">
        <v>540</v>
      </c>
      <c r="J1081" s="2">
        <f t="shared" si="40"/>
        <v>2646</v>
      </c>
      <c r="K1081">
        <v>1080</v>
      </c>
      <c r="L1081" s="3">
        <f>SUM($I$2:$I1081)</f>
        <v>6224830</v>
      </c>
      <c r="M1081" s="3">
        <f>SUM($J$2:$J1081)</f>
        <v>23879516.699999981</v>
      </c>
      <c r="N1081" s="2">
        <f>SUM($D$2:$D1081)</f>
        <v>6488.2099999999937</v>
      </c>
      <c r="O1081" s="2">
        <f t="shared" si="41"/>
        <v>0.38665453344918277</v>
      </c>
      <c r="P1081" s="2" cm="1">
        <f t="array" ref="P1081">SUMPRODUCT((O1081&gt;$T$9:$T$14)*(O1081&lt;=$U$9:$U$14),$S$9:$S$14)</f>
        <v>4</v>
      </c>
    </row>
    <row r="1082" spans="1:16" x14ac:dyDescent="0.25">
      <c r="A1082">
        <v>138</v>
      </c>
      <c r="B1082">
        <v>934</v>
      </c>
      <c r="C1082">
        <v>1697</v>
      </c>
      <c r="D1082">
        <v>2.0099999999999998</v>
      </c>
      <c r="E1082">
        <v>52700</v>
      </c>
      <c r="F1082">
        <v>28.1</v>
      </c>
      <c r="G1082">
        <v>52700281</v>
      </c>
      <c r="H1082">
        <v>516</v>
      </c>
      <c r="I1082">
        <v>540</v>
      </c>
      <c r="J1082" s="2">
        <f t="shared" si="40"/>
        <v>1085.3999999999999</v>
      </c>
      <c r="K1082">
        <v>1081</v>
      </c>
      <c r="L1082" s="3">
        <f>SUM($I$2:$I1082)</f>
        <v>6225370</v>
      </c>
      <c r="M1082" s="3">
        <f>SUM($J$2:$J1082)</f>
        <v>23880602.099999979</v>
      </c>
      <c r="N1082" s="2">
        <f>SUM($D$2:$D1082)</f>
        <v>6490.2199999999939</v>
      </c>
      <c r="O1082" s="2">
        <f t="shared" si="41"/>
        <v>0.38677431619546149</v>
      </c>
      <c r="P1082" s="2" cm="1">
        <f t="array" ref="P1082">SUMPRODUCT((O1082&gt;$T$9:$T$14)*(O1082&lt;=$U$9:$U$14),$S$9:$S$14)</f>
        <v>4</v>
      </c>
    </row>
    <row r="1083" spans="1:16" x14ac:dyDescent="0.25">
      <c r="A1083">
        <v>550</v>
      </c>
      <c r="B1083">
        <v>1337</v>
      </c>
      <c r="C1083">
        <v>756</v>
      </c>
      <c r="D1083">
        <v>1.42</v>
      </c>
      <c r="E1083">
        <v>20210</v>
      </c>
      <c r="F1083">
        <v>0.7</v>
      </c>
      <c r="G1083">
        <v>20210007</v>
      </c>
      <c r="H1083">
        <v>16</v>
      </c>
      <c r="I1083">
        <v>540</v>
      </c>
      <c r="J1083" s="2">
        <f t="shared" si="40"/>
        <v>766.8</v>
      </c>
      <c r="K1083">
        <v>1082</v>
      </c>
      <c r="L1083" s="3">
        <f>SUM($I$2:$I1083)</f>
        <v>6225910</v>
      </c>
      <c r="M1083" s="3">
        <f>SUM($J$2:$J1083)</f>
        <v>23881368.89999998</v>
      </c>
      <c r="N1083" s="2">
        <f>SUM($D$2:$D1083)</f>
        <v>6491.639999999994</v>
      </c>
      <c r="O1083" s="2">
        <f t="shared" si="41"/>
        <v>0.38685893883213596</v>
      </c>
      <c r="P1083" s="2" cm="1">
        <f t="array" ref="P1083">SUMPRODUCT((O1083&gt;$T$9:$T$14)*(O1083&lt;=$U$9:$U$14),$S$9:$S$14)</f>
        <v>4</v>
      </c>
    </row>
    <row r="1084" spans="1:16" x14ac:dyDescent="0.25">
      <c r="A1084">
        <v>491</v>
      </c>
      <c r="B1084">
        <v>1278</v>
      </c>
      <c r="C1084">
        <v>675</v>
      </c>
      <c r="D1084">
        <v>0.59</v>
      </c>
      <c r="E1084">
        <v>24170</v>
      </c>
      <c r="F1084">
        <v>0</v>
      </c>
      <c r="G1084">
        <v>24170000</v>
      </c>
      <c r="H1084">
        <v>21</v>
      </c>
      <c r="I1084">
        <v>540</v>
      </c>
      <c r="J1084" s="2">
        <f t="shared" si="40"/>
        <v>318.59999999999997</v>
      </c>
      <c r="K1084">
        <v>1083</v>
      </c>
      <c r="L1084" s="3">
        <f>SUM($I$2:$I1084)</f>
        <v>6226450</v>
      </c>
      <c r="M1084" s="3">
        <f>SUM($J$2:$J1084)</f>
        <v>23881687.499999981</v>
      </c>
      <c r="N1084" s="2">
        <f>SUM($D$2:$D1084)</f>
        <v>6492.2299999999941</v>
      </c>
      <c r="O1084" s="2">
        <f t="shared" si="41"/>
        <v>0.38689409894174015</v>
      </c>
      <c r="P1084" s="2" cm="1">
        <f t="array" ref="P1084">SUMPRODUCT((O1084&gt;$T$9:$T$14)*(O1084&lt;=$U$9:$U$14),$S$9:$S$14)</f>
        <v>4</v>
      </c>
    </row>
    <row r="1085" spans="1:16" x14ac:dyDescent="0.25">
      <c r="A1085">
        <v>1018</v>
      </c>
      <c r="B1085">
        <v>644</v>
      </c>
      <c r="C1085">
        <v>322</v>
      </c>
      <c r="D1085">
        <v>24.75</v>
      </c>
      <c r="E1085">
        <v>16580</v>
      </c>
      <c r="F1085">
        <v>0.8</v>
      </c>
      <c r="G1085">
        <v>16580008</v>
      </c>
      <c r="H1085">
        <v>10</v>
      </c>
      <c r="I1085">
        <v>530</v>
      </c>
      <c r="J1085" s="2">
        <f t="shared" si="40"/>
        <v>13117.5</v>
      </c>
      <c r="K1085">
        <v>1084</v>
      </c>
      <c r="L1085" s="3">
        <f>SUM($I$2:$I1085)</f>
        <v>6226980</v>
      </c>
      <c r="M1085" s="3">
        <f>SUM($J$2:$J1085)</f>
        <v>23894804.999999981</v>
      </c>
      <c r="N1085" s="2">
        <f>SUM($D$2:$D1085)</f>
        <v>6516.9799999999941</v>
      </c>
      <c r="O1085" s="2">
        <f t="shared" si="41"/>
        <v>0.38836903574293297</v>
      </c>
      <c r="P1085" s="2" cm="1">
        <f t="array" ref="P1085">SUMPRODUCT((O1085&gt;$T$9:$T$14)*(O1085&lt;=$U$9:$U$14),$S$9:$S$14)</f>
        <v>4</v>
      </c>
    </row>
    <row r="1086" spans="1:16" x14ac:dyDescent="0.25">
      <c r="A1086">
        <v>509</v>
      </c>
      <c r="B1086">
        <v>1296</v>
      </c>
      <c r="C1086">
        <v>706</v>
      </c>
      <c r="D1086">
        <v>11</v>
      </c>
      <c r="E1086">
        <v>15950</v>
      </c>
      <c r="F1086">
        <v>0</v>
      </c>
      <c r="G1086">
        <v>15950000</v>
      </c>
      <c r="H1086">
        <v>8</v>
      </c>
      <c r="I1086">
        <v>530</v>
      </c>
      <c r="J1086" s="2">
        <f t="shared" si="40"/>
        <v>5830</v>
      </c>
      <c r="K1086">
        <v>1085</v>
      </c>
      <c r="L1086" s="3">
        <f>SUM($I$2:$I1086)</f>
        <v>6227510</v>
      </c>
      <c r="M1086" s="3">
        <f>SUM($J$2:$J1086)</f>
        <v>23900634.999999981</v>
      </c>
      <c r="N1086" s="2">
        <f>SUM($D$2:$D1086)</f>
        <v>6527.9799999999941</v>
      </c>
      <c r="O1086" s="2">
        <f t="shared" si="41"/>
        <v>0.38902456321012979</v>
      </c>
      <c r="P1086" s="2" cm="1">
        <f t="array" ref="P1086">SUMPRODUCT((O1086&gt;$T$9:$T$14)*(O1086&lt;=$U$9:$U$14),$S$9:$S$14)</f>
        <v>4</v>
      </c>
    </row>
    <row r="1087" spans="1:16" x14ac:dyDescent="0.25">
      <c r="A1087">
        <v>713</v>
      </c>
      <c r="B1087">
        <v>1500</v>
      </c>
      <c r="C1087">
        <v>957</v>
      </c>
      <c r="D1087">
        <v>9.09</v>
      </c>
      <c r="E1087">
        <v>16240</v>
      </c>
      <c r="F1087">
        <v>0.8</v>
      </c>
      <c r="G1087">
        <v>16240008</v>
      </c>
      <c r="H1087">
        <v>9</v>
      </c>
      <c r="I1087">
        <v>530</v>
      </c>
      <c r="J1087" s="2">
        <f t="shared" si="40"/>
        <v>4817.7</v>
      </c>
      <c r="K1087">
        <v>1086</v>
      </c>
      <c r="L1087" s="3">
        <f>SUM($I$2:$I1087)</f>
        <v>6228040</v>
      </c>
      <c r="M1087" s="3">
        <f>SUM($J$2:$J1087)</f>
        <v>23905452.699999981</v>
      </c>
      <c r="N1087" s="2">
        <f>SUM($D$2:$D1087)</f>
        <v>6537.0699999999943</v>
      </c>
      <c r="O1087" s="2">
        <f t="shared" si="41"/>
        <v>0.38956626727165883</v>
      </c>
      <c r="P1087" s="2" cm="1">
        <f t="array" ref="P1087">SUMPRODUCT((O1087&gt;$T$9:$T$14)*(O1087&lt;=$U$9:$U$14),$S$9:$S$14)</f>
        <v>4</v>
      </c>
    </row>
    <row r="1088" spans="1:16" x14ac:dyDescent="0.25">
      <c r="A1088">
        <v>771</v>
      </c>
      <c r="B1088">
        <v>1558</v>
      </c>
      <c r="C1088">
        <v>1032</v>
      </c>
      <c r="D1088">
        <v>4.66</v>
      </c>
      <c r="E1088">
        <v>32700</v>
      </c>
      <c r="F1088">
        <v>0.8</v>
      </c>
      <c r="G1088">
        <v>32700008</v>
      </c>
      <c r="H1088">
        <v>58</v>
      </c>
      <c r="I1088">
        <v>530</v>
      </c>
      <c r="J1088" s="2">
        <f t="shared" si="40"/>
        <v>2469.8000000000002</v>
      </c>
      <c r="K1088">
        <v>1087</v>
      </c>
      <c r="L1088" s="3">
        <f>SUM($I$2:$I1088)</f>
        <v>6228570</v>
      </c>
      <c r="M1088" s="3">
        <f>SUM($J$2:$J1088)</f>
        <v>23907922.499999981</v>
      </c>
      <c r="N1088" s="2">
        <f>SUM($D$2:$D1088)</f>
        <v>6541.7299999999941</v>
      </c>
      <c r="O1088" s="2">
        <f t="shared" si="41"/>
        <v>0.38984397254412584</v>
      </c>
      <c r="P1088" s="2" cm="1">
        <f t="array" ref="P1088">SUMPRODUCT((O1088&gt;$T$9:$T$14)*(O1088&lt;=$U$9:$U$14),$S$9:$S$14)</f>
        <v>4</v>
      </c>
    </row>
    <row r="1089" spans="1:16" x14ac:dyDescent="0.25">
      <c r="A1089">
        <v>1492</v>
      </c>
      <c r="B1089">
        <v>324</v>
      </c>
      <c r="C1089">
        <v>1459</v>
      </c>
      <c r="D1089">
        <v>3.07</v>
      </c>
      <c r="E1089">
        <v>44290</v>
      </c>
      <c r="F1089">
        <v>0</v>
      </c>
      <c r="G1089">
        <v>44290000</v>
      </c>
      <c r="H1089">
        <v>129</v>
      </c>
      <c r="I1089">
        <v>530</v>
      </c>
      <c r="J1089" s="2">
        <f t="shared" si="40"/>
        <v>1627.1</v>
      </c>
      <c r="K1089">
        <v>1088</v>
      </c>
      <c r="L1089" s="3">
        <f>SUM($I$2:$I1089)</f>
        <v>6229100</v>
      </c>
      <c r="M1089" s="3">
        <f>SUM($J$2:$J1089)</f>
        <v>23909549.599999983</v>
      </c>
      <c r="N1089" s="2">
        <f>SUM($D$2:$D1089)</f>
        <v>6544.7999999999938</v>
      </c>
      <c r="O1089" s="2">
        <f t="shared" si="41"/>
        <v>0.39002692430087982</v>
      </c>
      <c r="P1089" s="2" cm="1">
        <f t="array" ref="P1089">SUMPRODUCT((O1089&gt;$T$9:$T$14)*(O1089&lt;=$U$9:$U$14),$S$9:$S$14)</f>
        <v>4</v>
      </c>
    </row>
    <row r="1090" spans="1:16" x14ac:dyDescent="0.25">
      <c r="A1090">
        <v>1087</v>
      </c>
      <c r="B1090">
        <v>713</v>
      </c>
      <c r="C1090">
        <v>414</v>
      </c>
      <c r="D1090">
        <v>0.94</v>
      </c>
      <c r="E1090">
        <v>24605</v>
      </c>
      <c r="F1090">
        <v>0</v>
      </c>
      <c r="G1090">
        <v>24605000</v>
      </c>
      <c r="H1090">
        <v>23</v>
      </c>
      <c r="I1090">
        <v>530</v>
      </c>
      <c r="J1090" s="2">
        <f t="shared" ref="J1090:J1153" si="42">I1090*D1090</f>
        <v>498.2</v>
      </c>
      <c r="K1090">
        <v>1089</v>
      </c>
      <c r="L1090" s="3">
        <f>SUM($I$2:$I1090)</f>
        <v>6229630</v>
      </c>
      <c r="M1090" s="3">
        <f>SUM($J$2:$J1090)</f>
        <v>23910047.799999982</v>
      </c>
      <c r="N1090" s="2">
        <f>SUM($D$2:$D1090)</f>
        <v>6545.7399999999934</v>
      </c>
      <c r="O1090" s="2">
        <f t="shared" ref="O1090:O1153" si="43">N1090/$T$4</f>
        <v>0.39008294210262207</v>
      </c>
      <c r="P1090" s="2" cm="1">
        <f t="array" ref="P1090">SUMPRODUCT((O1090&gt;$T$9:$T$14)*(O1090&lt;=$U$9:$U$14),$S$9:$S$14)</f>
        <v>4</v>
      </c>
    </row>
    <row r="1091" spans="1:16" x14ac:dyDescent="0.25">
      <c r="A1091">
        <v>1041</v>
      </c>
      <c r="B1091">
        <v>667</v>
      </c>
      <c r="C1091">
        <v>350</v>
      </c>
      <c r="D1091">
        <v>10.53</v>
      </c>
      <c r="E1091">
        <v>24001</v>
      </c>
      <c r="F1091">
        <v>0</v>
      </c>
      <c r="G1091">
        <v>24001000</v>
      </c>
      <c r="H1091">
        <v>21</v>
      </c>
      <c r="I1091">
        <v>520</v>
      </c>
      <c r="J1091" s="2">
        <f t="shared" si="42"/>
        <v>5475.5999999999995</v>
      </c>
      <c r="K1091">
        <v>1090</v>
      </c>
      <c r="L1091" s="3">
        <f>SUM($I$2:$I1091)</f>
        <v>6230150</v>
      </c>
      <c r="M1091" s="3">
        <f>SUM($J$2:$J1091)</f>
        <v>23915523.399999984</v>
      </c>
      <c r="N1091" s="2">
        <f>SUM($D$2:$D1091)</f>
        <v>6556.2699999999932</v>
      </c>
      <c r="O1091" s="2">
        <f t="shared" si="43"/>
        <v>0.39071046066894771</v>
      </c>
      <c r="P1091" s="2" cm="1">
        <f t="array" ref="P1091">SUMPRODUCT((O1091&gt;$T$9:$T$14)*(O1091&lt;=$U$9:$U$14),$S$9:$S$14)</f>
        <v>4</v>
      </c>
    </row>
    <row r="1092" spans="1:16" x14ac:dyDescent="0.25">
      <c r="A1092">
        <v>742</v>
      </c>
      <c r="B1092">
        <v>1529</v>
      </c>
      <c r="C1092">
        <v>992</v>
      </c>
      <c r="D1092">
        <v>10.4</v>
      </c>
      <c r="E1092">
        <v>33340</v>
      </c>
      <c r="F1092">
        <v>0</v>
      </c>
      <c r="G1092">
        <v>33340000</v>
      </c>
      <c r="H1092">
        <v>60</v>
      </c>
      <c r="I1092">
        <v>520</v>
      </c>
      <c r="J1092" s="2">
        <f t="shared" si="42"/>
        <v>5408</v>
      </c>
      <c r="K1092">
        <v>1091</v>
      </c>
      <c r="L1092" s="3">
        <f>SUM($I$2:$I1092)</f>
        <v>6230670</v>
      </c>
      <c r="M1092" s="3">
        <f>SUM($J$2:$J1092)</f>
        <v>23920931.399999984</v>
      </c>
      <c r="N1092" s="2">
        <f>SUM($D$2:$D1092)</f>
        <v>6566.6699999999928</v>
      </c>
      <c r="O1092" s="2">
        <f t="shared" si="43"/>
        <v>0.39133023209247925</v>
      </c>
      <c r="P1092" s="2" cm="1">
        <f t="array" ref="P1092">SUMPRODUCT((O1092&gt;$T$9:$T$14)*(O1092&lt;=$U$9:$U$14),$S$9:$S$14)</f>
        <v>4</v>
      </c>
    </row>
    <row r="1093" spans="1:16" x14ac:dyDescent="0.25">
      <c r="A1093">
        <v>624</v>
      </c>
      <c r="B1093">
        <v>1411</v>
      </c>
      <c r="C1093">
        <v>849</v>
      </c>
      <c r="D1093">
        <v>9.23</v>
      </c>
      <c r="E1093">
        <v>24050</v>
      </c>
      <c r="F1093">
        <v>0</v>
      </c>
      <c r="G1093">
        <v>24050000</v>
      </c>
      <c r="H1093">
        <v>21</v>
      </c>
      <c r="I1093">
        <v>520</v>
      </c>
      <c r="J1093" s="2">
        <f t="shared" si="42"/>
        <v>4799.6000000000004</v>
      </c>
      <c r="K1093">
        <v>1092</v>
      </c>
      <c r="L1093" s="3">
        <f>SUM($I$2:$I1093)</f>
        <v>6231190</v>
      </c>
      <c r="M1093" s="3">
        <f>SUM($J$2:$J1093)</f>
        <v>23925730.999999985</v>
      </c>
      <c r="N1093" s="2">
        <f>SUM($D$2:$D1093)</f>
        <v>6575.8999999999924</v>
      </c>
      <c r="O1093" s="2">
        <f t="shared" si="43"/>
        <v>0.39188027923086344</v>
      </c>
      <c r="P1093" s="2" cm="1">
        <f t="array" ref="P1093">SUMPRODUCT((O1093&gt;$T$9:$T$14)*(O1093&lt;=$U$9:$U$14),$S$9:$S$14)</f>
        <v>4</v>
      </c>
    </row>
    <row r="1094" spans="1:16" x14ac:dyDescent="0.25">
      <c r="A1094">
        <v>495</v>
      </c>
      <c r="B1094">
        <v>1282</v>
      </c>
      <c r="C1094">
        <v>682</v>
      </c>
      <c r="D1094">
        <v>7.7</v>
      </c>
      <c r="E1094">
        <v>24020</v>
      </c>
      <c r="F1094">
        <v>2.1</v>
      </c>
      <c r="G1094">
        <v>24020021</v>
      </c>
      <c r="H1094">
        <v>21</v>
      </c>
      <c r="I1094">
        <v>520</v>
      </c>
      <c r="J1094" s="2">
        <f t="shared" si="42"/>
        <v>4004</v>
      </c>
      <c r="K1094">
        <v>1093</v>
      </c>
      <c r="L1094" s="3">
        <f>SUM($I$2:$I1094)</f>
        <v>6231710</v>
      </c>
      <c r="M1094" s="3">
        <f>SUM($J$2:$J1094)</f>
        <v>23929734.999999985</v>
      </c>
      <c r="N1094" s="2">
        <f>SUM($D$2:$D1094)</f>
        <v>6583.5999999999922</v>
      </c>
      <c r="O1094" s="2">
        <f t="shared" si="43"/>
        <v>0.39233914845790119</v>
      </c>
      <c r="P1094" s="2" cm="1">
        <f t="array" ref="P1094">SUMPRODUCT((O1094&gt;$T$9:$T$14)*(O1094&lt;=$U$9:$U$14),$S$9:$S$14)</f>
        <v>4</v>
      </c>
    </row>
    <row r="1095" spans="1:16" x14ac:dyDescent="0.25">
      <c r="A1095">
        <v>797</v>
      </c>
      <c r="B1095">
        <v>423</v>
      </c>
      <c r="C1095">
        <v>28</v>
      </c>
      <c r="D1095">
        <v>5.36</v>
      </c>
      <c r="E1095">
        <v>12825</v>
      </c>
      <c r="F1095">
        <v>0</v>
      </c>
      <c r="G1095">
        <v>12825000</v>
      </c>
      <c r="H1095">
        <v>4</v>
      </c>
      <c r="I1095">
        <v>520</v>
      </c>
      <c r="J1095" s="2">
        <f t="shared" si="42"/>
        <v>2787.2000000000003</v>
      </c>
      <c r="K1095">
        <v>1094</v>
      </c>
      <c r="L1095" s="3">
        <f>SUM($I$2:$I1095)</f>
        <v>6232230</v>
      </c>
      <c r="M1095" s="3">
        <f>SUM($J$2:$J1095)</f>
        <v>23932522.199999984</v>
      </c>
      <c r="N1095" s="2">
        <f>SUM($D$2:$D1095)</f>
        <v>6588.9599999999919</v>
      </c>
      <c r="O1095" s="2">
        <f t="shared" si="43"/>
        <v>0.39265856911464436</v>
      </c>
      <c r="P1095" s="2" cm="1">
        <f t="array" ref="P1095">SUMPRODUCT((O1095&gt;$T$9:$T$14)*(O1095&lt;=$U$9:$U$14),$S$9:$S$14)</f>
        <v>4</v>
      </c>
    </row>
    <row r="1096" spans="1:16" x14ac:dyDescent="0.25">
      <c r="A1096">
        <v>1096</v>
      </c>
      <c r="B1096">
        <v>722</v>
      </c>
      <c r="C1096">
        <v>426</v>
      </c>
      <c r="D1096">
        <v>3.59</v>
      </c>
      <c r="E1096">
        <v>19536</v>
      </c>
      <c r="F1096">
        <v>4.2</v>
      </c>
      <c r="G1096">
        <v>19536042</v>
      </c>
      <c r="H1096">
        <v>12</v>
      </c>
      <c r="I1096">
        <v>520</v>
      </c>
      <c r="J1096" s="2">
        <f t="shared" si="42"/>
        <v>1866.8</v>
      </c>
      <c r="K1096">
        <v>1095</v>
      </c>
      <c r="L1096" s="3">
        <f>SUM($I$2:$I1096)</f>
        <v>6232750</v>
      </c>
      <c r="M1096" s="3">
        <f>SUM($J$2:$J1096)</f>
        <v>23934388.999999985</v>
      </c>
      <c r="N1096" s="2">
        <f>SUM($D$2:$D1096)</f>
        <v>6592.549999999992</v>
      </c>
      <c r="O1096" s="2">
        <f t="shared" si="43"/>
        <v>0.39287250944257496</v>
      </c>
      <c r="P1096" s="2" cm="1">
        <f t="array" ref="P1096">SUMPRODUCT((O1096&gt;$T$9:$T$14)*(O1096&lt;=$U$9:$U$14),$S$9:$S$14)</f>
        <v>4</v>
      </c>
    </row>
    <row r="1097" spans="1:16" x14ac:dyDescent="0.25">
      <c r="A1097">
        <v>1379</v>
      </c>
      <c r="B1097">
        <v>211</v>
      </c>
      <c r="C1097">
        <v>1322</v>
      </c>
      <c r="D1097">
        <v>1.28</v>
      </c>
      <c r="E1097">
        <v>33690</v>
      </c>
      <c r="F1097">
        <v>6.6</v>
      </c>
      <c r="G1097">
        <v>33690066</v>
      </c>
      <c r="H1097">
        <v>62</v>
      </c>
      <c r="I1097">
        <v>520</v>
      </c>
      <c r="J1097" s="2">
        <f t="shared" si="42"/>
        <v>665.6</v>
      </c>
      <c r="K1097">
        <v>1096</v>
      </c>
      <c r="L1097" s="3">
        <f>SUM($I$2:$I1097)</f>
        <v>6233270</v>
      </c>
      <c r="M1097" s="3">
        <f>SUM($J$2:$J1097)</f>
        <v>23935054.599999987</v>
      </c>
      <c r="N1097" s="2">
        <f>SUM($D$2:$D1097)</f>
        <v>6593.8299999999917</v>
      </c>
      <c r="O1097" s="2">
        <f t="shared" si="43"/>
        <v>0.39294878900239422</v>
      </c>
      <c r="P1097" s="2" cm="1">
        <f t="array" ref="P1097">SUMPRODUCT((O1097&gt;$T$9:$T$14)*(O1097&lt;=$U$9:$U$14),$S$9:$S$14)</f>
        <v>4</v>
      </c>
    </row>
    <row r="1098" spans="1:16" x14ac:dyDescent="0.25">
      <c r="A1098">
        <v>1112</v>
      </c>
      <c r="B1098">
        <v>738</v>
      </c>
      <c r="C1098">
        <v>452</v>
      </c>
      <c r="D1098">
        <v>42.82</v>
      </c>
      <c r="E1098">
        <v>21400</v>
      </c>
      <c r="F1098">
        <v>8</v>
      </c>
      <c r="G1098">
        <v>21400080</v>
      </c>
      <c r="H1098">
        <v>17</v>
      </c>
      <c r="I1098">
        <v>510</v>
      </c>
      <c r="J1098" s="2">
        <f t="shared" si="42"/>
        <v>21838.2</v>
      </c>
      <c r="K1098">
        <v>1097</v>
      </c>
      <c r="L1098" s="3">
        <f>SUM($I$2:$I1098)</f>
        <v>6233780</v>
      </c>
      <c r="M1098" s="3">
        <f>SUM($J$2:$J1098)</f>
        <v>23956892.799999986</v>
      </c>
      <c r="N1098" s="2">
        <f>SUM($D$2:$D1098)</f>
        <v>6636.6499999999915</v>
      </c>
      <c r="O1098" s="2">
        <f t="shared" si="43"/>
        <v>0.39550057865197302</v>
      </c>
      <c r="P1098" s="2" cm="1">
        <f t="array" ref="P1098">SUMPRODUCT((O1098&gt;$T$9:$T$14)*(O1098&lt;=$U$9:$U$14),$S$9:$S$14)</f>
        <v>4</v>
      </c>
    </row>
    <row r="1099" spans="1:16" x14ac:dyDescent="0.25">
      <c r="A1099">
        <v>1462</v>
      </c>
      <c r="B1099">
        <v>294</v>
      </c>
      <c r="C1099">
        <v>1421</v>
      </c>
      <c r="D1099">
        <v>16.86</v>
      </c>
      <c r="E1099">
        <v>46060</v>
      </c>
      <c r="F1099">
        <v>0</v>
      </c>
      <c r="G1099">
        <v>46060000</v>
      </c>
      <c r="H1099">
        <v>144</v>
      </c>
      <c r="I1099">
        <v>510</v>
      </c>
      <c r="J1099" s="2">
        <f t="shared" si="42"/>
        <v>8598.6</v>
      </c>
      <c r="K1099">
        <v>1098</v>
      </c>
      <c r="L1099" s="3">
        <f>SUM($I$2:$I1099)</f>
        <v>6234290</v>
      </c>
      <c r="M1099" s="3">
        <f>SUM($J$2:$J1099)</f>
        <v>23965491.399999987</v>
      </c>
      <c r="N1099" s="2">
        <f>SUM($D$2:$D1099)</f>
        <v>6653.5099999999911</v>
      </c>
      <c r="O1099" s="2">
        <f t="shared" si="43"/>
        <v>0.39650532347896739</v>
      </c>
      <c r="P1099" s="2" cm="1">
        <f t="array" ref="P1099">SUMPRODUCT((O1099&gt;$T$9:$T$14)*(O1099&lt;=$U$9:$U$14),$S$9:$S$14)</f>
        <v>4</v>
      </c>
    </row>
    <row r="1100" spans="1:16" x14ac:dyDescent="0.25">
      <c r="A1100">
        <v>334</v>
      </c>
      <c r="B1100">
        <v>1129</v>
      </c>
      <c r="C1100">
        <v>1973</v>
      </c>
      <c r="D1100">
        <v>16.09</v>
      </c>
      <c r="E1100">
        <v>71100</v>
      </c>
      <c r="F1100">
        <v>5.3</v>
      </c>
      <c r="G1100">
        <v>71100053</v>
      </c>
      <c r="H1100">
        <v>655</v>
      </c>
      <c r="I1100">
        <v>510</v>
      </c>
      <c r="J1100" s="2">
        <f t="shared" si="42"/>
        <v>8205.9</v>
      </c>
      <c r="K1100">
        <v>1099</v>
      </c>
      <c r="L1100" s="3">
        <f>SUM($I$2:$I1100)</f>
        <v>6234800</v>
      </c>
      <c r="M1100" s="3">
        <f>SUM($J$2:$J1100)</f>
        <v>23973697.299999986</v>
      </c>
      <c r="N1100" s="2">
        <f>SUM($D$2:$D1100)</f>
        <v>6669.5999999999913</v>
      </c>
      <c r="O1100" s="2">
        <f t="shared" si="43"/>
        <v>0.39746418138325801</v>
      </c>
      <c r="P1100" s="2" cm="1">
        <f t="array" ref="P1100">SUMPRODUCT((O1100&gt;$T$9:$T$14)*(O1100&lt;=$U$9:$U$14),$S$9:$S$14)</f>
        <v>4</v>
      </c>
    </row>
    <row r="1101" spans="1:16" x14ac:dyDescent="0.25">
      <c r="A1101">
        <v>1308</v>
      </c>
      <c r="B1101">
        <v>140</v>
      </c>
      <c r="C1101">
        <v>1229</v>
      </c>
      <c r="D1101">
        <v>11.84</v>
      </c>
      <c r="E1101">
        <v>38690</v>
      </c>
      <c r="F1101">
        <v>0</v>
      </c>
      <c r="G1101">
        <v>38690000</v>
      </c>
      <c r="H1101">
        <v>89</v>
      </c>
      <c r="I1101">
        <v>510</v>
      </c>
      <c r="J1101" s="2">
        <f t="shared" si="42"/>
        <v>6038.4</v>
      </c>
      <c r="K1101">
        <v>1100</v>
      </c>
      <c r="L1101" s="3">
        <f>SUM($I$2:$I1101)</f>
        <v>6235310</v>
      </c>
      <c r="M1101" s="3">
        <f>SUM($J$2:$J1101)</f>
        <v>23979735.699999984</v>
      </c>
      <c r="N1101" s="2">
        <f>SUM($D$2:$D1101)</f>
        <v>6681.4399999999914</v>
      </c>
      <c r="O1101" s="2">
        <f t="shared" si="43"/>
        <v>0.39816976731158621</v>
      </c>
      <c r="P1101" s="2" cm="1">
        <f t="array" ref="P1101">SUMPRODUCT((O1101&gt;$T$9:$T$14)*(O1101&lt;=$U$9:$U$14),$S$9:$S$14)</f>
        <v>4</v>
      </c>
    </row>
    <row r="1102" spans="1:16" x14ac:dyDescent="0.25">
      <c r="A1102">
        <v>393</v>
      </c>
      <c r="B1102">
        <v>1188</v>
      </c>
      <c r="C1102">
        <v>555</v>
      </c>
      <c r="D1102">
        <v>11.53</v>
      </c>
      <c r="E1102">
        <v>25620</v>
      </c>
      <c r="F1102">
        <v>0</v>
      </c>
      <c r="G1102">
        <v>25620000</v>
      </c>
      <c r="H1102">
        <v>26</v>
      </c>
      <c r="I1102">
        <v>510</v>
      </c>
      <c r="J1102" s="2">
        <f t="shared" si="42"/>
        <v>5880.2999999999993</v>
      </c>
      <c r="K1102">
        <v>1101</v>
      </c>
      <c r="L1102" s="3">
        <f>SUM($I$2:$I1102)</f>
        <v>6235820</v>
      </c>
      <c r="M1102" s="3">
        <f>SUM($J$2:$J1102)</f>
        <v>23985615.999999985</v>
      </c>
      <c r="N1102" s="2">
        <f>SUM($D$2:$D1102)</f>
        <v>6692.9699999999912</v>
      </c>
      <c r="O1102" s="2">
        <f t="shared" si="43"/>
        <v>0.39885687928402069</v>
      </c>
      <c r="P1102" s="2" cm="1">
        <f t="array" ref="P1102">SUMPRODUCT((O1102&gt;$T$9:$T$14)*(O1102&lt;=$U$9:$U$14),$S$9:$S$14)</f>
        <v>4</v>
      </c>
    </row>
    <row r="1103" spans="1:16" x14ac:dyDescent="0.25">
      <c r="A1103">
        <v>631</v>
      </c>
      <c r="B1103">
        <v>1418</v>
      </c>
      <c r="C1103">
        <v>857</v>
      </c>
      <c r="D1103">
        <v>10.55</v>
      </c>
      <c r="E1103">
        <v>14170</v>
      </c>
      <c r="F1103">
        <v>0</v>
      </c>
      <c r="G1103">
        <v>14170000</v>
      </c>
      <c r="H1103">
        <v>7</v>
      </c>
      <c r="I1103">
        <v>510</v>
      </c>
      <c r="J1103" s="2">
        <f t="shared" si="42"/>
        <v>5380.5</v>
      </c>
      <c r="K1103">
        <v>1102</v>
      </c>
      <c r="L1103" s="3">
        <f>SUM($I$2:$I1103)</f>
        <v>6236330</v>
      </c>
      <c r="M1103" s="3">
        <f>SUM($J$2:$J1103)</f>
        <v>23990996.499999985</v>
      </c>
      <c r="N1103" s="2">
        <f>SUM($D$2:$D1103)</f>
        <v>6703.5199999999913</v>
      </c>
      <c r="O1103" s="2">
        <f t="shared" si="43"/>
        <v>0.39948558971846854</v>
      </c>
      <c r="P1103" s="2" cm="1">
        <f t="array" ref="P1103">SUMPRODUCT((O1103&gt;$T$9:$T$14)*(O1103&lt;=$U$9:$U$14),$S$9:$S$14)</f>
        <v>4</v>
      </c>
    </row>
    <row r="1104" spans="1:16" x14ac:dyDescent="0.25">
      <c r="A1104">
        <v>1247</v>
      </c>
      <c r="B1104">
        <v>79</v>
      </c>
      <c r="C1104">
        <v>1143</v>
      </c>
      <c r="D1104">
        <v>5.56</v>
      </c>
      <c r="E1104">
        <v>34540</v>
      </c>
      <c r="F1104">
        <v>0.7</v>
      </c>
      <c r="G1104">
        <v>34540007</v>
      </c>
      <c r="H1104">
        <v>65</v>
      </c>
      <c r="I1104">
        <v>510</v>
      </c>
      <c r="J1104" s="2">
        <f t="shared" si="42"/>
        <v>2835.6</v>
      </c>
      <c r="K1104">
        <v>1103</v>
      </c>
      <c r="L1104" s="3">
        <f>SUM($I$2:$I1104)</f>
        <v>6236840</v>
      </c>
      <c r="M1104" s="3">
        <f>SUM($J$2:$J1104)</f>
        <v>23993832.099999987</v>
      </c>
      <c r="N1104" s="2">
        <f>SUM($D$2:$D1104)</f>
        <v>6709.0799999999917</v>
      </c>
      <c r="O1104" s="2">
        <f t="shared" si="43"/>
        <v>0.39981692905643351</v>
      </c>
      <c r="P1104" s="2" cm="1">
        <f t="array" ref="P1104">SUMPRODUCT((O1104&gt;$T$9:$T$14)*(O1104&lt;=$U$9:$U$14),$S$9:$S$14)</f>
        <v>4</v>
      </c>
    </row>
    <row r="1105" spans="1:16" x14ac:dyDescent="0.25">
      <c r="A1105">
        <v>740</v>
      </c>
      <c r="B1105">
        <v>1527</v>
      </c>
      <c r="C1105">
        <v>990</v>
      </c>
      <c r="D1105">
        <v>4.1500000000000004</v>
      </c>
      <c r="E1105">
        <v>33350</v>
      </c>
      <c r="F1105">
        <v>6</v>
      </c>
      <c r="G1105">
        <v>33350060</v>
      </c>
      <c r="H1105">
        <v>60</v>
      </c>
      <c r="I1105">
        <v>510</v>
      </c>
      <c r="J1105" s="2">
        <f t="shared" si="42"/>
        <v>2116.5</v>
      </c>
      <c r="K1105">
        <v>1104</v>
      </c>
      <c r="L1105" s="3">
        <f>SUM($I$2:$I1105)</f>
        <v>6237350</v>
      </c>
      <c r="M1105" s="3">
        <f>SUM($J$2:$J1105)</f>
        <v>23995948.599999987</v>
      </c>
      <c r="N1105" s="2">
        <f>SUM($D$2:$D1105)</f>
        <v>6713.2299999999914</v>
      </c>
      <c r="O1105" s="2">
        <f t="shared" si="43"/>
        <v>0.40006424169178501</v>
      </c>
      <c r="P1105" s="2" cm="1">
        <f t="array" ref="P1105">SUMPRODUCT((O1105&gt;$T$9:$T$14)*(O1105&lt;=$U$9:$U$14),$S$9:$S$14)</f>
        <v>4</v>
      </c>
    </row>
    <row r="1106" spans="1:16" x14ac:dyDescent="0.25">
      <c r="A1106">
        <v>386</v>
      </c>
      <c r="B1106">
        <v>1181</v>
      </c>
      <c r="C1106">
        <v>547</v>
      </c>
      <c r="D1106">
        <v>3.19</v>
      </c>
      <c r="E1106">
        <v>19480</v>
      </c>
      <c r="F1106">
        <v>7.5</v>
      </c>
      <c r="G1106">
        <v>19480075</v>
      </c>
      <c r="H1106">
        <v>12</v>
      </c>
      <c r="I1106">
        <v>510</v>
      </c>
      <c r="J1106" s="2">
        <f t="shared" si="42"/>
        <v>1626.8999999999999</v>
      </c>
      <c r="K1106">
        <v>1105</v>
      </c>
      <c r="L1106" s="3">
        <f>SUM($I$2:$I1106)</f>
        <v>6237860</v>
      </c>
      <c r="M1106" s="3">
        <f>SUM($J$2:$J1106)</f>
        <v>23997575.499999985</v>
      </c>
      <c r="N1106" s="2">
        <f>SUM($D$2:$D1106)</f>
        <v>6716.419999999991</v>
      </c>
      <c r="O1106" s="2">
        <f t="shared" si="43"/>
        <v>0.40025434465727205</v>
      </c>
      <c r="P1106" s="2" cm="1">
        <f t="array" ref="P1106">SUMPRODUCT((O1106&gt;$T$9:$T$14)*(O1106&lt;=$U$9:$U$14),$S$9:$S$14)</f>
        <v>4</v>
      </c>
    </row>
    <row r="1107" spans="1:16" x14ac:dyDescent="0.25">
      <c r="A1107">
        <v>1747</v>
      </c>
      <c r="B1107">
        <v>1747</v>
      </c>
      <c r="C1107">
        <v>0</v>
      </c>
      <c r="D1107">
        <v>1.44</v>
      </c>
      <c r="E1107">
        <v>36342</v>
      </c>
      <c r="F1107">
        <v>0</v>
      </c>
      <c r="G1107">
        <v>36342000</v>
      </c>
      <c r="H1107" t="s">
        <v>5</v>
      </c>
      <c r="I1107">
        <v>510</v>
      </c>
      <c r="J1107" s="2">
        <f t="shared" si="42"/>
        <v>734.4</v>
      </c>
      <c r="K1107">
        <v>1106</v>
      </c>
      <c r="L1107" s="3">
        <f>SUM($I$2:$I1107)</f>
        <v>6238370</v>
      </c>
      <c r="M1107" s="3">
        <f>SUM($J$2:$J1107)</f>
        <v>23998309.899999984</v>
      </c>
      <c r="N1107" s="2">
        <f>SUM($D$2:$D1107)</f>
        <v>6717.8599999999906</v>
      </c>
      <c r="O1107" s="2">
        <f t="shared" si="43"/>
        <v>0.40034015916206872</v>
      </c>
      <c r="P1107" s="2" cm="1">
        <f t="array" ref="P1107">SUMPRODUCT((O1107&gt;$T$9:$T$14)*(O1107&lt;=$U$9:$U$14),$S$9:$S$14)</f>
        <v>4</v>
      </c>
    </row>
    <row r="1108" spans="1:16" x14ac:dyDescent="0.25">
      <c r="A1108">
        <v>441</v>
      </c>
      <c r="B1108">
        <v>1228</v>
      </c>
      <c r="C1108">
        <v>612</v>
      </c>
      <c r="D1108">
        <v>15.9</v>
      </c>
      <c r="E1108">
        <v>20800</v>
      </c>
      <c r="F1108">
        <v>12.9</v>
      </c>
      <c r="G1108">
        <v>20800129</v>
      </c>
      <c r="H1108">
        <v>17</v>
      </c>
      <c r="I1108">
        <v>500</v>
      </c>
      <c r="J1108" s="2">
        <f t="shared" si="42"/>
        <v>7950</v>
      </c>
      <c r="K1108">
        <v>1107</v>
      </c>
      <c r="L1108" s="3">
        <f>SUM($I$2:$I1108)</f>
        <v>6238870</v>
      </c>
      <c r="M1108" s="3">
        <f>SUM($J$2:$J1108)</f>
        <v>24006259.899999984</v>
      </c>
      <c r="N1108" s="2">
        <f>SUM($D$2:$D1108)</f>
        <v>6733.7599999999902</v>
      </c>
      <c r="O1108" s="2">
        <f t="shared" si="43"/>
        <v>0.40128769431919864</v>
      </c>
      <c r="P1108" s="2" cm="1">
        <f t="array" ref="P1108">SUMPRODUCT((O1108&gt;$T$9:$T$14)*(O1108&lt;=$U$9:$U$14),$S$9:$S$14)</f>
        <v>4</v>
      </c>
    </row>
    <row r="1109" spans="1:16" x14ac:dyDescent="0.25">
      <c r="A1109">
        <v>1482</v>
      </c>
      <c r="B1109">
        <v>314</v>
      </c>
      <c r="C1109">
        <v>1445</v>
      </c>
      <c r="D1109">
        <v>12.81</v>
      </c>
      <c r="E1109">
        <v>45420</v>
      </c>
      <c r="F1109">
        <v>0</v>
      </c>
      <c r="G1109">
        <v>45420000</v>
      </c>
      <c r="H1109">
        <v>138</v>
      </c>
      <c r="I1109">
        <v>500</v>
      </c>
      <c r="J1109" s="2">
        <f t="shared" si="42"/>
        <v>6405</v>
      </c>
      <c r="K1109">
        <v>1108</v>
      </c>
      <c r="L1109" s="3">
        <f>SUM($I$2:$I1109)</f>
        <v>6239370</v>
      </c>
      <c r="M1109" s="3">
        <f>SUM($J$2:$J1109)</f>
        <v>24012664.899999984</v>
      </c>
      <c r="N1109" s="2">
        <f>SUM($D$2:$D1109)</f>
        <v>6746.5699999999906</v>
      </c>
      <c r="O1109" s="2">
        <f t="shared" si="43"/>
        <v>0.40205108585145238</v>
      </c>
      <c r="P1109" s="2" cm="1">
        <f t="array" ref="P1109">SUMPRODUCT((O1109&gt;$T$9:$T$14)*(O1109&lt;=$U$9:$U$14),$S$9:$S$14)</f>
        <v>4</v>
      </c>
    </row>
    <row r="1110" spans="1:16" x14ac:dyDescent="0.25">
      <c r="A1110">
        <v>432</v>
      </c>
      <c r="B1110">
        <v>1219</v>
      </c>
      <c r="C1110">
        <v>600</v>
      </c>
      <c r="D1110">
        <v>11.62</v>
      </c>
      <c r="E1110">
        <v>16250</v>
      </c>
      <c r="F1110">
        <v>1.4</v>
      </c>
      <c r="G1110">
        <v>16250014</v>
      </c>
      <c r="H1110">
        <v>9</v>
      </c>
      <c r="I1110">
        <v>500</v>
      </c>
      <c r="J1110" s="2">
        <f t="shared" si="42"/>
        <v>5810</v>
      </c>
      <c r="K1110">
        <v>1109</v>
      </c>
      <c r="L1110" s="3">
        <f>SUM($I$2:$I1110)</f>
        <v>6239870</v>
      </c>
      <c r="M1110" s="3">
        <f>SUM($J$2:$J1110)</f>
        <v>24018474.899999984</v>
      </c>
      <c r="N1110" s="2">
        <f>SUM($D$2:$D1110)</f>
        <v>6758.1899999999905</v>
      </c>
      <c r="O1110" s="2">
        <f t="shared" si="43"/>
        <v>0.40274356123043664</v>
      </c>
      <c r="P1110" s="2" cm="1">
        <f t="array" ref="P1110">SUMPRODUCT((O1110&gt;$T$9:$T$14)*(O1110&lt;=$U$9:$U$14),$S$9:$S$14)</f>
        <v>4</v>
      </c>
    </row>
    <row r="1111" spans="1:16" x14ac:dyDescent="0.25">
      <c r="A1111">
        <v>798</v>
      </c>
      <c r="B1111">
        <v>424</v>
      </c>
      <c r="C1111">
        <v>29</v>
      </c>
      <c r="D1111">
        <v>6.09</v>
      </c>
      <c r="E1111">
        <v>12820</v>
      </c>
      <c r="F1111">
        <v>2.1</v>
      </c>
      <c r="G1111">
        <v>12820021</v>
      </c>
      <c r="H1111">
        <v>4</v>
      </c>
      <c r="I1111">
        <v>500</v>
      </c>
      <c r="J1111" s="2">
        <f t="shared" si="42"/>
        <v>3045</v>
      </c>
      <c r="K1111">
        <v>1110</v>
      </c>
      <c r="L1111" s="3">
        <f>SUM($I$2:$I1111)</f>
        <v>6240370</v>
      </c>
      <c r="M1111" s="3">
        <f>SUM($J$2:$J1111)</f>
        <v>24021519.899999984</v>
      </c>
      <c r="N1111" s="2">
        <f>SUM($D$2:$D1111)</f>
        <v>6764.2799999999907</v>
      </c>
      <c r="O1111" s="2">
        <f t="shared" si="43"/>
        <v>0.40310648507363928</v>
      </c>
      <c r="P1111" s="2" cm="1">
        <f t="array" ref="P1111">SUMPRODUCT((O1111&gt;$T$9:$T$14)*(O1111&lt;=$U$9:$U$14),$S$9:$S$14)</f>
        <v>4</v>
      </c>
    </row>
    <row r="1112" spans="1:16" x14ac:dyDescent="0.25">
      <c r="A1112">
        <v>1416</v>
      </c>
      <c r="B1112">
        <v>248</v>
      </c>
      <c r="C1112">
        <v>1371</v>
      </c>
      <c r="D1112">
        <v>5.59</v>
      </c>
      <c r="E1112">
        <v>46979</v>
      </c>
      <c r="F1112">
        <v>0</v>
      </c>
      <c r="G1112">
        <v>46979000</v>
      </c>
      <c r="H1112">
        <v>400</v>
      </c>
      <c r="I1112">
        <v>500</v>
      </c>
      <c r="J1112" s="2">
        <f t="shared" si="42"/>
        <v>2795</v>
      </c>
      <c r="K1112">
        <v>1111</v>
      </c>
      <c r="L1112" s="3">
        <f>SUM($I$2:$I1112)</f>
        <v>6240870</v>
      </c>
      <c r="M1112" s="3">
        <f>SUM($J$2:$J1112)</f>
        <v>24024314.899999984</v>
      </c>
      <c r="N1112" s="2">
        <f>SUM($D$2:$D1112)</f>
        <v>6769.8699999999908</v>
      </c>
      <c r="O1112" s="2">
        <f t="shared" si="43"/>
        <v>0.40343961221378744</v>
      </c>
      <c r="P1112" s="2" cm="1">
        <f t="array" ref="P1112">SUMPRODUCT((O1112&gt;$T$9:$T$14)*(O1112&lt;=$U$9:$U$14),$S$9:$S$14)</f>
        <v>4</v>
      </c>
    </row>
    <row r="1113" spans="1:16" x14ac:dyDescent="0.25">
      <c r="A1113">
        <v>795</v>
      </c>
      <c r="B1113">
        <v>421</v>
      </c>
      <c r="C1113">
        <v>24</v>
      </c>
      <c r="D1113">
        <v>4.01</v>
      </c>
      <c r="E1113">
        <v>12850</v>
      </c>
      <c r="F1113">
        <v>0</v>
      </c>
      <c r="G1113">
        <v>12850000</v>
      </c>
      <c r="H1113">
        <v>4</v>
      </c>
      <c r="I1113">
        <v>500</v>
      </c>
      <c r="J1113" s="2">
        <f t="shared" si="42"/>
        <v>2005</v>
      </c>
      <c r="K1113">
        <v>1112</v>
      </c>
      <c r="L1113" s="3">
        <f>SUM($I$2:$I1113)</f>
        <v>6241370</v>
      </c>
      <c r="M1113" s="3">
        <f>SUM($J$2:$J1113)</f>
        <v>24026319.899999984</v>
      </c>
      <c r="N1113" s="2">
        <f>SUM($D$2:$D1113)</f>
        <v>6773.879999999991</v>
      </c>
      <c r="O1113" s="2">
        <f t="shared" si="43"/>
        <v>0.40367858177228377</v>
      </c>
      <c r="P1113" s="2" cm="1">
        <f t="array" ref="P1113">SUMPRODUCT((O1113&gt;$T$9:$T$14)*(O1113&lt;=$U$9:$U$14),$S$9:$S$14)</f>
        <v>4</v>
      </c>
    </row>
    <row r="1114" spans="1:16" x14ac:dyDescent="0.25">
      <c r="A1114">
        <v>1387</v>
      </c>
      <c r="B1114">
        <v>219</v>
      </c>
      <c r="C1114">
        <v>1332</v>
      </c>
      <c r="D1114">
        <v>2.0699999999999998</v>
      </c>
      <c r="E1114">
        <v>33690</v>
      </c>
      <c r="F1114">
        <v>4.5</v>
      </c>
      <c r="G1114">
        <v>33690045</v>
      </c>
      <c r="H1114">
        <v>62</v>
      </c>
      <c r="I1114">
        <v>500</v>
      </c>
      <c r="J1114" s="2">
        <f t="shared" si="42"/>
        <v>1035</v>
      </c>
      <c r="K1114">
        <v>1113</v>
      </c>
      <c r="L1114" s="3">
        <f>SUM($I$2:$I1114)</f>
        <v>6241870</v>
      </c>
      <c r="M1114" s="3">
        <f>SUM($J$2:$J1114)</f>
        <v>24027354.899999984</v>
      </c>
      <c r="N1114" s="2">
        <f>SUM($D$2:$D1114)</f>
        <v>6775.9499999999907</v>
      </c>
      <c r="O1114" s="2">
        <f t="shared" si="43"/>
        <v>0.40380194012292897</v>
      </c>
      <c r="P1114" s="2" cm="1">
        <f t="array" ref="P1114">SUMPRODUCT((O1114&gt;$T$9:$T$14)*(O1114&lt;=$U$9:$U$14),$S$9:$S$14)</f>
        <v>4</v>
      </c>
    </row>
    <row r="1115" spans="1:16" x14ac:dyDescent="0.25">
      <c r="A1115">
        <v>1002</v>
      </c>
      <c r="B1115">
        <v>628</v>
      </c>
      <c r="C1115">
        <v>301</v>
      </c>
      <c r="D1115">
        <v>26.38</v>
      </c>
      <c r="E1115">
        <v>24500</v>
      </c>
      <c r="F1115">
        <v>0</v>
      </c>
      <c r="G1115">
        <v>24500000</v>
      </c>
      <c r="H1115">
        <v>23</v>
      </c>
      <c r="I1115">
        <v>490</v>
      </c>
      <c r="J1115" s="2">
        <f t="shared" si="42"/>
        <v>12926.199999999999</v>
      </c>
      <c r="K1115">
        <v>1114</v>
      </c>
      <c r="L1115" s="3">
        <f>SUM($I$2:$I1115)</f>
        <v>6242360</v>
      </c>
      <c r="M1115" s="3">
        <f>SUM($J$2:$J1115)</f>
        <v>24040281.099999983</v>
      </c>
      <c r="N1115" s="2">
        <f>SUM($D$2:$D1115)</f>
        <v>6802.3299999999908</v>
      </c>
      <c r="O1115" s="2">
        <f t="shared" si="43"/>
        <v>0.40537401417607916</v>
      </c>
      <c r="P1115" s="2" cm="1">
        <f t="array" ref="P1115">SUMPRODUCT((O1115&gt;$T$9:$T$14)*(O1115&lt;=$U$9:$U$14),$S$9:$S$14)</f>
        <v>4</v>
      </c>
    </row>
    <row r="1116" spans="1:16" x14ac:dyDescent="0.25">
      <c r="A1116">
        <v>989</v>
      </c>
      <c r="B1116">
        <v>615</v>
      </c>
      <c r="C1116">
        <v>284</v>
      </c>
      <c r="D1116">
        <v>24.92</v>
      </c>
      <c r="E1116">
        <v>25690</v>
      </c>
      <c r="F1116">
        <v>9.1999999999999993</v>
      </c>
      <c r="G1116">
        <v>25690092</v>
      </c>
      <c r="H1116">
        <v>26</v>
      </c>
      <c r="I1116">
        <v>490</v>
      </c>
      <c r="J1116" s="2">
        <f t="shared" si="42"/>
        <v>12210.800000000001</v>
      </c>
      <c r="K1116">
        <v>1115</v>
      </c>
      <c r="L1116" s="3">
        <f>SUM($I$2:$I1116)</f>
        <v>6242850</v>
      </c>
      <c r="M1116" s="3">
        <f>SUM($J$2:$J1116)</f>
        <v>24052491.899999984</v>
      </c>
      <c r="N1116" s="2">
        <f>SUM($D$2:$D1116)</f>
        <v>6827.2499999999909</v>
      </c>
      <c r="O1116" s="2">
        <f t="shared" si="43"/>
        <v>0.40685908185631048</v>
      </c>
      <c r="P1116" s="2" cm="1">
        <f t="array" ref="P1116">SUMPRODUCT((O1116&gt;$T$9:$T$14)*(O1116&lt;=$U$9:$U$14),$S$9:$S$14)</f>
        <v>4</v>
      </c>
    </row>
    <row r="1117" spans="1:16" x14ac:dyDescent="0.25">
      <c r="A1117">
        <v>1384</v>
      </c>
      <c r="B1117">
        <v>216</v>
      </c>
      <c r="C1117">
        <v>1329</v>
      </c>
      <c r="D1117">
        <v>18.32</v>
      </c>
      <c r="E1117">
        <v>38680</v>
      </c>
      <c r="F1117">
        <v>0</v>
      </c>
      <c r="G1117">
        <v>38680000</v>
      </c>
      <c r="H1117">
        <v>89</v>
      </c>
      <c r="I1117">
        <v>490</v>
      </c>
      <c r="J1117" s="2">
        <f t="shared" si="42"/>
        <v>8976.7999999999993</v>
      </c>
      <c r="K1117">
        <v>1116</v>
      </c>
      <c r="L1117" s="3">
        <f>SUM($I$2:$I1117)</f>
        <v>6243340</v>
      </c>
      <c r="M1117" s="3">
        <f>SUM($J$2:$J1117)</f>
        <v>24061468.699999984</v>
      </c>
      <c r="N1117" s="2">
        <f>SUM($D$2:$D1117)</f>
        <v>6845.5699999999906</v>
      </c>
      <c r="O1117" s="2">
        <f t="shared" si="43"/>
        <v>0.40795083305622365</v>
      </c>
      <c r="P1117" s="2" cm="1">
        <f t="array" ref="P1117">SUMPRODUCT((O1117&gt;$T$9:$T$14)*(O1117&lt;=$U$9:$U$14),$S$9:$S$14)</f>
        <v>4</v>
      </c>
    </row>
    <row r="1118" spans="1:16" x14ac:dyDescent="0.25">
      <c r="A1118">
        <v>1009</v>
      </c>
      <c r="B1118">
        <v>635</v>
      </c>
      <c r="C1118">
        <v>309</v>
      </c>
      <c r="D1118">
        <v>16.96</v>
      </c>
      <c r="E1118">
        <v>24070</v>
      </c>
      <c r="F1118">
        <v>2.2000000000000002</v>
      </c>
      <c r="G1118">
        <v>24070022</v>
      </c>
      <c r="H1118">
        <v>21</v>
      </c>
      <c r="I1118">
        <v>490</v>
      </c>
      <c r="J1118" s="2">
        <f t="shared" si="42"/>
        <v>8310.4</v>
      </c>
      <c r="K1118">
        <v>1117</v>
      </c>
      <c r="L1118" s="3">
        <f>SUM($I$2:$I1118)</f>
        <v>6243830</v>
      </c>
      <c r="M1118" s="3">
        <f>SUM($J$2:$J1118)</f>
        <v>24069779.099999983</v>
      </c>
      <c r="N1118" s="2">
        <f>SUM($D$2:$D1118)</f>
        <v>6862.5299999999907</v>
      </c>
      <c r="O1118" s="2">
        <f t="shared" si="43"/>
        <v>0.40896153722382894</v>
      </c>
      <c r="P1118" s="2" cm="1">
        <f t="array" ref="P1118">SUMPRODUCT((O1118&gt;$T$9:$T$14)*(O1118&lt;=$U$9:$U$14),$S$9:$S$14)</f>
        <v>4</v>
      </c>
    </row>
    <row r="1119" spans="1:16" x14ac:dyDescent="0.25">
      <c r="A1119">
        <v>1301</v>
      </c>
      <c r="B1119">
        <v>133</v>
      </c>
      <c r="C1119">
        <v>1221</v>
      </c>
      <c r="D1119">
        <v>15.58</v>
      </c>
      <c r="E1119">
        <v>40270</v>
      </c>
      <c r="F1119">
        <v>0</v>
      </c>
      <c r="G1119">
        <v>40270000</v>
      </c>
      <c r="H1119">
        <v>101</v>
      </c>
      <c r="I1119">
        <v>490</v>
      </c>
      <c r="J1119" s="2">
        <f t="shared" si="42"/>
        <v>7634.2</v>
      </c>
      <c r="K1119">
        <v>1118</v>
      </c>
      <c r="L1119" s="3">
        <f>SUM($I$2:$I1119)</f>
        <v>6244320</v>
      </c>
      <c r="M1119" s="3">
        <f>SUM($J$2:$J1119)</f>
        <v>24077413.299999982</v>
      </c>
      <c r="N1119" s="2">
        <f>SUM($D$2:$D1119)</f>
        <v>6878.1099999999906</v>
      </c>
      <c r="O1119" s="2">
        <f t="shared" si="43"/>
        <v>0.40989000249100405</v>
      </c>
      <c r="P1119" s="2" cm="1">
        <f t="array" ref="P1119">SUMPRODUCT((O1119&gt;$T$9:$T$14)*(O1119&lt;=$U$9:$U$14),$S$9:$S$14)</f>
        <v>4</v>
      </c>
    </row>
    <row r="1120" spans="1:16" x14ac:dyDescent="0.25">
      <c r="A1120">
        <v>523</v>
      </c>
      <c r="B1120">
        <v>1310</v>
      </c>
      <c r="C1120">
        <v>724</v>
      </c>
      <c r="D1120">
        <v>12.73</v>
      </c>
      <c r="E1120">
        <v>20040</v>
      </c>
      <c r="F1120">
        <v>1.1000000000000001</v>
      </c>
      <c r="G1120">
        <v>20040011</v>
      </c>
      <c r="H1120">
        <v>15</v>
      </c>
      <c r="I1120">
        <v>490</v>
      </c>
      <c r="J1120" s="2">
        <f t="shared" si="42"/>
        <v>6237.7</v>
      </c>
      <c r="K1120">
        <v>1119</v>
      </c>
      <c r="L1120" s="3">
        <f>SUM($I$2:$I1120)</f>
        <v>6244810</v>
      </c>
      <c r="M1120" s="3">
        <f>SUM($J$2:$J1120)</f>
        <v>24083650.999999981</v>
      </c>
      <c r="N1120" s="2">
        <f>SUM($D$2:$D1120)</f>
        <v>6890.8399999999901</v>
      </c>
      <c r="O1120" s="2">
        <f t="shared" si="43"/>
        <v>0.41064862655076906</v>
      </c>
      <c r="P1120" s="2" cm="1">
        <f t="array" ref="P1120">SUMPRODUCT((O1120&gt;$T$9:$T$14)*(O1120&lt;=$U$9:$U$14),$S$9:$S$14)</f>
        <v>4</v>
      </c>
    </row>
    <row r="1121" spans="1:16" x14ac:dyDescent="0.25">
      <c r="A1121">
        <v>1345</v>
      </c>
      <c r="B1121">
        <v>177</v>
      </c>
      <c r="C1121">
        <v>1274</v>
      </c>
      <c r="D1121">
        <v>11.75</v>
      </c>
      <c r="E1121">
        <v>38670</v>
      </c>
      <c r="F1121">
        <v>0.6</v>
      </c>
      <c r="G1121">
        <v>38670006</v>
      </c>
      <c r="H1121">
        <v>89</v>
      </c>
      <c r="I1121">
        <v>490</v>
      </c>
      <c r="J1121" s="2">
        <f t="shared" si="42"/>
        <v>5757.5</v>
      </c>
      <c r="K1121">
        <v>1120</v>
      </c>
      <c r="L1121" s="3">
        <f>SUM($I$2:$I1121)</f>
        <v>6245300</v>
      </c>
      <c r="M1121" s="3">
        <f>SUM($J$2:$J1121)</f>
        <v>24089408.499999981</v>
      </c>
      <c r="N1121" s="2">
        <f>SUM($D$2:$D1121)</f>
        <v>6902.5899999999901</v>
      </c>
      <c r="O1121" s="2">
        <f t="shared" si="43"/>
        <v>0.41134884907254748</v>
      </c>
      <c r="P1121" s="2" cm="1">
        <f t="array" ref="P1121">SUMPRODUCT((O1121&gt;$T$9:$T$14)*(O1121&lt;=$U$9:$U$14),$S$9:$S$14)</f>
        <v>4</v>
      </c>
    </row>
    <row r="1122" spans="1:16" x14ac:dyDescent="0.25">
      <c r="A1122">
        <v>1205</v>
      </c>
      <c r="B1122">
        <v>37</v>
      </c>
      <c r="C1122">
        <v>1092</v>
      </c>
      <c r="D1122">
        <v>11.01</v>
      </c>
      <c r="E1122">
        <v>29185</v>
      </c>
      <c r="F1122">
        <v>0</v>
      </c>
      <c r="G1122">
        <v>29185000</v>
      </c>
      <c r="H1122">
        <v>40</v>
      </c>
      <c r="I1122">
        <v>490</v>
      </c>
      <c r="J1122" s="2">
        <f t="shared" si="42"/>
        <v>5394.9</v>
      </c>
      <c r="K1122">
        <v>1121</v>
      </c>
      <c r="L1122" s="3">
        <f>SUM($I$2:$I1122)</f>
        <v>6245790</v>
      </c>
      <c r="M1122" s="3">
        <f>SUM($J$2:$J1122)</f>
        <v>24094803.39999998</v>
      </c>
      <c r="N1122" s="2">
        <f>SUM($D$2:$D1122)</f>
        <v>6913.5999999999904</v>
      </c>
      <c r="O1122" s="2">
        <f t="shared" si="43"/>
        <v>0.41200497247380541</v>
      </c>
      <c r="P1122" s="2" cm="1">
        <f t="array" ref="P1122">SUMPRODUCT((O1122&gt;$T$9:$T$14)*(O1122&lt;=$U$9:$U$14),$S$9:$S$14)</f>
        <v>4</v>
      </c>
    </row>
    <row r="1123" spans="1:16" x14ac:dyDescent="0.25">
      <c r="A1123">
        <v>1079</v>
      </c>
      <c r="B1123">
        <v>705</v>
      </c>
      <c r="C1123">
        <v>401</v>
      </c>
      <c r="D1123">
        <v>5.95</v>
      </c>
      <c r="E1123">
        <v>22270</v>
      </c>
      <c r="F1123">
        <v>0</v>
      </c>
      <c r="G1123">
        <v>22270000</v>
      </c>
      <c r="H1123" t="s">
        <v>7</v>
      </c>
      <c r="I1123">
        <v>490</v>
      </c>
      <c r="J1123" s="2">
        <f t="shared" si="42"/>
        <v>2915.5</v>
      </c>
      <c r="K1123">
        <v>1122</v>
      </c>
      <c r="L1123" s="3">
        <f>SUM($I$2:$I1123)</f>
        <v>6246280</v>
      </c>
      <c r="M1123" s="3">
        <f>SUM($J$2:$J1123)</f>
        <v>24097718.89999998</v>
      </c>
      <c r="N1123" s="2">
        <f>SUM($D$2:$D1123)</f>
        <v>6919.5499999999902</v>
      </c>
      <c r="O1123" s="2">
        <f t="shared" si="43"/>
        <v>0.41235955324015272</v>
      </c>
      <c r="P1123" s="2" cm="1">
        <f t="array" ref="P1123">SUMPRODUCT((O1123&gt;$T$9:$T$14)*(O1123&lt;=$U$9:$U$14),$S$9:$S$14)</f>
        <v>4</v>
      </c>
    </row>
    <row r="1124" spans="1:16" x14ac:dyDescent="0.25">
      <c r="A1124">
        <v>871</v>
      </c>
      <c r="B1124">
        <v>497</v>
      </c>
      <c r="C1124">
        <v>123</v>
      </c>
      <c r="D1124">
        <v>13.34</v>
      </c>
      <c r="E1124">
        <v>11765</v>
      </c>
      <c r="F1124">
        <v>0</v>
      </c>
      <c r="G1124">
        <v>11765000</v>
      </c>
      <c r="H1124">
        <v>3</v>
      </c>
      <c r="I1124">
        <v>480</v>
      </c>
      <c r="J1124" s="2">
        <f t="shared" si="42"/>
        <v>6403.2</v>
      </c>
      <c r="K1124">
        <v>1123</v>
      </c>
      <c r="L1124" s="3">
        <f>SUM($I$2:$I1124)</f>
        <v>6246760</v>
      </c>
      <c r="M1124" s="3">
        <f>SUM($J$2:$J1124)</f>
        <v>24104122.099999979</v>
      </c>
      <c r="N1124" s="2">
        <f>SUM($D$2:$D1124)</f>
        <v>6932.8899999999903</v>
      </c>
      <c r="O1124" s="2">
        <f t="shared" si="43"/>
        <v>0.41315452927764418</v>
      </c>
      <c r="P1124" s="2" cm="1">
        <f t="array" ref="P1124">SUMPRODUCT((O1124&gt;$T$9:$T$14)*(O1124&lt;=$U$9:$U$14),$S$9:$S$14)</f>
        <v>4</v>
      </c>
    </row>
    <row r="1125" spans="1:16" x14ac:dyDescent="0.25">
      <c r="A1125">
        <v>501</v>
      </c>
      <c r="B1125">
        <v>1288</v>
      </c>
      <c r="C1125">
        <v>689</v>
      </c>
      <c r="D1125">
        <v>10.7</v>
      </c>
      <c r="E1125">
        <v>19470</v>
      </c>
      <c r="F1125">
        <v>5.8</v>
      </c>
      <c r="G1125">
        <v>19470058</v>
      </c>
      <c r="H1125">
        <v>12</v>
      </c>
      <c r="I1125">
        <v>480</v>
      </c>
      <c r="J1125" s="2">
        <f t="shared" si="42"/>
        <v>5136</v>
      </c>
      <c r="K1125">
        <v>1124</v>
      </c>
      <c r="L1125" s="3">
        <f>SUM($I$2:$I1125)</f>
        <v>6247240</v>
      </c>
      <c r="M1125" s="3">
        <f>SUM($J$2:$J1125)</f>
        <v>24109258.099999979</v>
      </c>
      <c r="N1125" s="2">
        <f>SUM($D$2:$D1125)</f>
        <v>6943.5899999999901</v>
      </c>
      <c r="O1125" s="2">
        <f t="shared" si="43"/>
        <v>0.41379217872300833</v>
      </c>
      <c r="P1125" s="2" cm="1">
        <f t="array" ref="P1125">SUMPRODUCT((O1125&gt;$T$9:$T$14)*(O1125&lt;=$U$9:$U$14),$S$9:$S$14)</f>
        <v>4</v>
      </c>
    </row>
    <row r="1126" spans="1:16" x14ac:dyDescent="0.25">
      <c r="A1126">
        <v>1483</v>
      </c>
      <c r="B1126">
        <v>315</v>
      </c>
      <c r="C1126">
        <v>1446</v>
      </c>
      <c r="D1126">
        <v>4.57</v>
      </c>
      <c r="E1126">
        <v>45410</v>
      </c>
      <c r="F1126">
        <v>1.4</v>
      </c>
      <c r="G1126">
        <v>45410014</v>
      </c>
      <c r="H1126">
        <v>138</v>
      </c>
      <c r="I1126">
        <v>480</v>
      </c>
      <c r="J1126" s="2">
        <f t="shared" si="42"/>
        <v>2193.6000000000004</v>
      </c>
      <c r="K1126">
        <v>1125</v>
      </c>
      <c r="L1126" s="3">
        <f>SUM($I$2:$I1126)</f>
        <v>6247720</v>
      </c>
      <c r="M1126" s="3">
        <f>SUM($J$2:$J1126)</f>
        <v>24111451.699999981</v>
      </c>
      <c r="N1126" s="2">
        <f>SUM($D$2:$D1126)</f>
        <v>6948.1599999999899</v>
      </c>
      <c r="O1126" s="2">
        <f t="shared" si="43"/>
        <v>0.41406452058892551</v>
      </c>
      <c r="P1126" s="2" cm="1">
        <f t="array" ref="P1126">SUMPRODUCT((O1126&gt;$T$9:$T$14)*(O1126&lt;=$U$9:$U$14),$S$9:$S$14)</f>
        <v>4</v>
      </c>
    </row>
    <row r="1127" spans="1:16" x14ac:dyDescent="0.25">
      <c r="A1127">
        <v>799</v>
      </c>
      <c r="B1127">
        <v>425</v>
      </c>
      <c r="C1127">
        <v>30</v>
      </c>
      <c r="D1127">
        <v>3.79</v>
      </c>
      <c r="E1127">
        <v>12810</v>
      </c>
      <c r="F1127">
        <v>8.9</v>
      </c>
      <c r="G1127">
        <v>12810089</v>
      </c>
      <c r="H1127">
        <v>4</v>
      </c>
      <c r="I1127">
        <v>480</v>
      </c>
      <c r="J1127" s="2">
        <f t="shared" si="42"/>
        <v>1819.2</v>
      </c>
      <c r="K1127">
        <v>1126</v>
      </c>
      <c r="L1127" s="3">
        <f>SUM($I$2:$I1127)</f>
        <v>6248200</v>
      </c>
      <c r="M1127" s="3">
        <f>SUM($J$2:$J1127)</f>
        <v>24113270.89999998</v>
      </c>
      <c r="N1127" s="2">
        <f>SUM($D$2:$D1127)</f>
        <v>6951.9499999999898</v>
      </c>
      <c r="O1127" s="2">
        <f t="shared" si="43"/>
        <v>0.41429037959807785</v>
      </c>
      <c r="P1127" s="2" cm="1">
        <f t="array" ref="P1127">SUMPRODUCT((O1127&gt;$T$9:$T$14)*(O1127&lt;=$U$9:$U$14),$S$9:$S$14)</f>
        <v>4</v>
      </c>
    </row>
    <row r="1128" spans="1:16" x14ac:dyDescent="0.25">
      <c r="A1128">
        <v>762</v>
      </c>
      <c r="B1128">
        <v>1549</v>
      </c>
      <c r="C1128">
        <v>1018</v>
      </c>
      <c r="D1128">
        <v>0.68</v>
      </c>
      <c r="E1128">
        <v>33180</v>
      </c>
      <c r="F1128">
        <v>0</v>
      </c>
      <c r="G1128">
        <v>33180000</v>
      </c>
      <c r="H1128">
        <v>60</v>
      </c>
      <c r="I1128">
        <v>480</v>
      </c>
      <c r="J1128" s="2">
        <f t="shared" si="42"/>
        <v>326.40000000000003</v>
      </c>
      <c r="K1128">
        <v>1127</v>
      </c>
      <c r="L1128" s="3">
        <f>SUM($I$2:$I1128)</f>
        <v>6248680</v>
      </c>
      <c r="M1128" s="3">
        <f>SUM($J$2:$J1128)</f>
        <v>24113597.299999978</v>
      </c>
      <c r="N1128" s="2">
        <f>SUM($D$2:$D1128)</f>
        <v>6952.6299999999901</v>
      </c>
      <c r="O1128" s="2">
        <f t="shared" si="43"/>
        <v>0.41433090311423187</v>
      </c>
      <c r="P1128" s="2" cm="1">
        <f t="array" ref="P1128">SUMPRODUCT((O1128&gt;$T$9:$T$14)*(O1128&lt;=$U$9:$U$14),$S$9:$S$14)</f>
        <v>4</v>
      </c>
    </row>
    <row r="1129" spans="1:16" x14ac:dyDescent="0.25">
      <c r="A1129">
        <v>1050</v>
      </c>
      <c r="B1129">
        <v>676</v>
      </c>
      <c r="C1129">
        <v>363</v>
      </c>
      <c r="D1129">
        <v>21.68</v>
      </c>
      <c r="E1129">
        <v>14150</v>
      </c>
      <c r="F1129">
        <v>0</v>
      </c>
      <c r="G1129">
        <v>14150000</v>
      </c>
      <c r="H1129">
        <v>7</v>
      </c>
      <c r="I1129">
        <v>470</v>
      </c>
      <c r="J1129" s="2">
        <f t="shared" si="42"/>
        <v>10189.6</v>
      </c>
      <c r="K1129">
        <v>1128</v>
      </c>
      <c r="L1129" s="3">
        <f>SUM($I$2:$I1129)</f>
        <v>6249150</v>
      </c>
      <c r="M1129" s="3">
        <f>SUM($J$2:$J1129)</f>
        <v>24123786.89999998</v>
      </c>
      <c r="N1129" s="2">
        <f>SUM($D$2:$D1129)</f>
        <v>6974.3099999999904</v>
      </c>
      <c r="O1129" s="2">
        <f t="shared" si="43"/>
        <v>0.41562288815867071</v>
      </c>
      <c r="P1129" s="2" cm="1">
        <f t="array" ref="P1129">SUMPRODUCT((O1129&gt;$T$9:$T$14)*(O1129&lt;=$U$9:$U$14),$S$9:$S$14)</f>
        <v>4</v>
      </c>
    </row>
    <row r="1130" spans="1:16" x14ac:dyDescent="0.25">
      <c r="A1130">
        <v>1511</v>
      </c>
      <c r="B1130">
        <v>343</v>
      </c>
      <c r="C1130">
        <v>1483</v>
      </c>
      <c r="D1130">
        <v>17.25</v>
      </c>
      <c r="E1130">
        <v>42730</v>
      </c>
      <c r="F1130">
        <v>13.7</v>
      </c>
      <c r="G1130">
        <v>42730137</v>
      </c>
      <c r="H1130">
        <v>118</v>
      </c>
      <c r="I1130">
        <v>470</v>
      </c>
      <c r="J1130" s="2">
        <f t="shared" si="42"/>
        <v>8107.5</v>
      </c>
      <c r="K1130">
        <v>1129</v>
      </c>
      <c r="L1130" s="3">
        <f>SUM($I$2:$I1130)</f>
        <v>6249620</v>
      </c>
      <c r="M1130" s="3">
        <f>SUM($J$2:$J1130)</f>
        <v>24131894.39999998</v>
      </c>
      <c r="N1130" s="2">
        <f>SUM($D$2:$D1130)</f>
        <v>6991.5599999999904</v>
      </c>
      <c r="O1130" s="2">
        <f t="shared" si="43"/>
        <v>0.41665087441404752</v>
      </c>
      <c r="P1130" s="2" cm="1">
        <f t="array" ref="P1130">SUMPRODUCT((O1130&gt;$T$9:$T$14)*(O1130&lt;=$U$9:$U$14),$S$9:$S$14)</f>
        <v>4</v>
      </c>
    </row>
    <row r="1131" spans="1:16" x14ac:dyDescent="0.25">
      <c r="A1131">
        <v>1371</v>
      </c>
      <c r="B1131">
        <v>203</v>
      </c>
      <c r="C1131">
        <v>1309</v>
      </c>
      <c r="D1131">
        <v>5.71</v>
      </c>
      <c r="E1131">
        <v>33720</v>
      </c>
      <c r="F1131">
        <v>0</v>
      </c>
      <c r="G1131">
        <v>33720000</v>
      </c>
      <c r="H1131">
        <v>62</v>
      </c>
      <c r="I1131">
        <v>470</v>
      </c>
      <c r="J1131" s="2">
        <f t="shared" si="42"/>
        <v>2683.7</v>
      </c>
      <c r="K1131">
        <v>1130</v>
      </c>
      <c r="L1131" s="3">
        <f>SUM($I$2:$I1131)</f>
        <v>6250090</v>
      </c>
      <c r="M1131" s="3">
        <f>SUM($J$2:$J1131)</f>
        <v>24134578.099999979</v>
      </c>
      <c r="N1131" s="2">
        <f>SUM($D$2:$D1131)</f>
        <v>6997.2699999999904</v>
      </c>
      <c r="O1131" s="2">
        <f t="shared" si="43"/>
        <v>0.41699115276292875</v>
      </c>
      <c r="P1131" s="2" cm="1">
        <f t="array" ref="P1131">SUMPRODUCT((O1131&gt;$T$9:$T$14)*(O1131&lt;=$U$9:$U$14),$S$9:$S$14)</f>
        <v>4</v>
      </c>
    </row>
    <row r="1132" spans="1:16" x14ac:dyDescent="0.25">
      <c r="A1132">
        <v>1517</v>
      </c>
      <c r="B1132">
        <v>349</v>
      </c>
      <c r="C1132">
        <v>1488</v>
      </c>
      <c r="D1132">
        <v>4.7699999999999996</v>
      </c>
      <c r="E1132">
        <v>42700</v>
      </c>
      <c r="F1132">
        <v>0.7</v>
      </c>
      <c r="G1132">
        <v>42700007</v>
      </c>
      <c r="H1132">
        <v>118</v>
      </c>
      <c r="I1132">
        <v>470</v>
      </c>
      <c r="J1132" s="2">
        <f t="shared" si="42"/>
        <v>2241.8999999999996</v>
      </c>
      <c r="K1132">
        <v>1131</v>
      </c>
      <c r="L1132" s="3">
        <f>SUM($I$2:$I1132)</f>
        <v>6250560</v>
      </c>
      <c r="M1132" s="3">
        <f>SUM($J$2:$J1132)</f>
        <v>24136819.999999978</v>
      </c>
      <c r="N1132" s="2">
        <f>SUM($D$2:$D1132)</f>
        <v>7002.0399999999909</v>
      </c>
      <c r="O1132" s="2">
        <f t="shared" si="43"/>
        <v>0.41727541331006779</v>
      </c>
      <c r="P1132" s="2" cm="1">
        <f t="array" ref="P1132">SUMPRODUCT((O1132&gt;$T$9:$T$14)*(O1132&lt;=$U$9:$U$14),$S$9:$S$14)</f>
        <v>4</v>
      </c>
    </row>
    <row r="1133" spans="1:16" x14ac:dyDescent="0.25">
      <c r="A1133">
        <v>1185</v>
      </c>
      <c r="B1133">
        <v>17</v>
      </c>
      <c r="C1133">
        <v>1068</v>
      </c>
      <c r="D1133">
        <v>3.11</v>
      </c>
      <c r="E1133">
        <v>29680</v>
      </c>
      <c r="F1133">
        <v>0.8</v>
      </c>
      <c r="G1133">
        <v>29680008</v>
      </c>
      <c r="H1133">
        <v>41</v>
      </c>
      <c r="I1133">
        <v>470</v>
      </c>
      <c r="J1133" s="2">
        <f t="shared" si="42"/>
        <v>1461.7</v>
      </c>
      <c r="K1133">
        <v>1132</v>
      </c>
      <c r="L1133" s="3">
        <f>SUM($I$2:$I1133)</f>
        <v>6251030</v>
      </c>
      <c r="M1133" s="3">
        <f>SUM($J$2:$J1133)</f>
        <v>24138281.699999977</v>
      </c>
      <c r="N1133" s="2">
        <f>SUM($D$2:$D1133)</f>
        <v>7005.1499999999905</v>
      </c>
      <c r="O1133" s="2">
        <f t="shared" si="43"/>
        <v>0.41746074880306611</v>
      </c>
      <c r="P1133" s="2" cm="1">
        <f t="array" ref="P1133">SUMPRODUCT((O1133&gt;$T$9:$T$14)*(O1133&lt;=$U$9:$U$14),$S$9:$S$14)</f>
        <v>4</v>
      </c>
    </row>
    <row r="1134" spans="1:16" x14ac:dyDescent="0.25">
      <c r="A1134">
        <v>463</v>
      </c>
      <c r="B1134">
        <v>1250</v>
      </c>
      <c r="C1134">
        <v>644</v>
      </c>
      <c r="D1134">
        <v>16.010000000000002</v>
      </c>
      <c r="E1134">
        <v>24060</v>
      </c>
      <c r="F1134">
        <v>0</v>
      </c>
      <c r="G1134">
        <v>24060000</v>
      </c>
      <c r="H1134">
        <v>21</v>
      </c>
      <c r="I1134">
        <v>460</v>
      </c>
      <c r="J1134" s="2">
        <f t="shared" si="42"/>
        <v>7364.6</v>
      </c>
      <c r="K1134">
        <v>1133</v>
      </c>
      <c r="L1134" s="3">
        <f>SUM($I$2:$I1134)</f>
        <v>6251490</v>
      </c>
      <c r="M1134" s="3">
        <f>SUM($J$2:$J1134)</f>
        <v>24145646.299999978</v>
      </c>
      <c r="N1134" s="2">
        <f>SUM($D$2:$D1134)</f>
        <v>7021.1599999999908</v>
      </c>
      <c r="O1134" s="2">
        <f t="shared" si="43"/>
        <v>0.41841483923486805</v>
      </c>
      <c r="P1134" s="2" cm="1">
        <f t="array" ref="P1134">SUMPRODUCT((O1134&gt;$T$9:$T$14)*(O1134&lt;=$U$9:$U$14),$S$9:$S$14)</f>
        <v>4</v>
      </c>
    </row>
    <row r="1135" spans="1:16" x14ac:dyDescent="0.25">
      <c r="A1135">
        <v>794</v>
      </c>
      <c r="B1135">
        <v>420</v>
      </c>
      <c r="C1135">
        <v>23</v>
      </c>
      <c r="D1135">
        <v>15.26</v>
      </c>
      <c r="E1135">
        <v>12850</v>
      </c>
      <c r="F1135">
        <v>4</v>
      </c>
      <c r="G1135">
        <v>12850040</v>
      </c>
      <c r="H1135">
        <v>4</v>
      </c>
      <c r="I1135">
        <v>460</v>
      </c>
      <c r="J1135" s="2">
        <f t="shared" si="42"/>
        <v>7019.5999999999995</v>
      </c>
      <c r="K1135">
        <v>1134</v>
      </c>
      <c r="L1135" s="3">
        <f>SUM($I$2:$I1135)</f>
        <v>6251950</v>
      </c>
      <c r="M1135" s="3">
        <f>SUM($J$2:$J1135)</f>
        <v>24152665.89999998</v>
      </c>
      <c r="N1135" s="2">
        <f>SUM($D$2:$D1135)</f>
        <v>7036.419999999991</v>
      </c>
      <c r="O1135" s="2">
        <f t="shared" si="43"/>
        <v>0.41932423461208834</v>
      </c>
      <c r="P1135" s="2" cm="1">
        <f t="array" ref="P1135">SUMPRODUCT((O1135&gt;$T$9:$T$14)*(O1135&lt;=$U$9:$U$14),$S$9:$S$14)</f>
        <v>4</v>
      </c>
    </row>
    <row r="1136" spans="1:16" x14ac:dyDescent="0.25">
      <c r="A1136">
        <v>1086</v>
      </c>
      <c r="B1136">
        <v>712</v>
      </c>
      <c r="C1136">
        <v>413</v>
      </c>
      <c r="D1136">
        <v>11.85</v>
      </c>
      <c r="E1136">
        <v>15980</v>
      </c>
      <c r="F1136">
        <v>1.4</v>
      </c>
      <c r="G1136">
        <v>15980014</v>
      </c>
      <c r="H1136">
        <v>8</v>
      </c>
      <c r="I1136">
        <v>460</v>
      </c>
      <c r="J1136" s="2">
        <f t="shared" si="42"/>
        <v>5451</v>
      </c>
      <c r="K1136">
        <v>1135</v>
      </c>
      <c r="L1136" s="3">
        <f>SUM($I$2:$I1136)</f>
        <v>6252410</v>
      </c>
      <c r="M1136" s="3">
        <f>SUM($J$2:$J1136)</f>
        <v>24158116.89999998</v>
      </c>
      <c r="N1136" s="2">
        <f>SUM($D$2:$D1136)</f>
        <v>7048.2699999999913</v>
      </c>
      <c r="O1136" s="2">
        <f t="shared" si="43"/>
        <v>0.42003041647447764</v>
      </c>
      <c r="P1136" s="2" cm="1">
        <f t="array" ref="P1136">SUMPRODUCT((O1136&gt;$T$9:$T$14)*(O1136&lt;=$U$9:$U$14),$S$9:$S$14)</f>
        <v>4</v>
      </c>
    </row>
    <row r="1137" spans="1:16" x14ac:dyDescent="0.25">
      <c r="A1137">
        <v>1508</v>
      </c>
      <c r="B1137">
        <v>340</v>
      </c>
      <c r="C1137">
        <v>1479</v>
      </c>
      <c r="D1137">
        <v>8.9499999999999993</v>
      </c>
      <c r="E1137">
        <v>43705</v>
      </c>
      <c r="F1137">
        <v>10.4</v>
      </c>
      <c r="G1137">
        <v>43705104</v>
      </c>
      <c r="H1137">
        <v>124</v>
      </c>
      <c r="I1137">
        <v>460</v>
      </c>
      <c r="J1137" s="2">
        <f t="shared" si="42"/>
        <v>4117</v>
      </c>
      <c r="K1137">
        <v>1136</v>
      </c>
      <c r="L1137" s="3">
        <f>SUM($I$2:$I1137)</f>
        <v>6252870</v>
      </c>
      <c r="M1137" s="3">
        <f>SUM($J$2:$J1137)</f>
        <v>24162233.89999998</v>
      </c>
      <c r="N1137" s="2">
        <f>SUM($D$2:$D1137)</f>
        <v>7057.2199999999912</v>
      </c>
      <c r="O1137" s="2">
        <f t="shared" si="43"/>
        <v>0.42056377745915141</v>
      </c>
      <c r="P1137" s="2" cm="1">
        <f t="array" ref="P1137">SUMPRODUCT((O1137&gt;$T$9:$T$14)*(O1137&lt;=$U$9:$U$14),$S$9:$S$14)</f>
        <v>4</v>
      </c>
    </row>
    <row r="1138" spans="1:16" x14ac:dyDescent="0.25">
      <c r="A1138">
        <v>1193</v>
      </c>
      <c r="B1138">
        <v>25</v>
      </c>
      <c r="C1138">
        <v>1078</v>
      </c>
      <c r="D1138">
        <v>7.44</v>
      </c>
      <c r="E1138">
        <v>29570</v>
      </c>
      <c r="F1138">
        <v>11</v>
      </c>
      <c r="G1138">
        <v>29570110</v>
      </c>
      <c r="H1138">
        <v>41</v>
      </c>
      <c r="I1138">
        <v>460</v>
      </c>
      <c r="J1138" s="2">
        <f t="shared" si="42"/>
        <v>3422.4</v>
      </c>
      <c r="K1138">
        <v>1137</v>
      </c>
      <c r="L1138" s="3">
        <f>SUM($I$2:$I1138)</f>
        <v>6253330</v>
      </c>
      <c r="M1138" s="3">
        <f>SUM($J$2:$J1138)</f>
        <v>24165656.299999978</v>
      </c>
      <c r="N1138" s="2">
        <f>SUM($D$2:$D1138)</f>
        <v>7064.6599999999908</v>
      </c>
      <c r="O1138" s="2">
        <f t="shared" si="43"/>
        <v>0.42100715240060088</v>
      </c>
      <c r="P1138" s="2" cm="1">
        <f t="array" ref="P1138">SUMPRODUCT((O1138&gt;$T$9:$T$14)*(O1138&lt;=$U$9:$U$14),$S$9:$S$14)</f>
        <v>4</v>
      </c>
    </row>
    <row r="1139" spans="1:16" x14ac:dyDescent="0.25">
      <c r="A1139">
        <v>1207</v>
      </c>
      <c r="B1139">
        <v>39</v>
      </c>
      <c r="C1139">
        <v>1094</v>
      </c>
      <c r="D1139">
        <v>6.85</v>
      </c>
      <c r="E1139">
        <v>29168</v>
      </c>
      <c r="F1139">
        <v>0</v>
      </c>
      <c r="G1139">
        <v>29168000</v>
      </c>
      <c r="H1139">
        <v>40</v>
      </c>
      <c r="I1139">
        <v>460</v>
      </c>
      <c r="J1139" s="2">
        <f t="shared" si="42"/>
        <v>3151</v>
      </c>
      <c r="K1139">
        <v>1138</v>
      </c>
      <c r="L1139" s="3">
        <f>SUM($I$2:$I1139)</f>
        <v>6253790</v>
      </c>
      <c r="M1139" s="3">
        <f>SUM($J$2:$J1139)</f>
        <v>24168807.299999978</v>
      </c>
      <c r="N1139" s="2">
        <f>SUM($D$2:$D1139)</f>
        <v>7071.5099999999911</v>
      </c>
      <c r="O1139" s="2">
        <f t="shared" si="43"/>
        <v>0.42141536723244616</v>
      </c>
      <c r="P1139" s="2" cm="1">
        <f t="array" ref="P1139">SUMPRODUCT((O1139&gt;$T$9:$T$14)*(O1139&lt;=$U$9:$U$14),$S$9:$S$14)</f>
        <v>4</v>
      </c>
    </row>
    <row r="1140" spans="1:16" x14ac:dyDescent="0.25">
      <c r="A1140">
        <v>533</v>
      </c>
      <c r="B1140">
        <v>1320</v>
      </c>
      <c r="C1140">
        <v>738</v>
      </c>
      <c r="D1140">
        <v>6.14</v>
      </c>
      <c r="E1140">
        <v>16270</v>
      </c>
      <c r="F1140">
        <v>0</v>
      </c>
      <c r="G1140">
        <v>16270000</v>
      </c>
      <c r="H1140">
        <v>9</v>
      </c>
      <c r="I1140">
        <v>460</v>
      </c>
      <c r="J1140" s="2">
        <f t="shared" si="42"/>
        <v>2824.3999999999996</v>
      </c>
      <c r="K1140">
        <v>1139</v>
      </c>
      <c r="L1140" s="3">
        <f>SUM($I$2:$I1140)</f>
        <v>6254250</v>
      </c>
      <c r="M1140" s="3">
        <f>SUM($J$2:$J1140)</f>
        <v>24171631.699999977</v>
      </c>
      <c r="N1140" s="2">
        <f>SUM($D$2:$D1140)</f>
        <v>7077.6499999999915</v>
      </c>
      <c r="O1140" s="2">
        <f t="shared" si="43"/>
        <v>0.42178127074595423</v>
      </c>
      <c r="P1140" s="2" cm="1">
        <f t="array" ref="P1140">SUMPRODUCT((O1140&gt;$T$9:$T$14)*(O1140&lt;=$U$9:$U$14),$S$9:$S$14)</f>
        <v>4</v>
      </c>
    </row>
    <row r="1141" spans="1:16" x14ac:dyDescent="0.25">
      <c r="A1141">
        <v>1343</v>
      </c>
      <c r="B1141">
        <v>175</v>
      </c>
      <c r="C1141">
        <v>1270</v>
      </c>
      <c r="D1141">
        <v>4.97</v>
      </c>
      <c r="E1141">
        <v>34120</v>
      </c>
      <c r="F1141">
        <v>0</v>
      </c>
      <c r="G1141">
        <v>34120000</v>
      </c>
      <c r="H1141">
        <v>63</v>
      </c>
      <c r="I1141">
        <v>460</v>
      </c>
      <c r="J1141" s="2">
        <f t="shared" si="42"/>
        <v>2286.1999999999998</v>
      </c>
      <c r="K1141">
        <v>1140</v>
      </c>
      <c r="L1141" s="3">
        <f>SUM($I$2:$I1141)</f>
        <v>6254710</v>
      </c>
      <c r="M1141" s="3">
        <f>SUM($J$2:$J1141)</f>
        <v>24173917.899999976</v>
      </c>
      <c r="N1141" s="2">
        <f>SUM($D$2:$D1141)</f>
        <v>7082.6199999999917</v>
      </c>
      <c r="O1141" s="2">
        <f t="shared" si="43"/>
        <v>0.42207744997431501</v>
      </c>
      <c r="P1141" s="2" cm="1">
        <f t="array" ref="P1141">SUMPRODUCT((O1141&gt;$T$9:$T$14)*(O1141&lt;=$U$9:$U$14),$S$9:$S$14)</f>
        <v>4</v>
      </c>
    </row>
    <row r="1142" spans="1:16" x14ac:dyDescent="0.25">
      <c r="A1142">
        <v>1232</v>
      </c>
      <c r="B1142">
        <v>64</v>
      </c>
      <c r="C1142">
        <v>1125</v>
      </c>
      <c r="D1142">
        <v>3.34</v>
      </c>
      <c r="E1142">
        <v>27890</v>
      </c>
      <c r="F1142">
        <v>3.2</v>
      </c>
      <c r="G1142">
        <v>27890032</v>
      </c>
      <c r="H1142">
        <v>35</v>
      </c>
      <c r="I1142">
        <v>460</v>
      </c>
      <c r="J1142" s="2">
        <f t="shared" si="42"/>
        <v>1536.3999999999999</v>
      </c>
      <c r="K1142">
        <v>1141</v>
      </c>
      <c r="L1142" s="3">
        <f>SUM($I$2:$I1142)</f>
        <v>6255170</v>
      </c>
      <c r="M1142" s="3">
        <f>SUM($J$2:$J1142)</f>
        <v>24175454.299999975</v>
      </c>
      <c r="N1142" s="2">
        <f>SUM($D$2:$D1142)</f>
        <v>7085.9599999999919</v>
      </c>
      <c r="O1142" s="2">
        <f t="shared" si="43"/>
        <v>0.42227649195071842</v>
      </c>
      <c r="P1142" s="2" cm="1">
        <f t="array" ref="P1142">SUMPRODUCT((O1142&gt;$T$9:$T$14)*(O1142&lt;=$U$9:$U$14),$S$9:$S$14)</f>
        <v>4</v>
      </c>
    </row>
    <row r="1143" spans="1:16" x14ac:dyDescent="0.25">
      <c r="A1143">
        <v>1261</v>
      </c>
      <c r="B1143">
        <v>93</v>
      </c>
      <c r="C1143">
        <v>1163</v>
      </c>
      <c r="D1143">
        <v>2.0299999999999998</v>
      </c>
      <c r="E1143">
        <v>40510</v>
      </c>
      <c r="F1143">
        <v>9.1</v>
      </c>
      <c r="G1143">
        <v>40510091</v>
      </c>
      <c r="H1143">
        <v>101</v>
      </c>
      <c r="I1143">
        <v>460</v>
      </c>
      <c r="J1143" s="2">
        <f t="shared" si="42"/>
        <v>933.8</v>
      </c>
      <c r="K1143">
        <v>1142</v>
      </c>
      <c r="L1143" s="3">
        <f>SUM($I$2:$I1143)</f>
        <v>6255630</v>
      </c>
      <c r="M1143" s="3">
        <f>SUM($J$2:$J1143)</f>
        <v>24176388.099999975</v>
      </c>
      <c r="N1143" s="2">
        <f>SUM($D$2:$D1143)</f>
        <v>7087.9899999999916</v>
      </c>
      <c r="O1143" s="2">
        <f t="shared" si="43"/>
        <v>0.42239746656511923</v>
      </c>
      <c r="P1143" s="2" cm="1">
        <f t="array" ref="P1143">SUMPRODUCT((O1143&gt;$T$9:$T$14)*(O1143&lt;=$U$9:$U$14),$S$9:$S$14)</f>
        <v>4</v>
      </c>
    </row>
    <row r="1144" spans="1:16" x14ac:dyDescent="0.25">
      <c r="A1144">
        <v>423</v>
      </c>
      <c r="B1144">
        <v>1210</v>
      </c>
      <c r="C1144">
        <v>588</v>
      </c>
      <c r="D1144">
        <v>26.65</v>
      </c>
      <c r="E1144">
        <v>26280</v>
      </c>
      <c r="F1144">
        <v>0</v>
      </c>
      <c r="G1144">
        <v>26280000</v>
      </c>
      <c r="H1144">
        <v>28</v>
      </c>
      <c r="I1144">
        <v>450</v>
      </c>
      <c r="J1144" s="2">
        <f t="shared" si="42"/>
        <v>11992.5</v>
      </c>
      <c r="K1144">
        <v>1143</v>
      </c>
      <c r="L1144" s="3">
        <f>SUM($I$2:$I1144)</f>
        <v>6256080</v>
      </c>
      <c r="M1144" s="3">
        <f>SUM($J$2:$J1144)</f>
        <v>24188380.599999975</v>
      </c>
      <c r="N1144" s="2">
        <f>SUM($D$2:$D1144)</f>
        <v>7114.6399999999912</v>
      </c>
      <c r="O1144" s="2">
        <f t="shared" si="43"/>
        <v>0.42398563083791879</v>
      </c>
      <c r="P1144" s="2" cm="1">
        <f t="array" ref="P1144">SUMPRODUCT((O1144&gt;$T$9:$T$14)*(O1144&lt;=$U$9:$U$14),$S$9:$S$14)</f>
        <v>4</v>
      </c>
    </row>
    <row r="1145" spans="1:16" x14ac:dyDescent="0.25">
      <c r="A1145">
        <v>693</v>
      </c>
      <c r="B1145">
        <v>1480</v>
      </c>
      <c r="C1145">
        <v>932</v>
      </c>
      <c r="D1145">
        <v>10.41</v>
      </c>
      <c r="E1145">
        <v>14084</v>
      </c>
      <c r="F1145">
        <v>0</v>
      </c>
      <c r="G1145">
        <v>14084000</v>
      </c>
      <c r="H1145">
        <v>7</v>
      </c>
      <c r="I1145">
        <v>450</v>
      </c>
      <c r="J1145" s="2">
        <f t="shared" si="42"/>
        <v>4684.5</v>
      </c>
      <c r="K1145">
        <v>1144</v>
      </c>
      <c r="L1145" s="3">
        <f>SUM($I$2:$I1145)</f>
        <v>6256530</v>
      </c>
      <c r="M1145" s="3">
        <f>SUM($J$2:$J1145)</f>
        <v>24193065.099999975</v>
      </c>
      <c r="N1145" s="2">
        <f>SUM($D$2:$D1145)</f>
        <v>7125.0499999999911</v>
      </c>
      <c r="O1145" s="2">
        <f t="shared" si="43"/>
        <v>0.42460599819551137</v>
      </c>
      <c r="P1145" s="2" cm="1">
        <f t="array" ref="P1145">SUMPRODUCT((O1145&gt;$T$9:$T$14)*(O1145&lt;=$U$9:$U$14),$S$9:$S$14)</f>
        <v>4</v>
      </c>
    </row>
    <row r="1146" spans="1:16" x14ac:dyDescent="0.25">
      <c r="A1146">
        <v>623</v>
      </c>
      <c r="B1146">
        <v>1410</v>
      </c>
      <c r="C1146">
        <v>848</v>
      </c>
      <c r="D1146">
        <v>9.06</v>
      </c>
      <c r="E1146">
        <v>24010</v>
      </c>
      <c r="F1146">
        <v>7.3</v>
      </c>
      <c r="G1146">
        <v>24010073</v>
      </c>
      <c r="H1146">
        <v>21</v>
      </c>
      <c r="I1146">
        <v>450</v>
      </c>
      <c r="J1146" s="2">
        <f t="shared" si="42"/>
        <v>4077</v>
      </c>
      <c r="K1146">
        <v>1145</v>
      </c>
      <c r="L1146" s="3">
        <f>SUM($I$2:$I1146)</f>
        <v>6256980</v>
      </c>
      <c r="M1146" s="3">
        <f>SUM($J$2:$J1146)</f>
        <v>24197142.099999975</v>
      </c>
      <c r="N1146" s="2">
        <f>SUM($D$2:$D1146)</f>
        <v>7134.1099999999915</v>
      </c>
      <c r="O1146" s="2">
        <f t="shared" si="43"/>
        <v>0.42514591445485717</v>
      </c>
      <c r="P1146" s="2" cm="1">
        <f t="array" ref="P1146">SUMPRODUCT((O1146&gt;$T$9:$T$14)*(O1146&lt;=$U$9:$U$14),$S$9:$S$14)</f>
        <v>4</v>
      </c>
    </row>
    <row r="1147" spans="1:16" x14ac:dyDescent="0.25">
      <c r="A1147">
        <v>1487</v>
      </c>
      <c r="B1147">
        <v>319</v>
      </c>
      <c r="C1147">
        <v>1453</v>
      </c>
      <c r="D1147">
        <v>3.84</v>
      </c>
      <c r="E1147">
        <v>44700</v>
      </c>
      <c r="F1147">
        <v>1.8</v>
      </c>
      <c r="G1147">
        <v>44700018</v>
      </c>
      <c r="H1147">
        <v>132</v>
      </c>
      <c r="I1147">
        <v>450</v>
      </c>
      <c r="J1147" s="2">
        <f t="shared" si="42"/>
        <v>1728</v>
      </c>
      <c r="K1147">
        <v>1146</v>
      </c>
      <c r="L1147" s="3">
        <f>SUM($I$2:$I1147)</f>
        <v>6257430</v>
      </c>
      <c r="M1147" s="3">
        <f>SUM($J$2:$J1147)</f>
        <v>24198870.099999975</v>
      </c>
      <c r="N1147" s="2">
        <f>SUM($D$2:$D1147)</f>
        <v>7137.9499999999916</v>
      </c>
      <c r="O1147" s="2">
        <f t="shared" si="43"/>
        <v>0.42537475313431494</v>
      </c>
      <c r="P1147" s="2" cm="1">
        <f t="array" ref="P1147">SUMPRODUCT((O1147&gt;$T$9:$T$14)*(O1147&lt;=$U$9:$U$14),$S$9:$S$14)</f>
        <v>4</v>
      </c>
    </row>
    <row r="1148" spans="1:16" x14ac:dyDescent="0.25">
      <c r="A1148">
        <v>1836</v>
      </c>
      <c r="B1148">
        <v>1836</v>
      </c>
      <c r="C1148">
        <v>78</v>
      </c>
      <c r="D1148">
        <v>0.5</v>
      </c>
      <c r="E1148">
        <v>12000</v>
      </c>
      <c r="F1148">
        <v>0</v>
      </c>
      <c r="G1148">
        <v>12000000</v>
      </c>
      <c r="H1148">
        <v>3</v>
      </c>
      <c r="I1148">
        <v>450</v>
      </c>
      <c r="J1148" s="2">
        <f t="shared" si="42"/>
        <v>225</v>
      </c>
      <c r="K1148">
        <v>1147</v>
      </c>
      <c r="L1148" s="3">
        <f>SUM($I$2:$I1148)</f>
        <v>6257880</v>
      </c>
      <c r="M1148" s="3">
        <f>SUM($J$2:$J1148)</f>
        <v>24199095.099999975</v>
      </c>
      <c r="N1148" s="2">
        <f>SUM($D$2:$D1148)</f>
        <v>7138.4499999999916</v>
      </c>
      <c r="O1148" s="2">
        <f t="shared" si="43"/>
        <v>0.42540454983736936</v>
      </c>
      <c r="P1148" s="2" cm="1">
        <f t="array" ref="P1148">SUMPRODUCT((O1148&gt;$T$9:$T$14)*(O1148&lt;=$U$9:$U$14),$S$9:$S$14)</f>
        <v>4</v>
      </c>
    </row>
    <row r="1149" spans="1:16" x14ac:dyDescent="0.25">
      <c r="A1149">
        <v>746</v>
      </c>
      <c r="B1149">
        <v>1533</v>
      </c>
      <c r="C1149">
        <v>996</v>
      </c>
      <c r="D1149">
        <v>23.64</v>
      </c>
      <c r="E1149">
        <v>33300</v>
      </c>
      <c r="F1149">
        <v>0</v>
      </c>
      <c r="G1149">
        <v>33300000</v>
      </c>
      <c r="H1149">
        <v>60</v>
      </c>
      <c r="I1149">
        <v>440</v>
      </c>
      <c r="J1149" s="2">
        <f t="shared" si="42"/>
        <v>10401.6</v>
      </c>
      <c r="K1149">
        <v>1148</v>
      </c>
      <c r="L1149" s="3">
        <f>SUM($I$2:$I1149)</f>
        <v>6258320</v>
      </c>
      <c r="M1149" s="3">
        <f>SUM($J$2:$J1149)</f>
        <v>24209496.699999977</v>
      </c>
      <c r="N1149" s="2">
        <f>SUM($D$2:$D1149)</f>
        <v>7162.089999999992</v>
      </c>
      <c r="O1149" s="2">
        <f t="shared" si="43"/>
        <v>0.42681333795778142</v>
      </c>
      <c r="P1149" s="2" cm="1">
        <f t="array" ref="P1149">SUMPRODUCT((O1149&gt;$T$9:$T$14)*(O1149&lt;=$U$9:$U$14),$S$9:$S$14)</f>
        <v>4</v>
      </c>
    </row>
    <row r="1150" spans="1:16" x14ac:dyDescent="0.25">
      <c r="A1150">
        <v>584</v>
      </c>
      <c r="B1150">
        <v>1371</v>
      </c>
      <c r="C1150">
        <v>799</v>
      </c>
      <c r="D1150">
        <v>6.88</v>
      </c>
      <c r="E1150">
        <v>18085</v>
      </c>
      <c r="F1150">
        <v>5.3</v>
      </c>
      <c r="G1150">
        <v>18085053</v>
      </c>
      <c r="H1150">
        <v>11</v>
      </c>
      <c r="I1150">
        <v>440</v>
      </c>
      <c r="J1150" s="2">
        <f t="shared" si="42"/>
        <v>3027.2</v>
      </c>
      <c r="K1150">
        <v>1149</v>
      </c>
      <c r="L1150" s="3">
        <f>SUM($I$2:$I1150)</f>
        <v>6258760</v>
      </c>
      <c r="M1150" s="3">
        <f>SUM($J$2:$J1150)</f>
        <v>24212523.899999976</v>
      </c>
      <c r="N1150" s="2">
        <f>SUM($D$2:$D1150)</f>
        <v>7168.9699999999921</v>
      </c>
      <c r="O1150" s="2">
        <f t="shared" si="43"/>
        <v>0.42722334059181</v>
      </c>
      <c r="P1150" s="2" cm="1">
        <f t="array" ref="P1150">SUMPRODUCT((O1150&gt;$T$9:$T$14)*(O1150&lt;=$U$9:$U$14),$S$9:$S$14)</f>
        <v>4</v>
      </c>
    </row>
    <row r="1151" spans="1:16" x14ac:dyDescent="0.25">
      <c r="A1151">
        <v>1491</v>
      </c>
      <c r="B1151">
        <v>323</v>
      </c>
      <c r="C1151">
        <v>1458</v>
      </c>
      <c r="D1151">
        <v>5.1100000000000003</v>
      </c>
      <c r="E1151">
        <v>44400</v>
      </c>
      <c r="F1151">
        <v>0</v>
      </c>
      <c r="G1151">
        <v>44400000</v>
      </c>
      <c r="H1151">
        <v>130</v>
      </c>
      <c r="I1151">
        <v>440</v>
      </c>
      <c r="J1151" s="2">
        <f t="shared" si="42"/>
        <v>2248.4</v>
      </c>
      <c r="K1151">
        <v>1150</v>
      </c>
      <c r="L1151" s="3">
        <f>SUM($I$2:$I1151)</f>
        <v>6259200</v>
      </c>
      <c r="M1151" s="3">
        <f>SUM($J$2:$J1151)</f>
        <v>24214772.299999975</v>
      </c>
      <c r="N1151" s="2">
        <f>SUM($D$2:$D1151)</f>
        <v>7174.0799999999917</v>
      </c>
      <c r="O1151" s="2">
        <f t="shared" si="43"/>
        <v>0.42752786289702593</v>
      </c>
      <c r="P1151" s="2" cm="1">
        <f t="array" ref="P1151">SUMPRODUCT((O1151&gt;$T$9:$T$14)*(O1151&lt;=$U$9:$U$14),$S$9:$S$14)</f>
        <v>4</v>
      </c>
    </row>
    <row r="1152" spans="1:16" x14ac:dyDescent="0.25">
      <c r="A1152">
        <v>1299</v>
      </c>
      <c r="B1152">
        <v>131</v>
      </c>
      <c r="C1152">
        <v>1218</v>
      </c>
      <c r="D1152">
        <v>3.88</v>
      </c>
      <c r="E1152">
        <v>40300</v>
      </c>
      <c r="F1152">
        <v>1.5</v>
      </c>
      <c r="G1152">
        <v>40300015</v>
      </c>
      <c r="H1152">
        <v>101</v>
      </c>
      <c r="I1152">
        <v>440</v>
      </c>
      <c r="J1152" s="2">
        <f t="shared" si="42"/>
        <v>1707.2</v>
      </c>
      <c r="K1152">
        <v>1151</v>
      </c>
      <c r="L1152" s="3">
        <f>SUM($I$2:$I1152)</f>
        <v>6259640</v>
      </c>
      <c r="M1152" s="3">
        <f>SUM($J$2:$J1152)</f>
        <v>24216479.499999974</v>
      </c>
      <c r="N1152" s="2">
        <f>SUM($D$2:$D1152)</f>
        <v>7177.9599999999919</v>
      </c>
      <c r="O1152" s="2">
        <f t="shared" si="43"/>
        <v>0.4277590853127281</v>
      </c>
      <c r="P1152" s="2" cm="1">
        <f t="array" ref="P1152">SUMPRODUCT((O1152&gt;$T$9:$T$14)*(O1152&lt;=$U$9:$U$14),$S$9:$S$14)</f>
        <v>4</v>
      </c>
    </row>
    <row r="1153" spans="1:16" x14ac:dyDescent="0.25">
      <c r="A1153">
        <v>656</v>
      </c>
      <c r="B1153">
        <v>1443</v>
      </c>
      <c r="C1153">
        <v>887</v>
      </c>
      <c r="D1153">
        <v>1.1000000000000001</v>
      </c>
      <c r="E1153">
        <v>13700</v>
      </c>
      <c r="F1153">
        <v>7.5</v>
      </c>
      <c r="G1153">
        <v>13700075</v>
      </c>
      <c r="H1153">
        <v>6</v>
      </c>
      <c r="I1153">
        <v>440</v>
      </c>
      <c r="J1153" s="2">
        <f t="shared" si="42"/>
        <v>484.00000000000006</v>
      </c>
      <c r="K1153">
        <v>1152</v>
      </c>
      <c r="L1153" s="3">
        <f>SUM($I$2:$I1153)</f>
        <v>6260080</v>
      </c>
      <c r="M1153" s="3">
        <f>SUM($J$2:$J1153)</f>
        <v>24216963.499999974</v>
      </c>
      <c r="N1153" s="2">
        <f>SUM($D$2:$D1153)</f>
        <v>7179.0599999999922</v>
      </c>
      <c r="O1153" s="2">
        <f t="shared" si="43"/>
        <v>0.42782463805944776</v>
      </c>
      <c r="P1153" s="2" cm="1">
        <f t="array" ref="P1153">SUMPRODUCT((O1153&gt;$T$9:$T$14)*(O1153&lt;=$U$9:$U$14),$S$9:$S$14)</f>
        <v>4</v>
      </c>
    </row>
    <row r="1154" spans="1:16" x14ac:dyDescent="0.25">
      <c r="A1154">
        <v>381</v>
      </c>
      <c r="B1154">
        <v>1176</v>
      </c>
      <c r="C1154">
        <v>542</v>
      </c>
      <c r="D1154">
        <v>7.09</v>
      </c>
      <c r="E1154">
        <v>14325</v>
      </c>
      <c r="F1154">
        <v>0</v>
      </c>
      <c r="G1154">
        <v>14325000</v>
      </c>
      <c r="H1154">
        <v>7</v>
      </c>
      <c r="I1154">
        <v>430</v>
      </c>
      <c r="J1154" s="2">
        <f t="shared" ref="J1154:J1217" si="44">I1154*D1154</f>
        <v>3048.7</v>
      </c>
      <c r="K1154">
        <v>1153</v>
      </c>
      <c r="L1154" s="3">
        <f>SUM($I$2:$I1154)</f>
        <v>6260510</v>
      </c>
      <c r="M1154" s="3">
        <f>SUM($J$2:$J1154)</f>
        <v>24220012.199999973</v>
      </c>
      <c r="N1154" s="2">
        <f>SUM($D$2:$D1154)</f>
        <v>7186.1499999999924</v>
      </c>
      <c r="O1154" s="2">
        <f t="shared" ref="O1154:O1217" si="45">N1154/$T$4</f>
        <v>0.42824715530875918</v>
      </c>
      <c r="P1154" s="2" cm="1">
        <f t="array" ref="P1154">SUMPRODUCT((O1154&gt;$T$9:$T$14)*(O1154&lt;=$U$9:$U$14),$S$9:$S$14)</f>
        <v>4</v>
      </c>
    </row>
    <row r="1155" spans="1:16" x14ac:dyDescent="0.25">
      <c r="A1155">
        <v>800</v>
      </c>
      <c r="B1155">
        <v>426</v>
      </c>
      <c r="C1155">
        <v>31</v>
      </c>
      <c r="D1155">
        <v>2.9</v>
      </c>
      <c r="E1155">
        <v>12810</v>
      </c>
      <c r="F1155">
        <v>6</v>
      </c>
      <c r="G1155">
        <v>12810060</v>
      </c>
      <c r="H1155">
        <v>4</v>
      </c>
      <c r="I1155">
        <v>430</v>
      </c>
      <c r="J1155" s="2">
        <f t="shared" si="44"/>
        <v>1247</v>
      </c>
      <c r="K1155">
        <v>1154</v>
      </c>
      <c r="L1155" s="3">
        <f>SUM($I$2:$I1155)</f>
        <v>6260940</v>
      </c>
      <c r="M1155" s="3">
        <f>SUM($J$2:$J1155)</f>
        <v>24221259.199999973</v>
      </c>
      <c r="N1155" s="2">
        <f>SUM($D$2:$D1155)</f>
        <v>7189.049999999992</v>
      </c>
      <c r="O1155" s="2">
        <f t="shared" si="45"/>
        <v>0.4284199761864747</v>
      </c>
      <c r="P1155" s="2" cm="1">
        <f t="array" ref="P1155">SUMPRODUCT((O1155&gt;$T$9:$T$14)*(O1155&lt;=$U$9:$U$14),$S$9:$S$14)</f>
        <v>4</v>
      </c>
    </row>
    <row r="1156" spans="1:16" x14ac:dyDescent="0.25">
      <c r="A1156">
        <v>487</v>
      </c>
      <c r="B1156">
        <v>1274</v>
      </c>
      <c r="C1156">
        <v>671</v>
      </c>
      <c r="D1156">
        <v>2.02</v>
      </c>
      <c r="E1156">
        <v>24133</v>
      </c>
      <c r="F1156">
        <v>0</v>
      </c>
      <c r="G1156">
        <v>24133000</v>
      </c>
      <c r="H1156">
        <v>21</v>
      </c>
      <c r="I1156">
        <v>430</v>
      </c>
      <c r="J1156" s="2">
        <f t="shared" si="44"/>
        <v>868.6</v>
      </c>
      <c r="K1156">
        <v>1155</v>
      </c>
      <c r="L1156" s="3">
        <f>SUM($I$2:$I1156)</f>
        <v>6261370</v>
      </c>
      <c r="M1156" s="3">
        <f>SUM($J$2:$J1156)</f>
        <v>24222127.799999975</v>
      </c>
      <c r="N1156" s="2">
        <f>SUM($D$2:$D1156)</f>
        <v>7191.0699999999924</v>
      </c>
      <c r="O1156" s="2">
        <f t="shared" si="45"/>
        <v>0.42854035486681452</v>
      </c>
      <c r="P1156" s="2" cm="1">
        <f t="array" ref="P1156">SUMPRODUCT((O1156&gt;$T$9:$T$14)*(O1156&lt;=$U$9:$U$14),$S$9:$S$14)</f>
        <v>4</v>
      </c>
    </row>
    <row r="1157" spans="1:16" x14ac:dyDescent="0.25">
      <c r="A1157">
        <v>2</v>
      </c>
      <c r="B1157">
        <v>802</v>
      </c>
      <c r="C1157">
        <v>528</v>
      </c>
      <c r="D1157">
        <v>0.84</v>
      </c>
      <c r="E1157">
        <v>24136</v>
      </c>
      <c r="F1157">
        <v>0</v>
      </c>
      <c r="G1157">
        <v>24136000</v>
      </c>
      <c r="H1157">
        <v>21</v>
      </c>
      <c r="I1157">
        <v>430</v>
      </c>
      <c r="J1157" s="2">
        <f t="shared" si="44"/>
        <v>361.2</v>
      </c>
      <c r="K1157">
        <v>1156</v>
      </c>
      <c r="L1157" s="3">
        <f>SUM($I$2:$I1157)</f>
        <v>6261800</v>
      </c>
      <c r="M1157" s="3">
        <f>SUM($J$2:$J1157)</f>
        <v>24222488.999999974</v>
      </c>
      <c r="N1157" s="2">
        <f>SUM($D$2:$D1157)</f>
        <v>7191.9099999999926</v>
      </c>
      <c r="O1157" s="2">
        <f t="shared" si="45"/>
        <v>0.4285904133279459</v>
      </c>
      <c r="P1157" s="2" cm="1">
        <f t="array" ref="P1157">SUMPRODUCT((O1157&gt;$T$9:$T$14)*(O1157&lt;=$U$9:$U$14),$S$9:$S$14)</f>
        <v>4</v>
      </c>
    </row>
    <row r="1158" spans="1:16" x14ac:dyDescent="0.25">
      <c r="A1158">
        <v>1056</v>
      </c>
      <c r="B1158">
        <v>682</v>
      </c>
      <c r="C1158">
        <v>370</v>
      </c>
      <c r="D1158">
        <v>16.3</v>
      </c>
      <c r="E1158">
        <v>15970</v>
      </c>
      <c r="F1158">
        <v>1.3</v>
      </c>
      <c r="G1158">
        <v>15970013</v>
      </c>
      <c r="H1158">
        <v>8</v>
      </c>
      <c r="I1158">
        <v>420</v>
      </c>
      <c r="J1158" s="2">
        <f t="shared" si="44"/>
        <v>6846</v>
      </c>
      <c r="K1158">
        <v>1157</v>
      </c>
      <c r="L1158" s="3">
        <f>SUM($I$2:$I1158)</f>
        <v>6262220</v>
      </c>
      <c r="M1158" s="3">
        <f>SUM($J$2:$J1158)</f>
        <v>24229334.999999974</v>
      </c>
      <c r="N1158" s="2">
        <f>SUM($D$2:$D1158)</f>
        <v>7208.2099999999928</v>
      </c>
      <c r="O1158" s="2">
        <f t="shared" si="45"/>
        <v>0.42956178584751936</v>
      </c>
      <c r="P1158" s="2" cm="1">
        <f t="array" ref="P1158">SUMPRODUCT((O1158&gt;$T$9:$T$14)*(O1158&lt;=$U$9:$U$14),$S$9:$S$14)</f>
        <v>4</v>
      </c>
    </row>
    <row r="1159" spans="1:16" x14ac:dyDescent="0.25">
      <c r="A1159">
        <v>619</v>
      </c>
      <c r="B1159">
        <v>1406</v>
      </c>
      <c r="C1159">
        <v>844</v>
      </c>
      <c r="D1159">
        <v>6.97</v>
      </c>
      <c r="E1159">
        <v>13742</v>
      </c>
      <c r="F1159">
        <v>0</v>
      </c>
      <c r="G1159">
        <v>13742000</v>
      </c>
      <c r="H1159">
        <v>6</v>
      </c>
      <c r="I1159">
        <v>420</v>
      </c>
      <c r="J1159" s="2">
        <f t="shared" si="44"/>
        <v>2927.4</v>
      </c>
      <c r="K1159">
        <v>1158</v>
      </c>
      <c r="L1159" s="3">
        <f>SUM($I$2:$I1159)</f>
        <v>6262640</v>
      </c>
      <c r="M1159" s="3">
        <f>SUM($J$2:$J1159)</f>
        <v>24232262.399999972</v>
      </c>
      <c r="N1159" s="2">
        <f>SUM($D$2:$D1159)</f>
        <v>7215.179999999993</v>
      </c>
      <c r="O1159" s="2">
        <f t="shared" si="45"/>
        <v>0.42997715188809771</v>
      </c>
      <c r="P1159" s="2" cm="1">
        <f t="array" ref="P1159">SUMPRODUCT((O1159&gt;$T$9:$T$14)*(O1159&lt;=$U$9:$U$14),$S$9:$S$14)</f>
        <v>4</v>
      </c>
    </row>
    <row r="1160" spans="1:16" x14ac:dyDescent="0.25">
      <c r="A1160">
        <v>1077</v>
      </c>
      <c r="B1160">
        <v>703</v>
      </c>
      <c r="C1160">
        <v>398</v>
      </c>
      <c r="D1160">
        <v>19.940000000000001</v>
      </c>
      <c r="E1160">
        <v>13800</v>
      </c>
      <c r="F1160">
        <v>0</v>
      </c>
      <c r="G1160">
        <v>13800000</v>
      </c>
      <c r="H1160">
        <v>6</v>
      </c>
      <c r="I1160">
        <v>410</v>
      </c>
      <c r="J1160" s="2">
        <f t="shared" si="44"/>
        <v>8175.4000000000005</v>
      </c>
      <c r="K1160">
        <v>1159</v>
      </c>
      <c r="L1160" s="3">
        <f>SUM($I$2:$I1160)</f>
        <v>6263050</v>
      </c>
      <c r="M1160" s="3">
        <f>SUM($J$2:$J1160)</f>
        <v>24240437.799999971</v>
      </c>
      <c r="N1160" s="2">
        <f>SUM($D$2:$D1160)</f>
        <v>7235.1199999999926</v>
      </c>
      <c r="O1160" s="2">
        <f t="shared" si="45"/>
        <v>0.43116544440590721</v>
      </c>
      <c r="P1160" s="2" cm="1">
        <f t="array" ref="P1160">SUMPRODUCT((O1160&gt;$T$9:$T$14)*(O1160&lt;=$U$9:$U$14),$S$9:$S$14)</f>
        <v>4</v>
      </c>
    </row>
    <row r="1161" spans="1:16" x14ac:dyDescent="0.25">
      <c r="A1161">
        <v>892</v>
      </c>
      <c r="B1161">
        <v>518</v>
      </c>
      <c r="C1161">
        <v>153</v>
      </c>
      <c r="D1161">
        <v>10.56</v>
      </c>
      <c r="E1161">
        <v>18283</v>
      </c>
      <c r="F1161">
        <v>0</v>
      </c>
      <c r="G1161">
        <v>18283000</v>
      </c>
      <c r="H1161">
        <v>11</v>
      </c>
      <c r="I1161">
        <v>410</v>
      </c>
      <c r="J1161" s="2">
        <f t="shared" si="44"/>
        <v>4329.6000000000004</v>
      </c>
      <c r="K1161">
        <v>1160</v>
      </c>
      <c r="L1161" s="3">
        <f>SUM($I$2:$I1161)</f>
        <v>6263460</v>
      </c>
      <c r="M1161" s="3">
        <f>SUM($J$2:$J1161)</f>
        <v>24244767.399999972</v>
      </c>
      <c r="N1161" s="2">
        <f>SUM($D$2:$D1161)</f>
        <v>7245.679999999993</v>
      </c>
      <c r="O1161" s="2">
        <f t="shared" si="45"/>
        <v>0.43179475077441615</v>
      </c>
      <c r="P1161" s="2" cm="1">
        <f t="array" ref="P1161">SUMPRODUCT((O1161&gt;$T$9:$T$14)*(O1161&lt;=$U$9:$U$14),$S$9:$S$14)</f>
        <v>4</v>
      </c>
    </row>
    <row r="1162" spans="1:16" x14ac:dyDescent="0.25">
      <c r="A1162">
        <v>1354</v>
      </c>
      <c r="B1162">
        <v>186</v>
      </c>
      <c r="C1162">
        <v>1286</v>
      </c>
      <c r="D1162">
        <v>8.2899999999999991</v>
      </c>
      <c r="E1162">
        <v>34930</v>
      </c>
      <c r="F1162">
        <v>0</v>
      </c>
      <c r="G1162">
        <v>34930000</v>
      </c>
      <c r="H1162">
        <v>67</v>
      </c>
      <c r="I1162">
        <v>410</v>
      </c>
      <c r="J1162" s="2">
        <f t="shared" si="44"/>
        <v>3398.8999999999996</v>
      </c>
      <c r="K1162">
        <v>1161</v>
      </c>
      <c r="L1162" s="3">
        <f>SUM($I$2:$I1162)</f>
        <v>6263870</v>
      </c>
      <c r="M1162" s="3">
        <f>SUM($J$2:$J1162)</f>
        <v>24248166.299999971</v>
      </c>
      <c r="N1162" s="2">
        <f>SUM($D$2:$D1162)</f>
        <v>7253.969999999993</v>
      </c>
      <c r="O1162" s="2">
        <f t="shared" si="45"/>
        <v>0.43228878011105809</v>
      </c>
      <c r="P1162" s="2" cm="1">
        <f t="array" ref="P1162">SUMPRODUCT((O1162&gt;$T$9:$T$14)*(O1162&lt;=$U$9:$U$14),$S$9:$S$14)</f>
        <v>4</v>
      </c>
    </row>
    <row r="1163" spans="1:16" x14ac:dyDescent="0.25">
      <c r="A1163">
        <v>725</v>
      </c>
      <c r="B1163">
        <v>1512</v>
      </c>
      <c r="C1163">
        <v>974</v>
      </c>
      <c r="D1163">
        <v>7.51</v>
      </c>
      <c r="E1163">
        <v>33660</v>
      </c>
      <c r="F1163">
        <v>0</v>
      </c>
      <c r="G1163">
        <v>33660000</v>
      </c>
      <c r="H1163">
        <v>62</v>
      </c>
      <c r="I1163">
        <v>410</v>
      </c>
      <c r="J1163" s="2">
        <f t="shared" si="44"/>
        <v>3079.1</v>
      </c>
      <c r="K1163">
        <v>1162</v>
      </c>
      <c r="L1163" s="3">
        <f>SUM($I$2:$I1163)</f>
        <v>6264280</v>
      </c>
      <c r="M1163" s="3">
        <f>SUM($J$2:$J1163)</f>
        <v>24251245.399999972</v>
      </c>
      <c r="N1163" s="2">
        <f>SUM($D$2:$D1163)</f>
        <v>7261.4799999999932</v>
      </c>
      <c r="O1163" s="2">
        <f t="shared" si="45"/>
        <v>0.43273632659093519</v>
      </c>
      <c r="P1163" s="2" cm="1">
        <f t="array" ref="P1163">SUMPRODUCT((O1163&gt;$T$9:$T$14)*(O1163&lt;=$U$9:$U$14),$S$9:$S$14)</f>
        <v>4</v>
      </c>
    </row>
    <row r="1164" spans="1:16" x14ac:dyDescent="0.25">
      <c r="A1164">
        <v>1206</v>
      </c>
      <c r="B1164">
        <v>38</v>
      </c>
      <c r="C1164">
        <v>1093</v>
      </c>
      <c r="D1164">
        <v>6.84</v>
      </c>
      <c r="E1164">
        <v>29172</v>
      </c>
      <c r="F1164">
        <v>0</v>
      </c>
      <c r="G1164">
        <v>29172000</v>
      </c>
      <c r="H1164">
        <v>40</v>
      </c>
      <c r="I1164">
        <v>410</v>
      </c>
      <c r="J1164" s="2">
        <f t="shared" si="44"/>
        <v>2804.4</v>
      </c>
      <c r="K1164">
        <v>1163</v>
      </c>
      <c r="L1164" s="3">
        <f>SUM($I$2:$I1164)</f>
        <v>6264690</v>
      </c>
      <c r="M1164" s="3">
        <f>SUM($J$2:$J1164)</f>
        <v>24254049.799999971</v>
      </c>
      <c r="N1164" s="2">
        <f>SUM($D$2:$D1164)</f>
        <v>7268.3199999999933</v>
      </c>
      <c r="O1164" s="2">
        <f t="shared" si="45"/>
        <v>0.43314394548871943</v>
      </c>
      <c r="P1164" s="2" cm="1">
        <f t="array" ref="P1164">SUMPRODUCT((O1164&gt;$T$9:$T$14)*(O1164&lt;=$U$9:$U$14),$S$9:$S$14)</f>
        <v>4</v>
      </c>
    </row>
    <row r="1165" spans="1:16" x14ac:dyDescent="0.25">
      <c r="A1165">
        <v>662</v>
      </c>
      <c r="B1165">
        <v>1449</v>
      </c>
      <c r="C1165">
        <v>896</v>
      </c>
      <c r="D1165">
        <v>6.14</v>
      </c>
      <c r="E1165">
        <v>14310</v>
      </c>
      <c r="F1165">
        <v>8.6999999999999993</v>
      </c>
      <c r="G1165">
        <v>14310087</v>
      </c>
      <c r="H1165">
        <v>7</v>
      </c>
      <c r="I1165">
        <v>410</v>
      </c>
      <c r="J1165" s="2">
        <f t="shared" si="44"/>
        <v>2517.4</v>
      </c>
      <c r="K1165">
        <v>1164</v>
      </c>
      <c r="L1165" s="3">
        <f>SUM($I$2:$I1165)</f>
        <v>6265100</v>
      </c>
      <c r="M1165" s="3">
        <f>SUM($J$2:$J1165)</f>
        <v>24256567.199999969</v>
      </c>
      <c r="N1165" s="2">
        <f>SUM($D$2:$D1165)</f>
        <v>7274.4599999999937</v>
      </c>
      <c r="O1165" s="2">
        <f t="shared" si="45"/>
        <v>0.4335098490022275</v>
      </c>
      <c r="P1165" s="2" cm="1">
        <f t="array" ref="P1165">SUMPRODUCT((O1165&gt;$T$9:$T$14)*(O1165&lt;=$U$9:$U$14),$S$9:$S$14)</f>
        <v>4</v>
      </c>
    </row>
    <row r="1166" spans="1:16" x14ac:dyDescent="0.25">
      <c r="A1166">
        <v>504</v>
      </c>
      <c r="B1166">
        <v>1291</v>
      </c>
      <c r="C1166">
        <v>699</v>
      </c>
      <c r="D1166">
        <v>2.76</v>
      </c>
      <c r="E1166">
        <v>14170</v>
      </c>
      <c r="F1166">
        <v>10.7</v>
      </c>
      <c r="G1166">
        <v>14170107</v>
      </c>
      <c r="H1166">
        <v>7</v>
      </c>
      <c r="I1166">
        <v>410</v>
      </c>
      <c r="J1166" s="2">
        <f t="shared" si="44"/>
        <v>1131.5999999999999</v>
      </c>
      <c r="K1166">
        <v>1165</v>
      </c>
      <c r="L1166" s="3">
        <f>SUM($I$2:$I1166)</f>
        <v>6265510</v>
      </c>
      <c r="M1166" s="3">
        <f>SUM($J$2:$J1166)</f>
        <v>24257698.799999971</v>
      </c>
      <c r="N1166" s="2">
        <f>SUM($D$2:$D1166)</f>
        <v>7277.2199999999939</v>
      </c>
      <c r="O1166" s="2">
        <f t="shared" si="45"/>
        <v>0.43367432680308776</v>
      </c>
      <c r="P1166" s="2" cm="1">
        <f t="array" ref="P1166">SUMPRODUCT((O1166&gt;$T$9:$T$14)*(O1166&lt;=$U$9:$U$14),$S$9:$S$14)</f>
        <v>4</v>
      </c>
    </row>
    <row r="1167" spans="1:16" x14ac:dyDescent="0.25">
      <c r="A1167">
        <v>1223</v>
      </c>
      <c r="B1167">
        <v>55</v>
      </c>
      <c r="C1167">
        <v>1115</v>
      </c>
      <c r="D1167">
        <v>2.72</v>
      </c>
      <c r="E1167">
        <v>27960</v>
      </c>
      <c r="F1167">
        <v>0</v>
      </c>
      <c r="G1167">
        <v>27960000</v>
      </c>
      <c r="H1167">
        <v>35</v>
      </c>
      <c r="I1167">
        <v>410</v>
      </c>
      <c r="J1167" s="2">
        <f t="shared" si="44"/>
        <v>1115.2</v>
      </c>
      <c r="K1167">
        <v>1166</v>
      </c>
      <c r="L1167" s="3">
        <f>SUM($I$2:$I1167)</f>
        <v>6265920</v>
      </c>
      <c r="M1167" s="3">
        <f>SUM($J$2:$J1167)</f>
        <v>24258813.99999997</v>
      </c>
      <c r="N1167" s="2">
        <f>SUM($D$2:$D1167)</f>
        <v>7279.9399999999941</v>
      </c>
      <c r="O1167" s="2">
        <f t="shared" si="45"/>
        <v>0.43383642086770374</v>
      </c>
      <c r="P1167" s="2" cm="1">
        <f t="array" ref="P1167">SUMPRODUCT((O1167&gt;$T$9:$T$14)*(O1167&lt;=$U$9:$U$14),$S$9:$S$14)</f>
        <v>4</v>
      </c>
    </row>
    <row r="1168" spans="1:16" x14ac:dyDescent="0.25">
      <c r="A1168">
        <v>180</v>
      </c>
      <c r="B1168">
        <v>1201</v>
      </c>
      <c r="C1168">
        <v>574</v>
      </c>
      <c r="D1168">
        <v>1.74</v>
      </c>
      <c r="E1168">
        <v>17730</v>
      </c>
      <c r="F1168">
        <v>27.9</v>
      </c>
      <c r="G1168">
        <v>17730279</v>
      </c>
      <c r="H1168">
        <v>11</v>
      </c>
      <c r="I1168">
        <v>410</v>
      </c>
      <c r="J1168" s="2">
        <f t="shared" si="44"/>
        <v>713.4</v>
      </c>
      <c r="K1168">
        <v>1167</v>
      </c>
      <c r="L1168" s="3">
        <f>SUM($I$2:$I1168)</f>
        <v>6266330</v>
      </c>
      <c r="M1168" s="3">
        <f>SUM($J$2:$J1168)</f>
        <v>24259527.399999969</v>
      </c>
      <c r="N1168" s="2">
        <f>SUM($D$2:$D1168)</f>
        <v>7281.6799999999939</v>
      </c>
      <c r="O1168" s="2">
        <f t="shared" si="45"/>
        <v>0.43394011339433303</v>
      </c>
      <c r="P1168" s="2" cm="1">
        <f t="array" ref="P1168">SUMPRODUCT((O1168&gt;$T$9:$T$14)*(O1168&lt;=$U$9:$U$14),$S$9:$S$14)</f>
        <v>4</v>
      </c>
    </row>
    <row r="1169" spans="1:16" x14ac:dyDescent="0.25">
      <c r="A1169">
        <v>1095</v>
      </c>
      <c r="B1169">
        <v>721</v>
      </c>
      <c r="C1169">
        <v>425</v>
      </c>
      <c r="D1169">
        <v>1.71</v>
      </c>
      <c r="E1169">
        <v>19500</v>
      </c>
      <c r="F1169">
        <v>0</v>
      </c>
      <c r="G1169">
        <v>19500000</v>
      </c>
      <c r="H1169">
        <v>12</v>
      </c>
      <c r="I1169">
        <v>410</v>
      </c>
      <c r="J1169" s="2">
        <f t="shared" si="44"/>
        <v>701.1</v>
      </c>
      <c r="K1169">
        <v>1168</v>
      </c>
      <c r="L1169" s="3">
        <f>SUM($I$2:$I1169)</f>
        <v>6266740</v>
      </c>
      <c r="M1169" s="3">
        <f>SUM($J$2:$J1169)</f>
        <v>24260228.49999997</v>
      </c>
      <c r="N1169" s="2">
        <f>SUM($D$2:$D1169)</f>
        <v>7283.389999999994</v>
      </c>
      <c r="O1169" s="2">
        <f t="shared" si="45"/>
        <v>0.43404201811877907</v>
      </c>
      <c r="P1169" s="2" cm="1">
        <f t="array" ref="P1169">SUMPRODUCT((O1169&gt;$T$9:$T$14)*(O1169&lt;=$U$9:$U$14),$S$9:$S$14)</f>
        <v>4</v>
      </c>
    </row>
    <row r="1170" spans="1:16" x14ac:dyDescent="0.25">
      <c r="A1170">
        <v>1213</v>
      </c>
      <c r="B1170">
        <v>45</v>
      </c>
      <c r="C1170">
        <v>1103</v>
      </c>
      <c r="D1170">
        <v>22.73</v>
      </c>
      <c r="E1170">
        <v>28550</v>
      </c>
      <c r="F1170">
        <v>0</v>
      </c>
      <c r="G1170">
        <v>28550000</v>
      </c>
      <c r="H1170">
        <v>37</v>
      </c>
      <c r="I1170">
        <v>400</v>
      </c>
      <c r="J1170" s="2">
        <f t="shared" si="44"/>
        <v>9092</v>
      </c>
      <c r="K1170">
        <v>1169</v>
      </c>
      <c r="L1170" s="3">
        <f>SUM($I$2:$I1170)</f>
        <v>6267140</v>
      </c>
      <c r="M1170" s="3">
        <f>SUM($J$2:$J1170)</f>
        <v>24269320.49999997</v>
      </c>
      <c r="N1170" s="2">
        <f>SUM($D$2:$D1170)</f>
        <v>7306.1199999999935</v>
      </c>
      <c r="O1170" s="2">
        <f t="shared" si="45"/>
        <v>0.43539657623963213</v>
      </c>
      <c r="P1170" s="2" cm="1">
        <f t="array" ref="P1170">SUMPRODUCT((O1170&gt;$T$9:$T$14)*(O1170&lt;=$U$9:$U$14),$S$9:$S$14)</f>
        <v>4</v>
      </c>
    </row>
    <row r="1171" spans="1:16" x14ac:dyDescent="0.25">
      <c r="A1171">
        <v>1140</v>
      </c>
      <c r="B1171">
        <v>766</v>
      </c>
      <c r="C1171">
        <v>482</v>
      </c>
      <c r="D1171">
        <v>20.329999999999998</v>
      </c>
      <c r="E1171">
        <v>13880</v>
      </c>
      <c r="F1171">
        <v>0</v>
      </c>
      <c r="G1171">
        <v>13880000</v>
      </c>
      <c r="H1171">
        <v>6</v>
      </c>
      <c r="I1171">
        <v>400</v>
      </c>
      <c r="J1171" s="2">
        <f t="shared" si="44"/>
        <v>8131.9999999999991</v>
      </c>
      <c r="K1171">
        <v>1170</v>
      </c>
      <c r="L1171" s="3">
        <f>SUM($I$2:$I1171)</f>
        <v>6267540</v>
      </c>
      <c r="M1171" s="3">
        <f>SUM($J$2:$J1171)</f>
        <v>24277452.49999997</v>
      </c>
      <c r="N1171" s="2">
        <f>SUM($D$2:$D1171)</f>
        <v>7326.4499999999935</v>
      </c>
      <c r="O1171" s="2">
        <f t="shared" si="45"/>
        <v>0.43660811018582402</v>
      </c>
      <c r="P1171" s="2" cm="1">
        <f t="array" ref="P1171">SUMPRODUCT((O1171&gt;$T$9:$T$14)*(O1171&lt;=$U$9:$U$14),$S$9:$S$14)</f>
        <v>4</v>
      </c>
    </row>
    <row r="1172" spans="1:16" x14ac:dyDescent="0.25">
      <c r="A1172">
        <v>1172</v>
      </c>
      <c r="B1172">
        <v>798</v>
      </c>
      <c r="C1172">
        <v>520</v>
      </c>
      <c r="D1172">
        <v>18.13</v>
      </c>
      <c r="E1172">
        <v>14900</v>
      </c>
      <c r="F1172">
        <v>0</v>
      </c>
      <c r="G1172">
        <v>14900000</v>
      </c>
      <c r="H1172" t="s">
        <v>8</v>
      </c>
      <c r="I1172">
        <v>400</v>
      </c>
      <c r="J1172" s="2">
        <f t="shared" si="44"/>
        <v>7252</v>
      </c>
      <c r="K1172">
        <v>1171</v>
      </c>
      <c r="L1172" s="3">
        <f>SUM($I$2:$I1172)</f>
        <v>6267940</v>
      </c>
      <c r="M1172" s="3">
        <f>SUM($J$2:$J1172)</f>
        <v>24284704.49999997</v>
      </c>
      <c r="N1172" s="2">
        <f>SUM($D$2:$D1172)</f>
        <v>7344.5799999999936</v>
      </c>
      <c r="O1172" s="2">
        <f t="shared" si="45"/>
        <v>0.4376885386385766</v>
      </c>
      <c r="P1172" s="2" cm="1">
        <f t="array" ref="P1172">SUMPRODUCT((O1172&gt;$T$9:$T$14)*(O1172&lt;=$U$9:$U$14),$S$9:$S$14)</f>
        <v>4</v>
      </c>
    </row>
    <row r="1173" spans="1:16" x14ac:dyDescent="0.25">
      <c r="A1173">
        <v>1194</v>
      </c>
      <c r="B1173">
        <v>26</v>
      </c>
      <c r="C1173">
        <v>1079</v>
      </c>
      <c r="D1173">
        <v>10.91</v>
      </c>
      <c r="E1173">
        <v>29570</v>
      </c>
      <c r="F1173">
        <v>0</v>
      </c>
      <c r="G1173">
        <v>29570000</v>
      </c>
      <c r="H1173">
        <v>41</v>
      </c>
      <c r="I1173">
        <v>400</v>
      </c>
      <c r="J1173" s="2">
        <f t="shared" si="44"/>
        <v>4364</v>
      </c>
      <c r="K1173">
        <v>1172</v>
      </c>
      <c r="L1173" s="3">
        <f>SUM($I$2:$I1173)</f>
        <v>6268340</v>
      </c>
      <c r="M1173" s="3">
        <f>SUM($J$2:$J1173)</f>
        <v>24289068.49999997</v>
      </c>
      <c r="N1173" s="2">
        <f>SUM($D$2:$D1173)</f>
        <v>7355.4899999999934</v>
      </c>
      <c r="O1173" s="2">
        <f t="shared" si="45"/>
        <v>0.43833870269922359</v>
      </c>
      <c r="P1173" s="2" cm="1">
        <f t="array" ref="P1173">SUMPRODUCT((O1173&gt;$T$9:$T$14)*(O1173&lt;=$U$9:$U$14),$S$9:$S$14)</f>
        <v>4</v>
      </c>
    </row>
    <row r="1174" spans="1:16" x14ac:dyDescent="0.25">
      <c r="A1174">
        <v>752</v>
      </c>
      <c r="B1174">
        <v>1539</v>
      </c>
      <c r="C1174">
        <v>1003</v>
      </c>
      <c r="D1174">
        <v>9.25</v>
      </c>
      <c r="E1174">
        <v>33260</v>
      </c>
      <c r="F1174">
        <v>0</v>
      </c>
      <c r="G1174">
        <v>33260000</v>
      </c>
      <c r="H1174">
        <v>60</v>
      </c>
      <c r="I1174">
        <v>400</v>
      </c>
      <c r="J1174" s="2">
        <f t="shared" si="44"/>
        <v>3700</v>
      </c>
      <c r="K1174">
        <v>1173</v>
      </c>
      <c r="L1174" s="3">
        <f>SUM($I$2:$I1174)</f>
        <v>6268740</v>
      </c>
      <c r="M1174" s="3">
        <f>SUM($J$2:$J1174)</f>
        <v>24292768.49999997</v>
      </c>
      <c r="N1174" s="2">
        <f>SUM($D$2:$D1174)</f>
        <v>7364.7399999999934</v>
      </c>
      <c r="O1174" s="2">
        <f t="shared" si="45"/>
        <v>0.43888994170573004</v>
      </c>
      <c r="P1174" s="2" cm="1">
        <f t="array" ref="P1174">SUMPRODUCT((O1174&gt;$T$9:$T$14)*(O1174&lt;=$U$9:$U$14),$S$9:$S$14)</f>
        <v>4</v>
      </c>
    </row>
    <row r="1175" spans="1:16" x14ac:dyDescent="0.25">
      <c r="A1175">
        <v>864</v>
      </c>
      <c r="B1175">
        <v>490</v>
      </c>
      <c r="C1175">
        <v>113</v>
      </c>
      <c r="D1175">
        <v>8.99</v>
      </c>
      <c r="E1175">
        <v>11830</v>
      </c>
      <c r="F1175">
        <v>0.4</v>
      </c>
      <c r="G1175">
        <v>11830004</v>
      </c>
      <c r="H1175">
        <v>3</v>
      </c>
      <c r="I1175">
        <v>400</v>
      </c>
      <c r="J1175" s="2">
        <f t="shared" si="44"/>
        <v>3596</v>
      </c>
      <c r="K1175">
        <v>1174</v>
      </c>
      <c r="L1175" s="3">
        <f>SUM($I$2:$I1175)</f>
        <v>6269140</v>
      </c>
      <c r="M1175" s="3">
        <f>SUM($J$2:$J1175)</f>
        <v>24296364.49999997</v>
      </c>
      <c r="N1175" s="2">
        <f>SUM($D$2:$D1175)</f>
        <v>7373.7299999999932</v>
      </c>
      <c r="O1175" s="2">
        <f t="shared" si="45"/>
        <v>0.43942568642664814</v>
      </c>
      <c r="P1175" s="2" cm="1">
        <f t="array" ref="P1175">SUMPRODUCT((O1175&gt;$T$9:$T$14)*(O1175&lt;=$U$9:$U$14),$S$9:$S$14)</f>
        <v>4</v>
      </c>
    </row>
    <row r="1176" spans="1:16" x14ac:dyDescent="0.25">
      <c r="A1176">
        <v>843</v>
      </c>
      <c r="B1176">
        <v>469</v>
      </c>
      <c r="C1176">
        <v>83</v>
      </c>
      <c r="D1176">
        <v>3.04</v>
      </c>
      <c r="E1176">
        <v>24180</v>
      </c>
      <c r="F1176">
        <v>13.1</v>
      </c>
      <c r="G1176">
        <v>24180131</v>
      </c>
      <c r="H1176">
        <v>21</v>
      </c>
      <c r="I1176">
        <v>400</v>
      </c>
      <c r="J1176" s="2">
        <f t="shared" si="44"/>
        <v>1216</v>
      </c>
      <c r="K1176">
        <v>1175</v>
      </c>
      <c r="L1176" s="3">
        <f>SUM($I$2:$I1176)</f>
        <v>6269540</v>
      </c>
      <c r="M1176" s="3">
        <f>SUM($J$2:$J1176)</f>
        <v>24297580.49999997</v>
      </c>
      <c r="N1176" s="2">
        <f>SUM($D$2:$D1176)</f>
        <v>7376.7699999999932</v>
      </c>
      <c r="O1176" s="2">
        <f t="shared" si="45"/>
        <v>0.43960685038121888</v>
      </c>
      <c r="P1176" s="2" cm="1">
        <f t="array" ref="P1176">SUMPRODUCT((O1176&gt;$T$9:$T$14)*(O1176&lt;=$U$9:$U$14),$S$9:$S$14)</f>
        <v>4</v>
      </c>
    </row>
    <row r="1177" spans="1:16" x14ac:dyDescent="0.25">
      <c r="A1177">
        <v>1382</v>
      </c>
      <c r="B1177">
        <v>214</v>
      </c>
      <c r="C1177">
        <v>1325</v>
      </c>
      <c r="D1177">
        <v>1.6</v>
      </c>
      <c r="E1177">
        <v>39190</v>
      </c>
      <c r="F1177">
        <v>0</v>
      </c>
      <c r="G1177">
        <v>39190000</v>
      </c>
      <c r="H1177">
        <v>94</v>
      </c>
      <c r="I1177">
        <v>400</v>
      </c>
      <c r="J1177" s="2">
        <f t="shared" si="44"/>
        <v>640</v>
      </c>
      <c r="K1177">
        <v>1176</v>
      </c>
      <c r="L1177" s="3">
        <f>SUM($I$2:$I1177)</f>
        <v>6269940</v>
      </c>
      <c r="M1177" s="3">
        <f>SUM($J$2:$J1177)</f>
        <v>24298220.49999997</v>
      </c>
      <c r="N1177" s="2">
        <f>SUM($D$2:$D1177)</f>
        <v>7378.3699999999935</v>
      </c>
      <c r="O1177" s="2">
        <f t="shared" si="45"/>
        <v>0.43970219983099296</v>
      </c>
      <c r="P1177" s="2" cm="1">
        <f t="array" ref="P1177">SUMPRODUCT((O1177&gt;$T$9:$T$14)*(O1177&lt;=$U$9:$U$14),$S$9:$S$14)</f>
        <v>4</v>
      </c>
    </row>
    <row r="1178" spans="1:16" x14ac:dyDescent="0.25">
      <c r="A1178">
        <v>511</v>
      </c>
      <c r="B1178">
        <v>1298</v>
      </c>
      <c r="C1178">
        <v>708</v>
      </c>
      <c r="D1178">
        <v>1.38</v>
      </c>
      <c r="E1178">
        <v>20010</v>
      </c>
      <c r="F1178">
        <v>0</v>
      </c>
      <c r="G1178">
        <v>20010000</v>
      </c>
      <c r="H1178">
        <v>15</v>
      </c>
      <c r="I1178">
        <v>400</v>
      </c>
      <c r="J1178" s="2">
        <f t="shared" si="44"/>
        <v>552</v>
      </c>
      <c r="K1178">
        <v>1177</v>
      </c>
      <c r="L1178" s="3">
        <f>SUM($I$2:$I1178)</f>
        <v>6270340</v>
      </c>
      <c r="M1178" s="3">
        <f>SUM($J$2:$J1178)</f>
        <v>24298772.49999997</v>
      </c>
      <c r="N1178" s="2">
        <f>SUM($D$2:$D1178)</f>
        <v>7379.7499999999936</v>
      </c>
      <c r="O1178" s="2">
        <f t="shared" si="45"/>
        <v>0.43978443873142314</v>
      </c>
      <c r="P1178" s="2" cm="1">
        <f t="array" ref="P1178">SUMPRODUCT((O1178&gt;$T$9:$T$14)*(O1178&lt;=$U$9:$U$14),$S$9:$S$14)</f>
        <v>4</v>
      </c>
    </row>
    <row r="1179" spans="1:16" x14ac:dyDescent="0.25">
      <c r="A1179">
        <v>1098</v>
      </c>
      <c r="B1179">
        <v>724</v>
      </c>
      <c r="C1179">
        <v>430</v>
      </c>
      <c r="D1179">
        <v>1.31</v>
      </c>
      <c r="E1179">
        <v>18370</v>
      </c>
      <c r="F1179">
        <v>0</v>
      </c>
      <c r="G1179">
        <v>18370000</v>
      </c>
      <c r="H1179">
        <v>11</v>
      </c>
      <c r="I1179">
        <v>400</v>
      </c>
      <c r="J1179" s="2">
        <f t="shared" si="44"/>
        <v>524</v>
      </c>
      <c r="K1179">
        <v>1178</v>
      </c>
      <c r="L1179" s="3">
        <f>SUM($I$2:$I1179)</f>
        <v>6270740</v>
      </c>
      <c r="M1179" s="3">
        <f>SUM($J$2:$J1179)</f>
        <v>24299296.49999997</v>
      </c>
      <c r="N1179" s="2">
        <f>SUM($D$2:$D1179)</f>
        <v>7381.059999999994</v>
      </c>
      <c r="O1179" s="2">
        <f t="shared" si="45"/>
        <v>0.4398625060934257</v>
      </c>
      <c r="P1179" s="2" cm="1">
        <f t="array" ref="P1179">SUMPRODUCT((O1179&gt;$T$9:$T$14)*(O1179&lt;=$U$9:$U$14),$S$9:$S$14)</f>
        <v>4</v>
      </c>
    </row>
    <row r="1180" spans="1:16" x14ac:dyDescent="0.25">
      <c r="A1180">
        <v>916</v>
      </c>
      <c r="B1180">
        <v>542</v>
      </c>
      <c r="C1180">
        <v>189</v>
      </c>
      <c r="D1180">
        <v>29.34</v>
      </c>
      <c r="E1180">
        <v>13680</v>
      </c>
      <c r="F1180">
        <v>1.1000000000000001</v>
      </c>
      <c r="G1180">
        <v>13680011</v>
      </c>
      <c r="H1180">
        <v>6</v>
      </c>
      <c r="I1180">
        <v>390</v>
      </c>
      <c r="J1180" s="2">
        <f t="shared" si="44"/>
        <v>11442.6</v>
      </c>
      <c r="K1180">
        <v>1179</v>
      </c>
      <c r="L1180" s="3">
        <f>SUM($I$2:$I1180)</f>
        <v>6271130</v>
      </c>
      <c r="M1180" s="3">
        <f>SUM($J$2:$J1180)</f>
        <v>24310739.099999972</v>
      </c>
      <c r="N1180" s="2">
        <f>SUM($D$2:$D1180)</f>
        <v>7410.3999999999942</v>
      </c>
      <c r="O1180" s="2">
        <f t="shared" si="45"/>
        <v>0.44161097662865789</v>
      </c>
      <c r="P1180" s="2" cm="1">
        <f t="array" ref="P1180">SUMPRODUCT((O1180&gt;$T$9:$T$14)*(O1180&lt;=$U$9:$U$14),$S$9:$S$14)</f>
        <v>4</v>
      </c>
    </row>
    <row r="1181" spans="1:16" x14ac:dyDescent="0.25">
      <c r="A1181">
        <v>893</v>
      </c>
      <c r="B1181">
        <v>519</v>
      </c>
      <c r="C1181">
        <v>154</v>
      </c>
      <c r="D1181">
        <v>11.92</v>
      </c>
      <c r="E1181">
        <v>18340</v>
      </c>
      <c r="F1181">
        <v>0</v>
      </c>
      <c r="G1181">
        <v>18340000</v>
      </c>
      <c r="H1181">
        <v>11</v>
      </c>
      <c r="I1181">
        <v>390</v>
      </c>
      <c r="J1181" s="2">
        <f t="shared" si="44"/>
        <v>4648.8</v>
      </c>
      <c r="K1181">
        <v>1180</v>
      </c>
      <c r="L1181" s="3">
        <f>SUM($I$2:$I1181)</f>
        <v>6271520</v>
      </c>
      <c r="M1181" s="3">
        <f>SUM($J$2:$J1181)</f>
        <v>24315387.899999972</v>
      </c>
      <c r="N1181" s="2">
        <f>SUM($D$2:$D1181)</f>
        <v>7422.3199999999943</v>
      </c>
      <c r="O1181" s="2">
        <f t="shared" si="45"/>
        <v>0.44232133002947482</v>
      </c>
      <c r="P1181" s="2" cm="1">
        <f t="array" ref="P1181">SUMPRODUCT((O1181&gt;$T$9:$T$14)*(O1181&lt;=$U$9:$U$14),$S$9:$S$14)</f>
        <v>4</v>
      </c>
    </row>
    <row r="1182" spans="1:16" x14ac:dyDescent="0.25">
      <c r="A1182">
        <v>1351</v>
      </c>
      <c r="B1182">
        <v>183</v>
      </c>
      <c r="C1182">
        <v>1282</v>
      </c>
      <c r="D1182">
        <v>6.5</v>
      </c>
      <c r="E1182">
        <v>33810</v>
      </c>
      <c r="F1182">
        <v>5</v>
      </c>
      <c r="G1182">
        <v>33810050</v>
      </c>
      <c r="H1182">
        <v>62</v>
      </c>
      <c r="I1182">
        <v>390</v>
      </c>
      <c r="J1182" s="2">
        <f t="shared" si="44"/>
        <v>2535</v>
      </c>
      <c r="K1182">
        <v>1181</v>
      </c>
      <c r="L1182" s="3">
        <f>SUM($I$2:$I1182)</f>
        <v>6271910</v>
      </c>
      <c r="M1182" s="3">
        <f>SUM($J$2:$J1182)</f>
        <v>24317922.899999972</v>
      </c>
      <c r="N1182" s="2">
        <f>SUM($D$2:$D1182)</f>
        <v>7428.8199999999943</v>
      </c>
      <c r="O1182" s="2">
        <f t="shared" si="45"/>
        <v>0.44270868716918205</v>
      </c>
      <c r="P1182" s="2" cm="1">
        <f t="array" ref="P1182">SUMPRODUCT((O1182&gt;$T$9:$T$14)*(O1182&lt;=$U$9:$U$14),$S$9:$S$14)</f>
        <v>4</v>
      </c>
    </row>
    <row r="1183" spans="1:16" x14ac:dyDescent="0.25">
      <c r="A1183">
        <v>1479</v>
      </c>
      <c r="B1183">
        <v>311</v>
      </c>
      <c r="C1183">
        <v>1442</v>
      </c>
      <c r="D1183">
        <v>5.0599999999999996</v>
      </c>
      <c r="E1183">
        <v>45700</v>
      </c>
      <c r="F1183">
        <v>0</v>
      </c>
      <c r="G1183">
        <v>45700000</v>
      </c>
      <c r="H1183">
        <v>140</v>
      </c>
      <c r="I1183">
        <v>390</v>
      </c>
      <c r="J1183" s="2">
        <f t="shared" si="44"/>
        <v>1973.3999999999999</v>
      </c>
      <c r="K1183">
        <v>1182</v>
      </c>
      <c r="L1183" s="3">
        <f>SUM($I$2:$I1183)</f>
        <v>6272300</v>
      </c>
      <c r="M1183" s="3">
        <f>SUM($J$2:$J1183)</f>
        <v>24319896.299999971</v>
      </c>
      <c r="N1183" s="2">
        <f>SUM($D$2:$D1183)</f>
        <v>7433.8799999999947</v>
      </c>
      <c r="O1183" s="2">
        <f t="shared" si="45"/>
        <v>0.4430102298040926</v>
      </c>
      <c r="P1183" s="2" cm="1">
        <f t="array" ref="P1183">SUMPRODUCT((O1183&gt;$T$9:$T$14)*(O1183&lt;=$U$9:$U$14),$S$9:$S$14)</f>
        <v>4</v>
      </c>
    </row>
    <row r="1184" spans="1:16" x14ac:dyDescent="0.25">
      <c r="A1184">
        <v>519</v>
      </c>
      <c r="B1184">
        <v>1306</v>
      </c>
      <c r="C1184">
        <v>719</v>
      </c>
      <c r="D1184">
        <v>21.65</v>
      </c>
      <c r="E1184">
        <v>18390</v>
      </c>
      <c r="F1184">
        <v>0</v>
      </c>
      <c r="G1184">
        <v>18390000</v>
      </c>
      <c r="H1184">
        <v>11</v>
      </c>
      <c r="I1184">
        <v>380</v>
      </c>
      <c r="J1184" s="2">
        <f t="shared" si="44"/>
        <v>8227</v>
      </c>
      <c r="K1184">
        <v>1183</v>
      </c>
      <c r="L1184" s="3">
        <f>SUM($I$2:$I1184)</f>
        <v>6272680</v>
      </c>
      <c r="M1184" s="3">
        <f>SUM($J$2:$J1184)</f>
        <v>24328123.299999971</v>
      </c>
      <c r="N1184" s="2">
        <f>SUM($D$2:$D1184)</f>
        <v>7455.5299999999943</v>
      </c>
      <c r="O1184" s="2">
        <f t="shared" si="45"/>
        <v>0.44430042704634809</v>
      </c>
      <c r="P1184" s="2" cm="1">
        <f t="array" ref="P1184">SUMPRODUCT((O1184&gt;$T$9:$T$14)*(O1184&lt;=$U$9:$U$14),$S$9:$S$14)</f>
        <v>4</v>
      </c>
    </row>
    <row r="1185" spans="1:16" x14ac:dyDescent="0.25">
      <c r="A1185">
        <v>649</v>
      </c>
      <c r="B1185">
        <v>1436</v>
      </c>
      <c r="C1185">
        <v>878</v>
      </c>
      <c r="D1185">
        <v>9.3000000000000007</v>
      </c>
      <c r="E1185">
        <v>20070</v>
      </c>
      <c r="F1185">
        <v>0</v>
      </c>
      <c r="G1185">
        <v>20070000</v>
      </c>
      <c r="H1185">
        <v>15</v>
      </c>
      <c r="I1185">
        <v>380</v>
      </c>
      <c r="J1185" s="2">
        <f t="shared" si="44"/>
        <v>3534.0000000000005</v>
      </c>
      <c r="K1185">
        <v>1184</v>
      </c>
      <c r="L1185" s="3">
        <f>SUM($I$2:$I1185)</f>
        <v>6273060</v>
      </c>
      <c r="M1185" s="3">
        <f>SUM($J$2:$J1185)</f>
        <v>24331657.299999971</v>
      </c>
      <c r="N1185" s="2">
        <f>SUM($D$2:$D1185)</f>
        <v>7464.8299999999945</v>
      </c>
      <c r="O1185" s="2">
        <f t="shared" si="45"/>
        <v>0.44485464572315997</v>
      </c>
      <c r="P1185" s="2" cm="1">
        <f t="array" ref="P1185">SUMPRODUCT((O1185&gt;$T$9:$T$14)*(O1185&lt;=$U$9:$U$14),$S$9:$S$14)</f>
        <v>4</v>
      </c>
    </row>
    <row r="1186" spans="1:16" x14ac:dyDescent="0.25">
      <c r="A1186">
        <v>1212</v>
      </c>
      <c r="B1186">
        <v>44</v>
      </c>
      <c r="C1186">
        <v>1101</v>
      </c>
      <c r="D1186">
        <v>7.78</v>
      </c>
      <c r="E1186">
        <v>28570</v>
      </c>
      <c r="F1186">
        <v>2.4</v>
      </c>
      <c r="G1186">
        <v>28570024</v>
      </c>
      <c r="H1186">
        <v>37</v>
      </c>
      <c r="I1186">
        <v>380</v>
      </c>
      <c r="J1186" s="2">
        <f t="shared" si="44"/>
        <v>2956.4</v>
      </c>
      <c r="K1186">
        <v>1185</v>
      </c>
      <c r="L1186" s="3">
        <f>SUM($I$2:$I1186)</f>
        <v>6273440</v>
      </c>
      <c r="M1186" s="3">
        <f>SUM($J$2:$J1186)</f>
        <v>24334613.699999969</v>
      </c>
      <c r="N1186" s="2">
        <f>SUM($D$2:$D1186)</f>
        <v>7472.6099999999942</v>
      </c>
      <c r="O1186" s="2">
        <f t="shared" si="45"/>
        <v>0.4453182824226864</v>
      </c>
      <c r="P1186" s="2" cm="1">
        <f t="array" ref="P1186">SUMPRODUCT((O1186&gt;$T$9:$T$14)*(O1186&lt;=$U$9:$U$14),$S$9:$S$14)</f>
        <v>4</v>
      </c>
    </row>
    <row r="1187" spans="1:16" x14ac:dyDescent="0.25">
      <c r="A1187">
        <v>531</v>
      </c>
      <c r="B1187">
        <v>1318</v>
      </c>
      <c r="C1187">
        <v>735</v>
      </c>
      <c r="D1187">
        <v>3.7</v>
      </c>
      <c r="E1187">
        <v>43755</v>
      </c>
      <c r="F1187">
        <v>0</v>
      </c>
      <c r="G1187">
        <v>43755000</v>
      </c>
      <c r="H1187">
        <v>124</v>
      </c>
      <c r="I1187">
        <v>380</v>
      </c>
      <c r="J1187" s="2">
        <f t="shared" si="44"/>
        <v>1406</v>
      </c>
      <c r="K1187">
        <v>1186</v>
      </c>
      <c r="L1187" s="3">
        <f>SUM($I$2:$I1187)</f>
        <v>6273820</v>
      </c>
      <c r="M1187" s="3">
        <f>SUM($J$2:$J1187)</f>
        <v>24336019.699999969</v>
      </c>
      <c r="N1187" s="2">
        <f>SUM($D$2:$D1187)</f>
        <v>7476.309999999994</v>
      </c>
      <c r="O1187" s="2">
        <f t="shared" si="45"/>
        <v>0.44553877802528896</v>
      </c>
      <c r="P1187" s="2" cm="1">
        <f t="array" ref="P1187">SUMPRODUCT((O1187&gt;$T$9:$T$14)*(O1187&lt;=$U$9:$U$14),$S$9:$S$14)</f>
        <v>4</v>
      </c>
    </row>
    <row r="1188" spans="1:16" x14ac:dyDescent="0.25">
      <c r="A1188">
        <v>1192</v>
      </c>
      <c r="B1188">
        <v>24</v>
      </c>
      <c r="C1188">
        <v>1076</v>
      </c>
      <c r="D1188">
        <v>3.1</v>
      </c>
      <c r="E1188">
        <v>29580</v>
      </c>
      <c r="F1188">
        <v>0</v>
      </c>
      <c r="G1188">
        <v>29580000</v>
      </c>
      <c r="H1188">
        <v>41</v>
      </c>
      <c r="I1188">
        <v>380</v>
      </c>
      <c r="J1188" s="2">
        <f t="shared" si="44"/>
        <v>1178</v>
      </c>
      <c r="K1188">
        <v>1187</v>
      </c>
      <c r="L1188" s="3">
        <f>SUM($I$2:$I1188)</f>
        <v>6274200</v>
      </c>
      <c r="M1188" s="3">
        <f>SUM($J$2:$J1188)</f>
        <v>24337197.699999969</v>
      </c>
      <c r="N1188" s="2">
        <f>SUM($D$2:$D1188)</f>
        <v>7479.4099999999944</v>
      </c>
      <c r="O1188" s="2">
        <f t="shared" si="45"/>
        <v>0.44572351758422629</v>
      </c>
      <c r="P1188" s="2" cm="1">
        <f t="array" ref="P1188">SUMPRODUCT((O1188&gt;$T$9:$T$14)*(O1188&lt;=$U$9:$U$14),$S$9:$S$14)</f>
        <v>4</v>
      </c>
    </row>
    <row r="1189" spans="1:16" x14ac:dyDescent="0.25">
      <c r="A1189">
        <v>129</v>
      </c>
      <c r="B1189">
        <v>925</v>
      </c>
      <c r="C1189">
        <v>1686</v>
      </c>
      <c r="D1189">
        <v>1.37</v>
      </c>
      <c r="E1189">
        <v>53395</v>
      </c>
      <c r="F1189">
        <v>0</v>
      </c>
      <c r="G1189">
        <v>53395000</v>
      </c>
      <c r="H1189">
        <v>520</v>
      </c>
      <c r="I1189">
        <v>380</v>
      </c>
      <c r="J1189" s="2">
        <f t="shared" si="44"/>
        <v>520.6</v>
      </c>
      <c r="K1189">
        <v>1188</v>
      </c>
      <c r="L1189" s="3">
        <f>SUM($I$2:$I1189)</f>
        <v>6274580</v>
      </c>
      <c r="M1189" s="3">
        <f>SUM($J$2:$J1189)</f>
        <v>24337718.299999971</v>
      </c>
      <c r="N1189" s="2">
        <f>SUM($D$2:$D1189)</f>
        <v>7480.7799999999943</v>
      </c>
      <c r="O1189" s="2">
        <f t="shared" si="45"/>
        <v>0.44580516055059533</v>
      </c>
      <c r="P1189" s="2" cm="1">
        <f t="array" ref="P1189">SUMPRODUCT((O1189&gt;$T$9:$T$14)*(O1189&lt;=$U$9:$U$14),$S$9:$S$14)</f>
        <v>4</v>
      </c>
    </row>
    <row r="1190" spans="1:16" x14ac:dyDescent="0.25">
      <c r="A1190">
        <v>786</v>
      </c>
      <c r="B1190">
        <v>412</v>
      </c>
      <c r="C1190">
        <v>10</v>
      </c>
      <c r="D1190">
        <v>1.29</v>
      </c>
      <c r="E1190">
        <v>13420</v>
      </c>
      <c r="F1190">
        <v>1.6</v>
      </c>
      <c r="G1190">
        <v>13420016</v>
      </c>
      <c r="H1190">
        <v>6</v>
      </c>
      <c r="I1190">
        <v>380</v>
      </c>
      <c r="J1190" s="2">
        <f t="shared" si="44"/>
        <v>490.2</v>
      </c>
      <c r="K1190">
        <v>1189</v>
      </c>
      <c r="L1190" s="3">
        <f>SUM($I$2:$I1190)</f>
        <v>6274960</v>
      </c>
      <c r="M1190" s="3">
        <f>SUM($J$2:$J1190)</f>
        <v>24338208.49999997</v>
      </c>
      <c r="N1190" s="2">
        <f>SUM($D$2:$D1190)</f>
        <v>7482.0699999999943</v>
      </c>
      <c r="O1190" s="2">
        <f t="shared" si="45"/>
        <v>0.44588203604447568</v>
      </c>
      <c r="P1190" s="2" cm="1">
        <f t="array" ref="P1190">SUMPRODUCT((O1190&gt;$T$9:$T$14)*(O1190&lt;=$U$9:$U$14),$S$9:$S$14)</f>
        <v>4</v>
      </c>
    </row>
    <row r="1191" spans="1:16" x14ac:dyDescent="0.25">
      <c r="A1191">
        <v>1007</v>
      </c>
      <c r="B1191">
        <v>633</v>
      </c>
      <c r="C1191">
        <v>307</v>
      </c>
      <c r="D1191">
        <v>25.1</v>
      </c>
      <c r="E1191">
        <v>21380</v>
      </c>
      <c r="F1191">
        <v>0</v>
      </c>
      <c r="G1191">
        <v>21380000</v>
      </c>
      <c r="H1191">
        <v>17</v>
      </c>
      <c r="I1191">
        <v>370</v>
      </c>
      <c r="J1191" s="2">
        <f t="shared" si="44"/>
        <v>9287</v>
      </c>
      <c r="K1191">
        <v>1190</v>
      </c>
      <c r="L1191" s="3">
        <f>SUM($I$2:$I1191)</f>
        <v>6275330</v>
      </c>
      <c r="M1191" s="3">
        <f>SUM($J$2:$J1191)</f>
        <v>24347495.49999997</v>
      </c>
      <c r="N1191" s="2">
        <f>SUM($D$2:$D1191)</f>
        <v>7507.1699999999946</v>
      </c>
      <c r="O1191" s="2">
        <f t="shared" si="45"/>
        <v>0.44737783053780661</v>
      </c>
      <c r="P1191" s="2" cm="1">
        <f t="array" ref="P1191">SUMPRODUCT((O1191&gt;$T$9:$T$14)*(O1191&lt;=$U$9:$U$14),$S$9:$S$14)</f>
        <v>4</v>
      </c>
    </row>
    <row r="1192" spans="1:16" x14ac:dyDescent="0.25">
      <c r="A1192">
        <v>1331</v>
      </c>
      <c r="B1192">
        <v>163</v>
      </c>
      <c r="C1192">
        <v>1257</v>
      </c>
      <c r="D1192">
        <v>16.11</v>
      </c>
      <c r="E1192">
        <v>34133</v>
      </c>
      <c r="F1192">
        <v>5.3</v>
      </c>
      <c r="G1192">
        <v>34133053</v>
      </c>
      <c r="H1192">
        <v>63</v>
      </c>
      <c r="I1192">
        <v>370</v>
      </c>
      <c r="J1192" s="2">
        <f t="shared" si="44"/>
        <v>5960.7</v>
      </c>
      <c r="K1192">
        <v>1191</v>
      </c>
      <c r="L1192" s="3">
        <f>SUM($I$2:$I1192)</f>
        <v>6275700</v>
      </c>
      <c r="M1192" s="3">
        <f>SUM($J$2:$J1192)</f>
        <v>24353456.199999969</v>
      </c>
      <c r="N1192" s="2">
        <f>SUM($D$2:$D1192)</f>
        <v>7523.2799999999943</v>
      </c>
      <c r="O1192" s="2">
        <f t="shared" si="45"/>
        <v>0.44833788031021937</v>
      </c>
      <c r="P1192" s="2" cm="1">
        <f t="array" ref="P1192">SUMPRODUCT((O1192&gt;$T$9:$T$14)*(O1192&lt;=$U$9:$U$14),$S$9:$S$14)</f>
        <v>4</v>
      </c>
    </row>
    <row r="1193" spans="1:16" x14ac:dyDescent="0.25">
      <c r="A1193">
        <v>866</v>
      </c>
      <c r="B1193">
        <v>492</v>
      </c>
      <c r="C1193">
        <v>116</v>
      </c>
      <c r="D1193">
        <v>8.23</v>
      </c>
      <c r="E1193">
        <v>11810</v>
      </c>
      <c r="F1193">
        <v>0.3</v>
      </c>
      <c r="G1193">
        <v>11810003</v>
      </c>
      <c r="H1193">
        <v>3</v>
      </c>
      <c r="I1193">
        <v>370</v>
      </c>
      <c r="J1193" s="2">
        <f t="shared" si="44"/>
        <v>3045.1000000000004</v>
      </c>
      <c r="K1193">
        <v>1192</v>
      </c>
      <c r="L1193" s="3">
        <f>SUM($I$2:$I1193)</f>
        <v>6276070</v>
      </c>
      <c r="M1193" s="3">
        <f>SUM($J$2:$J1193)</f>
        <v>24356501.299999971</v>
      </c>
      <c r="N1193" s="2">
        <f>SUM($D$2:$D1193)</f>
        <v>7531.5099999999939</v>
      </c>
      <c r="O1193" s="2">
        <f t="shared" si="45"/>
        <v>0.44882833404249478</v>
      </c>
      <c r="P1193" s="2" cm="1">
        <f t="array" ref="P1193">SUMPRODUCT((O1193&gt;$T$9:$T$14)*(O1193&lt;=$U$9:$U$14),$S$9:$S$14)</f>
        <v>4</v>
      </c>
    </row>
    <row r="1194" spans="1:16" x14ac:dyDescent="0.25">
      <c r="A1194">
        <v>801</v>
      </c>
      <c r="B1194">
        <v>427</v>
      </c>
      <c r="C1194">
        <v>33</v>
      </c>
      <c r="D1194">
        <v>5.99</v>
      </c>
      <c r="E1194">
        <v>12810</v>
      </c>
      <c r="F1194">
        <v>0</v>
      </c>
      <c r="G1194">
        <v>12810000</v>
      </c>
      <c r="H1194">
        <v>4</v>
      </c>
      <c r="I1194">
        <v>370</v>
      </c>
      <c r="J1194" s="2">
        <f t="shared" si="44"/>
        <v>2216.3000000000002</v>
      </c>
      <c r="K1194">
        <v>1193</v>
      </c>
      <c r="L1194" s="3">
        <f>SUM($I$2:$I1194)</f>
        <v>6276440</v>
      </c>
      <c r="M1194" s="3">
        <f>SUM($J$2:$J1194)</f>
        <v>24358717.599999972</v>
      </c>
      <c r="N1194" s="2">
        <f>SUM($D$2:$D1194)</f>
        <v>7537.4999999999936</v>
      </c>
      <c r="O1194" s="2">
        <f t="shared" si="45"/>
        <v>0.44918529854508649</v>
      </c>
      <c r="P1194" s="2" cm="1">
        <f t="array" ref="P1194">SUMPRODUCT((O1194&gt;$T$9:$T$14)*(O1194&lt;=$U$9:$U$14),$S$9:$S$14)</f>
        <v>4</v>
      </c>
    </row>
    <row r="1195" spans="1:16" x14ac:dyDescent="0.25">
      <c r="A1195">
        <v>1348</v>
      </c>
      <c r="B1195">
        <v>180</v>
      </c>
      <c r="C1195">
        <v>1277</v>
      </c>
      <c r="D1195">
        <v>2.97</v>
      </c>
      <c r="E1195">
        <v>34735</v>
      </c>
      <c r="F1195">
        <v>4</v>
      </c>
      <c r="G1195">
        <v>34735040</v>
      </c>
      <c r="H1195">
        <v>66</v>
      </c>
      <c r="I1195">
        <v>370</v>
      </c>
      <c r="J1195" s="2">
        <f t="shared" si="44"/>
        <v>1098.9000000000001</v>
      </c>
      <c r="K1195">
        <v>1194</v>
      </c>
      <c r="L1195" s="3">
        <f>SUM($I$2:$I1195)</f>
        <v>6276810</v>
      </c>
      <c r="M1195" s="3">
        <f>SUM($J$2:$J1195)</f>
        <v>24359816.49999997</v>
      </c>
      <c r="N1195" s="2">
        <f>SUM($D$2:$D1195)</f>
        <v>7540.4699999999939</v>
      </c>
      <c r="O1195" s="2">
        <f t="shared" si="45"/>
        <v>0.44936229096122965</v>
      </c>
      <c r="P1195" s="2" cm="1">
        <f t="array" ref="P1195">SUMPRODUCT((O1195&gt;$T$9:$T$14)*(O1195&lt;=$U$9:$U$14),$S$9:$S$14)</f>
        <v>4</v>
      </c>
    </row>
    <row r="1196" spans="1:16" x14ac:dyDescent="0.25">
      <c r="A1196">
        <v>1181</v>
      </c>
      <c r="B1196">
        <v>13</v>
      </c>
      <c r="C1196">
        <v>1062</v>
      </c>
      <c r="D1196">
        <v>1.38</v>
      </c>
      <c r="E1196">
        <v>29710</v>
      </c>
      <c r="F1196">
        <v>10.1</v>
      </c>
      <c r="G1196">
        <v>29710101</v>
      </c>
      <c r="H1196">
        <v>41</v>
      </c>
      <c r="I1196">
        <v>370</v>
      </c>
      <c r="J1196" s="2">
        <f t="shared" si="44"/>
        <v>510.59999999999997</v>
      </c>
      <c r="K1196">
        <v>1195</v>
      </c>
      <c r="L1196" s="3">
        <f>SUM($I$2:$I1196)</f>
        <v>6277180</v>
      </c>
      <c r="M1196" s="3">
        <f>SUM($J$2:$J1196)</f>
        <v>24360327.099999972</v>
      </c>
      <c r="N1196" s="2">
        <f>SUM($D$2:$D1196)</f>
        <v>7541.849999999994</v>
      </c>
      <c r="O1196" s="2">
        <f t="shared" si="45"/>
        <v>0.44944452986165978</v>
      </c>
      <c r="P1196" s="2" cm="1">
        <f t="array" ref="P1196">SUMPRODUCT((O1196&gt;$T$9:$T$14)*(O1196&lt;=$U$9:$U$14),$S$9:$S$14)</f>
        <v>4</v>
      </c>
    </row>
    <row r="1197" spans="1:16" x14ac:dyDescent="0.25">
      <c r="A1197">
        <v>337</v>
      </c>
      <c r="B1197">
        <v>1132</v>
      </c>
      <c r="C1197">
        <v>1976</v>
      </c>
      <c r="D1197">
        <v>0.38</v>
      </c>
      <c r="E1197">
        <v>71011</v>
      </c>
      <c r="F1197">
        <v>0</v>
      </c>
      <c r="G1197">
        <v>71011000</v>
      </c>
      <c r="H1197">
        <v>654</v>
      </c>
      <c r="I1197">
        <v>370</v>
      </c>
      <c r="J1197" s="2">
        <f t="shared" si="44"/>
        <v>140.6</v>
      </c>
      <c r="K1197">
        <v>1196</v>
      </c>
      <c r="L1197" s="3">
        <f>SUM($I$2:$I1197)</f>
        <v>6277550</v>
      </c>
      <c r="M1197" s="3">
        <f>SUM($J$2:$J1197)</f>
        <v>24360467.699999973</v>
      </c>
      <c r="N1197" s="2">
        <f>SUM($D$2:$D1197)</f>
        <v>7542.2299999999941</v>
      </c>
      <c r="O1197" s="2">
        <f t="shared" si="45"/>
        <v>0.44946717535598113</v>
      </c>
      <c r="P1197" s="2" cm="1">
        <f t="array" ref="P1197">SUMPRODUCT((O1197&gt;$T$9:$T$14)*(O1197&lt;=$U$9:$U$14),$S$9:$S$14)</f>
        <v>4</v>
      </c>
    </row>
    <row r="1198" spans="1:16" x14ac:dyDescent="0.25">
      <c r="A1198">
        <v>1157</v>
      </c>
      <c r="B1198">
        <v>783</v>
      </c>
      <c r="C1198">
        <v>502</v>
      </c>
      <c r="D1198">
        <v>16.079999999999998</v>
      </c>
      <c r="E1198">
        <v>14180</v>
      </c>
      <c r="F1198">
        <v>0</v>
      </c>
      <c r="G1198">
        <v>14180000</v>
      </c>
      <c r="H1198">
        <v>7</v>
      </c>
      <c r="I1198">
        <v>360</v>
      </c>
      <c r="J1198" s="2">
        <f t="shared" si="44"/>
        <v>5788.7999999999993</v>
      </c>
      <c r="K1198">
        <v>1197</v>
      </c>
      <c r="L1198" s="3">
        <f>SUM($I$2:$I1198)</f>
        <v>6277910</v>
      </c>
      <c r="M1198" s="3">
        <f>SUM($J$2:$J1198)</f>
        <v>24366256.499999974</v>
      </c>
      <c r="N1198" s="2">
        <f>SUM($D$2:$D1198)</f>
        <v>7558.309999999994</v>
      </c>
      <c r="O1198" s="2">
        <f t="shared" si="45"/>
        <v>0.45042543732621065</v>
      </c>
      <c r="P1198" s="2" cm="1">
        <f t="array" ref="P1198">SUMPRODUCT((O1198&gt;$T$9:$T$14)*(O1198&lt;=$U$9:$U$14),$S$9:$S$14)</f>
        <v>4</v>
      </c>
    </row>
    <row r="1199" spans="1:16" x14ac:dyDescent="0.25">
      <c r="A1199">
        <v>802</v>
      </c>
      <c r="B1199">
        <v>428</v>
      </c>
      <c r="C1199">
        <v>34</v>
      </c>
      <c r="D1199">
        <v>8.24</v>
      </c>
      <c r="E1199">
        <v>12800</v>
      </c>
      <c r="F1199">
        <v>0</v>
      </c>
      <c r="G1199">
        <v>12800000</v>
      </c>
      <c r="H1199">
        <v>4</v>
      </c>
      <c r="I1199">
        <v>360</v>
      </c>
      <c r="J1199" s="2">
        <f t="shared" si="44"/>
        <v>2966.4</v>
      </c>
      <c r="K1199">
        <v>1198</v>
      </c>
      <c r="L1199" s="3">
        <f>SUM($I$2:$I1199)</f>
        <v>6278270</v>
      </c>
      <c r="M1199" s="3">
        <f>SUM($J$2:$J1199)</f>
        <v>24369222.899999972</v>
      </c>
      <c r="N1199" s="2">
        <f>SUM($D$2:$D1199)</f>
        <v>7566.5499999999938</v>
      </c>
      <c r="O1199" s="2">
        <f t="shared" si="45"/>
        <v>0.45091648699254716</v>
      </c>
      <c r="P1199" s="2" cm="1">
        <f t="array" ref="P1199">SUMPRODUCT((O1199&gt;$T$9:$T$14)*(O1199&lt;=$U$9:$U$14),$S$9:$S$14)</f>
        <v>4</v>
      </c>
    </row>
    <row r="1200" spans="1:16" x14ac:dyDescent="0.25">
      <c r="A1200">
        <v>1839</v>
      </c>
      <c r="B1200">
        <v>1839</v>
      </c>
      <c r="C1200">
        <v>0</v>
      </c>
      <c r="D1200">
        <v>2.88</v>
      </c>
      <c r="E1200">
        <v>33257</v>
      </c>
      <c r="F1200">
        <v>0</v>
      </c>
      <c r="G1200">
        <v>33257000</v>
      </c>
      <c r="H1200">
        <v>60</v>
      </c>
      <c r="I1200">
        <v>360</v>
      </c>
      <c r="J1200" s="2">
        <f t="shared" si="44"/>
        <v>1036.8</v>
      </c>
      <c r="K1200">
        <v>1199</v>
      </c>
      <c r="L1200" s="3">
        <f>SUM($I$2:$I1200)</f>
        <v>6278630</v>
      </c>
      <c r="M1200" s="3">
        <f>SUM($J$2:$J1200)</f>
        <v>24370259.699999973</v>
      </c>
      <c r="N1200" s="2">
        <f>SUM($D$2:$D1200)</f>
        <v>7569.4299999999939</v>
      </c>
      <c r="O1200" s="2">
        <f t="shared" si="45"/>
        <v>0.45108811600214049</v>
      </c>
      <c r="P1200" s="2" cm="1">
        <f t="array" ref="P1200">SUMPRODUCT((O1200&gt;$T$9:$T$14)*(O1200&lt;=$U$9:$U$14),$S$9:$S$14)</f>
        <v>4</v>
      </c>
    </row>
    <row r="1201" spans="1:16" x14ac:dyDescent="0.25">
      <c r="A1201">
        <v>1322</v>
      </c>
      <c r="B1201">
        <v>154</v>
      </c>
      <c r="C1201">
        <v>1246</v>
      </c>
      <c r="D1201">
        <v>60.86</v>
      </c>
      <c r="E1201">
        <v>36300</v>
      </c>
      <c r="F1201">
        <v>0</v>
      </c>
      <c r="G1201">
        <v>36300000</v>
      </c>
      <c r="H1201">
        <v>72</v>
      </c>
      <c r="I1201">
        <v>350</v>
      </c>
      <c r="J1201" s="2">
        <f t="shared" si="44"/>
        <v>21301</v>
      </c>
      <c r="K1201">
        <v>1200</v>
      </c>
      <c r="L1201" s="3">
        <f>SUM($I$2:$I1201)</f>
        <v>6278980</v>
      </c>
      <c r="M1201" s="3">
        <f>SUM($J$2:$J1201)</f>
        <v>24391560.699999973</v>
      </c>
      <c r="N1201" s="2">
        <f>SUM($D$2:$D1201)</f>
        <v>7630.2899999999936</v>
      </c>
      <c r="O1201" s="2">
        <f t="shared" si="45"/>
        <v>0.45471497069792211</v>
      </c>
      <c r="P1201" s="2" cm="1">
        <f t="array" ref="P1201">SUMPRODUCT((O1201&gt;$T$9:$T$14)*(O1201&lt;=$U$9:$U$14),$S$9:$S$14)</f>
        <v>4</v>
      </c>
    </row>
    <row r="1202" spans="1:16" x14ac:dyDescent="0.25">
      <c r="A1202">
        <v>513</v>
      </c>
      <c r="B1202">
        <v>1300</v>
      </c>
      <c r="C1202">
        <v>711</v>
      </c>
      <c r="D1202">
        <v>21.63</v>
      </c>
      <c r="E1202">
        <v>18230</v>
      </c>
      <c r="F1202">
        <v>0</v>
      </c>
      <c r="G1202">
        <v>18230000</v>
      </c>
      <c r="H1202">
        <v>11</v>
      </c>
      <c r="I1202">
        <v>350</v>
      </c>
      <c r="J1202" s="2">
        <f t="shared" si="44"/>
        <v>7570.5</v>
      </c>
      <c r="K1202">
        <v>1201</v>
      </c>
      <c r="L1202" s="3">
        <f>SUM($I$2:$I1202)</f>
        <v>6279330</v>
      </c>
      <c r="M1202" s="3">
        <f>SUM($J$2:$J1202)</f>
        <v>24399131.199999973</v>
      </c>
      <c r="N1202" s="2">
        <f>SUM($D$2:$D1202)</f>
        <v>7651.9199999999937</v>
      </c>
      <c r="O1202" s="2">
        <f t="shared" si="45"/>
        <v>0.45600397607205545</v>
      </c>
      <c r="P1202" s="2" cm="1">
        <f t="array" ref="P1202">SUMPRODUCT((O1202&gt;$T$9:$T$14)*(O1202&lt;=$U$9:$U$14),$S$9:$S$14)</f>
        <v>4</v>
      </c>
    </row>
    <row r="1203" spans="1:16" x14ac:dyDescent="0.25">
      <c r="A1203">
        <v>460</v>
      </c>
      <c r="B1203">
        <v>1247</v>
      </c>
      <c r="C1203">
        <v>636</v>
      </c>
      <c r="D1203">
        <v>20.9</v>
      </c>
      <c r="E1203">
        <v>18160</v>
      </c>
      <c r="F1203">
        <v>0</v>
      </c>
      <c r="G1203">
        <v>18160000</v>
      </c>
      <c r="H1203">
        <v>11</v>
      </c>
      <c r="I1203">
        <v>350</v>
      </c>
      <c r="J1203" s="2">
        <f t="shared" si="44"/>
        <v>7314.9999999999991</v>
      </c>
      <c r="K1203">
        <v>1202</v>
      </c>
      <c r="L1203" s="3">
        <f>SUM($I$2:$I1203)</f>
        <v>6279680</v>
      </c>
      <c r="M1203" s="3">
        <f>SUM($J$2:$J1203)</f>
        <v>24406446.199999973</v>
      </c>
      <c r="N1203" s="2">
        <f>SUM($D$2:$D1203)</f>
        <v>7672.8199999999933</v>
      </c>
      <c r="O1203" s="2">
        <f t="shared" si="45"/>
        <v>0.45724947825972939</v>
      </c>
      <c r="P1203" s="2" cm="1">
        <f t="array" ref="P1203">SUMPRODUCT((O1203&gt;$T$9:$T$14)*(O1203&lt;=$U$9:$U$14),$S$9:$S$14)</f>
        <v>4</v>
      </c>
    </row>
    <row r="1204" spans="1:16" x14ac:dyDescent="0.25">
      <c r="A1204">
        <v>1251</v>
      </c>
      <c r="B1204">
        <v>83</v>
      </c>
      <c r="C1204">
        <v>1148</v>
      </c>
      <c r="D1204">
        <v>4.68</v>
      </c>
      <c r="E1204">
        <v>34500</v>
      </c>
      <c r="F1204">
        <v>0</v>
      </c>
      <c r="G1204">
        <v>34500000</v>
      </c>
      <c r="H1204">
        <v>65</v>
      </c>
      <c r="I1204">
        <v>350</v>
      </c>
      <c r="J1204" s="2">
        <f t="shared" si="44"/>
        <v>1638</v>
      </c>
      <c r="K1204">
        <v>1203</v>
      </c>
      <c r="L1204" s="3">
        <f>SUM($I$2:$I1204)</f>
        <v>6280030</v>
      </c>
      <c r="M1204" s="3">
        <f>SUM($J$2:$J1204)</f>
        <v>24408084.199999973</v>
      </c>
      <c r="N1204" s="2">
        <f>SUM($D$2:$D1204)</f>
        <v>7677.4999999999936</v>
      </c>
      <c r="O1204" s="2">
        <f t="shared" si="45"/>
        <v>0.4575283754003186</v>
      </c>
      <c r="P1204" s="2" cm="1">
        <f t="array" ref="P1204">SUMPRODUCT((O1204&gt;$T$9:$T$14)*(O1204&lt;=$U$9:$U$14),$S$9:$S$14)</f>
        <v>4</v>
      </c>
    </row>
    <row r="1205" spans="1:16" x14ac:dyDescent="0.25">
      <c r="A1205">
        <v>756</v>
      </c>
      <c r="B1205">
        <v>1543</v>
      </c>
      <c r="C1205">
        <v>1007</v>
      </c>
      <c r="D1205">
        <v>3.96</v>
      </c>
      <c r="E1205">
        <v>33240</v>
      </c>
      <c r="F1205">
        <v>0</v>
      </c>
      <c r="G1205">
        <v>33240000</v>
      </c>
      <c r="H1205">
        <v>60</v>
      </c>
      <c r="I1205">
        <v>350</v>
      </c>
      <c r="J1205" s="2">
        <f t="shared" si="44"/>
        <v>1386</v>
      </c>
      <c r="K1205">
        <v>1204</v>
      </c>
      <c r="L1205" s="3">
        <f>SUM($I$2:$I1205)</f>
        <v>6280380</v>
      </c>
      <c r="M1205" s="3">
        <f>SUM($J$2:$J1205)</f>
        <v>24409470.199999973</v>
      </c>
      <c r="N1205" s="2">
        <f>SUM($D$2:$D1205)</f>
        <v>7681.4599999999937</v>
      </c>
      <c r="O1205" s="2">
        <f t="shared" si="45"/>
        <v>0.45776436528850944</v>
      </c>
      <c r="P1205" s="2" cm="1">
        <f t="array" ref="P1205">SUMPRODUCT((O1205&gt;$T$9:$T$14)*(O1205&lt;=$U$9:$U$14),$S$9:$S$14)</f>
        <v>4</v>
      </c>
    </row>
    <row r="1206" spans="1:16" x14ac:dyDescent="0.25">
      <c r="A1206">
        <v>1260</v>
      </c>
      <c r="B1206">
        <v>92</v>
      </c>
      <c r="C1206">
        <v>1162</v>
      </c>
      <c r="D1206">
        <v>0.5</v>
      </c>
      <c r="E1206">
        <v>34392</v>
      </c>
      <c r="F1206">
        <v>0</v>
      </c>
      <c r="G1206">
        <v>34392000</v>
      </c>
      <c r="H1206">
        <v>64</v>
      </c>
      <c r="I1206">
        <v>350</v>
      </c>
      <c r="J1206" s="2">
        <f t="shared" si="44"/>
        <v>175</v>
      </c>
      <c r="K1206">
        <v>1205</v>
      </c>
      <c r="L1206" s="3">
        <f>SUM($I$2:$I1206)</f>
        <v>6280730</v>
      </c>
      <c r="M1206" s="3">
        <f>SUM($J$2:$J1206)</f>
        <v>24409645.199999973</v>
      </c>
      <c r="N1206" s="2">
        <f>SUM($D$2:$D1206)</f>
        <v>7681.9599999999937</v>
      </c>
      <c r="O1206" s="2">
        <f t="shared" si="45"/>
        <v>0.45779416199156386</v>
      </c>
      <c r="P1206" s="2" cm="1">
        <f t="array" ref="P1206">SUMPRODUCT((O1206&gt;$T$9:$T$14)*(O1206&lt;=$U$9:$U$14),$S$9:$S$14)</f>
        <v>4</v>
      </c>
    </row>
    <row r="1207" spans="1:16" x14ac:dyDescent="0.25">
      <c r="A1207">
        <v>1459</v>
      </c>
      <c r="B1207">
        <v>291</v>
      </c>
      <c r="C1207">
        <v>1416</v>
      </c>
      <c r="D1207">
        <v>32.049999999999997</v>
      </c>
      <c r="E1207">
        <v>46160</v>
      </c>
      <c r="F1207">
        <v>0</v>
      </c>
      <c r="G1207">
        <v>46160000</v>
      </c>
      <c r="H1207">
        <v>144</v>
      </c>
      <c r="I1207">
        <v>340</v>
      </c>
      <c r="J1207" s="2">
        <f t="shared" si="44"/>
        <v>10896.999999999998</v>
      </c>
      <c r="K1207">
        <v>1206</v>
      </c>
      <c r="L1207" s="3">
        <f>SUM($I$2:$I1207)</f>
        <v>6281070</v>
      </c>
      <c r="M1207" s="3">
        <f>SUM($J$2:$J1207)</f>
        <v>24420542.199999973</v>
      </c>
      <c r="N1207" s="2">
        <f>SUM($D$2:$D1207)</f>
        <v>7714.0099999999939</v>
      </c>
      <c r="O1207" s="2">
        <f t="shared" si="45"/>
        <v>0.45970413065735094</v>
      </c>
      <c r="P1207" s="2" cm="1">
        <f t="array" ref="P1207">SUMPRODUCT((O1207&gt;$T$9:$T$14)*(O1207&lt;=$U$9:$U$14),$S$9:$S$14)</f>
        <v>4</v>
      </c>
    </row>
    <row r="1208" spans="1:16" x14ac:dyDescent="0.25">
      <c r="A1208">
        <v>454</v>
      </c>
      <c r="B1208">
        <v>1241</v>
      </c>
      <c r="C1208">
        <v>630</v>
      </c>
      <c r="D1208">
        <v>24.11</v>
      </c>
      <c r="E1208">
        <v>13870</v>
      </c>
      <c r="F1208">
        <v>0.9</v>
      </c>
      <c r="G1208">
        <v>13870009</v>
      </c>
      <c r="H1208">
        <v>6</v>
      </c>
      <c r="I1208">
        <v>340</v>
      </c>
      <c r="J1208" s="2">
        <f t="shared" si="44"/>
        <v>8197.4</v>
      </c>
      <c r="K1208">
        <v>1207</v>
      </c>
      <c r="L1208" s="3">
        <f>SUM($I$2:$I1208)</f>
        <v>6281410</v>
      </c>
      <c r="M1208" s="3">
        <f>SUM($J$2:$J1208)</f>
        <v>24428739.599999972</v>
      </c>
      <c r="N1208" s="2">
        <f>SUM($D$2:$D1208)</f>
        <v>7738.1199999999935</v>
      </c>
      <c r="O1208" s="2">
        <f t="shared" si="45"/>
        <v>0.46114092767863413</v>
      </c>
      <c r="P1208" s="2" cm="1">
        <f t="array" ref="P1208">SUMPRODUCT((O1208&gt;$T$9:$T$14)*(O1208&lt;=$U$9:$U$14),$S$9:$S$14)</f>
        <v>4</v>
      </c>
    </row>
    <row r="1209" spans="1:16" x14ac:dyDescent="0.25">
      <c r="A1209">
        <v>1277</v>
      </c>
      <c r="B1209">
        <v>109</v>
      </c>
      <c r="C1209">
        <v>1187</v>
      </c>
      <c r="D1209">
        <v>20.36</v>
      </c>
      <c r="E1209">
        <v>36140</v>
      </c>
      <c r="F1209">
        <v>0</v>
      </c>
      <c r="G1209">
        <v>36140000</v>
      </c>
      <c r="H1209">
        <v>71</v>
      </c>
      <c r="I1209">
        <v>340</v>
      </c>
      <c r="J1209" s="2">
        <f t="shared" si="44"/>
        <v>6922.4</v>
      </c>
      <c r="K1209">
        <v>1208</v>
      </c>
      <c r="L1209" s="3">
        <f>SUM($I$2:$I1209)</f>
        <v>6281750</v>
      </c>
      <c r="M1209" s="3">
        <f>SUM($J$2:$J1209)</f>
        <v>24435661.99999997</v>
      </c>
      <c r="N1209" s="2">
        <f>SUM($D$2:$D1209)</f>
        <v>7758.4799999999932</v>
      </c>
      <c r="O1209" s="2">
        <f t="shared" si="45"/>
        <v>0.46235424942700926</v>
      </c>
      <c r="P1209" s="2" cm="1">
        <f t="array" ref="P1209">SUMPRODUCT((O1209&gt;$T$9:$T$14)*(O1209&lt;=$U$9:$U$14),$S$9:$S$14)</f>
        <v>4</v>
      </c>
    </row>
    <row r="1210" spans="1:16" x14ac:dyDescent="0.25">
      <c r="A1210">
        <v>1335</v>
      </c>
      <c r="B1210">
        <v>167</v>
      </c>
      <c r="C1210">
        <v>1261</v>
      </c>
      <c r="D1210">
        <v>18.600000000000001</v>
      </c>
      <c r="E1210">
        <v>36070</v>
      </c>
      <c r="F1210">
        <v>0</v>
      </c>
      <c r="G1210">
        <v>36070000</v>
      </c>
      <c r="H1210">
        <v>71</v>
      </c>
      <c r="I1210">
        <v>340</v>
      </c>
      <c r="J1210" s="2">
        <f t="shared" si="44"/>
        <v>6324.0000000000009</v>
      </c>
      <c r="K1210">
        <v>1209</v>
      </c>
      <c r="L1210" s="3">
        <f>SUM($I$2:$I1210)</f>
        <v>6282090</v>
      </c>
      <c r="M1210" s="3">
        <f>SUM($J$2:$J1210)</f>
        <v>24441985.99999997</v>
      </c>
      <c r="N1210" s="2">
        <f>SUM($D$2:$D1210)</f>
        <v>7777.0799999999936</v>
      </c>
      <c r="O1210" s="2">
        <f t="shared" si="45"/>
        <v>0.46346268678063296</v>
      </c>
      <c r="P1210" s="2" cm="1">
        <f t="array" ref="P1210">SUMPRODUCT((O1210&gt;$T$9:$T$14)*(O1210&lt;=$U$9:$U$14),$S$9:$S$14)</f>
        <v>4</v>
      </c>
    </row>
    <row r="1211" spans="1:16" x14ac:dyDescent="0.25">
      <c r="A1211">
        <v>651</v>
      </c>
      <c r="B1211">
        <v>1438</v>
      </c>
      <c r="C1211">
        <v>881</v>
      </c>
      <c r="D1211">
        <v>14.79</v>
      </c>
      <c r="E1211">
        <v>24120</v>
      </c>
      <c r="F1211">
        <v>0</v>
      </c>
      <c r="G1211">
        <v>24120000</v>
      </c>
      <c r="H1211">
        <v>21</v>
      </c>
      <c r="I1211">
        <v>340</v>
      </c>
      <c r="J1211" s="2">
        <f t="shared" si="44"/>
        <v>5028.5999999999995</v>
      </c>
      <c r="K1211">
        <v>1210</v>
      </c>
      <c r="L1211" s="3">
        <f>SUM($I$2:$I1211)</f>
        <v>6282430</v>
      </c>
      <c r="M1211" s="3">
        <f>SUM($J$2:$J1211)</f>
        <v>24447014.599999972</v>
      </c>
      <c r="N1211" s="2">
        <f>SUM($D$2:$D1211)</f>
        <v>7791.8699999999935</v>
      </c>
      <c r="O1211" s="2">
        <f t="shared" si="45"/>
        <v>0.46434407325698213</v>
      </c>
      <c r="P1211" s="2" cm="1">
        <f t="array" ref="P1211">SUMPRODUCT((O1211&gt;$T$9:$T$14)*(O1211&lt;=$U$9:$U$14),$S$9:$S$14)</f>
        <v>4</v>
      </c>
    </row>
    <row r="1212" spans="1:16" x14ac:dyDescent="0.25">
      <c r="A1212">
        <v>755</v>
      </c>
      <c r="B1212">
        <v>1542</v>
      </c>
      <c r="C1212">
        <v>1006</v>
      </c>
      <c r="D1212">
        <v>14.54</v>
      </c>
      <c r="E1212">
        <v>33240</v>
      </c>
      <c r="F1212">
        <v>4</v>
      </c>
      <c r="G1212">
        <v>33240040</v>
      </c>
      <c r="H1212">
        <v>60</v>
      </c>
      <c r="I1212">
        <v>340</v>
      </c>
      <c r="J1212" s="2">
        <f t="shared" si="44"/>
        <v>4943.5999999999995</v>
      </c>
      <c r="K1212">
        <v>1211</v>
      </c>
      <c r="L1212" s="3">
        <f>SUM($I$2:$I1212)</f>
        <v>6282770</v>
      </c>
      <c r="M1212" s="3">
        <f>SUM($J$2:$J1212)</f>
        <v>24451958.199999973</v>
      </c>
      <c r="N1212" s="2">
        <f>SUM($D$2:$D1212)</f>
        <v>7806.4099999999935</v>
      </c>
      <c r="O1212" s="2">
        <f t="shared" si="45"/>
        <v>0.46521056138180411</v>
      </c>
      <c r="P1212" s="2" cm="1">
        <f t="array" ref="P1212">SUMPRODUCT((O1212&gt;$T$9:$T$14)*(O1212&lt;=$U$9:$U$14),$S$9:$S$14)</f>
        <v>4</v>
      </c>
    </row>
    <row r="1213" spans="1:16" x14ac:dyDescent="0.25">
      <c r="A1213">
        <v>912</v>
      </c>
      <c r="B1213">
        <v>538</v>
      </c>
      <c r="C1213">
        <v>182</v>
      </c>
      <c r="D1213">
        <v>11.73</v>
      </c>
      <c r="E1213">
        <v>24150</v>
      </c>
      <c r="F1213">
        <v>2.8</v>
      </c>
      <c r="G1213">
        <v>24150028</v>
      </c>
      <c r="H1213">
        <v>21</v>
      </c>
      <c r="I1213">
        <v>340</v>
      </c>
      <c r="J1213" s="2">
        <f t="shared" si="44"/>
        <v>3988.2000000000003</v>
      </c>
      <c r="K1213">
        <v>1212</v>
      </c>
      <c r="L1213" s="3">
        <f>SUM($I$2:$I1213)</f>
        <v>6283110</v>
      </c>
      <c r="M1213" s="3">
        <f>SUM($J$2:$J1213)</f>
        <v>24455946.399999972</v>
      </c>
      <c r="N1213" s="2">
        <f>SUM($D$2:$D1213)</f>
        <v>7818.1399999999931</v>
      </c>
      <c r="O1213" s="2">
        <f t="shared" si="45"/>
        <v>0.46590959203546034</v>
      </c>
      <c r="P1213" s="2" cm="1">
        <f t="array" ref="P1213">SUMPRODUCT((O1213&gt;$T$9:$T$14)*(O1213&lt;=$U$9:$U$14),$S$9:$S$14)</f>
        <v>4</v>
      </c>
    </row>
    <row r="1214" spans="1:16" x14ac:dyDescent="0.25">
      <c r="A1214">
        <v>743</v>
      </c>
      <c r="B1214">
        <v>1530</v>
      </c>
      <c r="C1214">
        <v>993</v>
      </c>
      <c r="D1214">
        <v>10.72</v>
      </c>
      <c r="E1214">
        <v>33333</v>
      </c>
      <c r="F1214">
        <v>5.7</v>
      </c>
      <c r="G1214">
        <v>33333057</v>
      </c>
      <c r="H1214">
        <v>60</v>
      </c>
      <c r="I1214">
        <v>340</v>
      </c>
      <c r="J1214" s="2">
        <f t="shared" si="44"/>
        <v>3644.8</v>
      </c>
      <c r="K1214">
        <v>1213</v>
      </c>
      <c r="L1214" s="3">
        <f>SUM($I$2:$I1214)</f>
        <v>6283450</v>
      </c>
      <c r="M1214" s="3">
        <f>SUM($J$2:$J1214)</f>
        <v>24459591.199999973</v>
      </c>
      <c r="N1214" s="2">
        <f>SUM($D$2:$D1214)</f>
        <v>7828.8599999999933</v>
      </c>
      <c r="O1214" s="2">
        <f t="shared" si="45"/>
        <v>0.46654843334894669</v>
      </c>
      <c r="P1214" s="2" cm="1">
        <f t="array" ref="P1214">SUMPRODUCT((O1214&gt;$T$9:$T$14)*(O1214&lt;=$U$9:$U$14),$S$9:$S$14)</f>
        <v>4</v>
      </c>
    </row>
    <row r="1215" spans="1:16" x14ac:dyDescent="0.25">
      <c r="A1215">
        <v>1342</v>
      </c>
      <c r="B1215">
        <v>174</v>
      </c>
      <c r="C1215">
        <v>1269</v>
      </c>
      <c r="D1215">
        <v>9.25</v>
      </c>
      <c r="E1215">
        <v>34120</v>
      </c>
      <c r="F1215">
        <v>5</v>
      </c>
      <c r="G1215">
        <v>34120050</v>
      </c>
      <c r="H1215">
        <v>63</v>
      </c>
      <c r="I1215">
        <v>340</v>
      </c>
      <c r="J1215" s="2">
        <f t="shared" si="44"/>
        <v>3145</v>
      </c>
      <c r="K1215">
        <v>1214</v>
      </c>
      <c r="L1215" s="3">
        <f>SUM($I$2:$I1215)</f>
        <v>6283790</v>
      </c>
      <c r="M1215" s="3">
        <f>SUM($J$2:$J1215)</f>
        <v>24462736.199999973</v>
      </c>
      <c r="N1215" s="2">
        <f>SUM($D$2:$D1215)</f>
        <v>7838.1099999999933</v>
      </c>
      <c r="O1215" s="2">
        <f t="shared" si="45"/>
        <v>0.46709967235545308</v>
      </c>
      <c r="P1215" s="2" cm="1">
        <f t="array" ref="P1215">SUMPRODUCT((O1215&gt;$T$9:$T$14)*(O1215&lt;=$U$9:$U$14),$S$9:$S$14)</f>
        <v>4</v>
      </c>
    </row>
    <row r="1216" spans="1:16" x14ac:dyDescent="0.25">
      <c r="A1216">
        <v>1183</v>
      </c>
      <c r="B1216">
        <v>15</v>
      </c>
      <c r="C1216">
        <v>1065</v>
      </c>
      <c r="D1216">
        <v>8.49</v>
      </c>
      <c r="E1216">
        <v>29700</v>
      </c>
      <c r="F1216">
        <v>0</v>
      </c>
      <c r="G1216">
        <v>29700000</v>
      </c>
      <c r="H1216">
        <v>41</v>
      </c>
      <c r="I1216">
        <v>340</v>
      </c>
      <c r="J1216" s="2">
        <f t="shared" si="44"/>
        <v>2886.6</v>
      </c>
      <c r="K1216">
        <v>1215</v>
      </c>
      <c r="L1216" s="3">
        <f>SUM($I$2:$I1216)</f>
        <v>6284130</v>
      </c>
      <c r="M1216" s="3">
        <f>SUM($J$2:$J1216)</f>
        <v>24465622.799999975</v>
      </c>
      <c r="N1216" s="2">
        <f>SUM($D$2:$D1216)</f>
        <v>7846.5999999999931</v>
      </c>
      <c r="O1216" s="2">
        <f t="shared" si="45"/>
        <v>0.46760562037331682</v>
      </c>
      <c r="P1216" s="2" cm="1">
        <f t="array" ref="P1216">SUMPRODUCT((O1216&gt;$T$9:$T$14)*(O1216&lt;=$U$9:$U$14),$S$9:$S$14)</f>
        <v>4</v>
      </c>
    </row>
    <row r="1217" spans="1:16" x14ac:dyDescent="0.25">
      <c r="A1217">
        <v>1509</v>
      </c>
      <c r="B1217">
        <v>341</v>
      </c>
      <c r="C1217">
        <v>1480</v>
      </c>
      <c r="D1217">
        <v>8.4499999999999993</v>
      </c>
      <c r="E1217">
        <v>43705</v>
      </c>
      <c r="F1217">
        <v>1.9</v>
      </c>
      <c r="G1217">
        <v>43705019</v>
      </c>
      <c r="H1217">
        <v>124</v>
      </c>
      <c r="I1217">
        <v>340</v>
      </c>
      <c r="J1217" s="2">
        <f t="shared" si="44"/>
        <v>2872.9999999999995</v>
      </c>
      <c r="K1217">
        <v>1216</v>
      </c>
      <c r="L1217" s="3">
        <f>SUM($I$2:$I1217)</f>
        <v>6284470</v>
      </c>
      <c r="M1217" s="3">
        <f>SUM($J$2:$J1217)</f>
        <v>24468495.799999975</v>
      </c>
      <c r="N1217" s="2">
        <f>SUM($D$2:$D1217)</f>
        <v>7855.0499999999929</v>
      </c>
      <c r="O1217" s="2">
        <f t="shared" si="45"/>
        <v>0.46810918465493617</v>
      </c>
      <c r="P1217" s="2" cm="1">
        <f t="array" ref="P1217">SUMPRODUCT((O1217&gt;$T$9:$T$14)*(O1217&lt;=$U$9:$U$14),$S$9:$S$14)</f>
        <v>4</v>
      </c>
    </row>
    <row r="1218" spans="1:16" x14ac:dyDescent="0.25">
      <c r="A1218">
        <v>659</v>
      </c>
      <c r="B1218">
        <v>1446</v>
      </c>
      <c r="C1218">
        <v>892</v>
      </c>
      <c r="D1218">
        <v>8.09</v>
      </c>
      <c r="E1218">
        <v>16260</v>
      </c>
      <c r="F1218">
        <v>0.6</v>
      </c>
      <c r="G1218">
        <v>16260006</v>
      </c>
      <c r="H1218">
        <v>9</v>
      </c>
      <c r="I1218">
        <v>340</v>
      </c>
      <c r="J1218" s="2">
        <f t="shared" ref="J1218:J1281" si="46">I1218*D1218</f>
        <v>2750.6</v>
      </c>
      <c r="K1218">
        <v>1217</v>
      </c>
      <c r="L1218" s="3">
        <f>SUM($I$2:$I1218)</f>
        <v>6284810</v>
      </c>
      <c r="M1218" s="3">
        <f>SUM($J$2:$J1218)</f>
        <v>24471246.399999976</v>
      </c>
      <c r="N1218" s="2">
        <f>SUM($D$2:$D1218)</f>
        <v>7863.1399999999931</v>
      </c>
      <c r="O1218" s="2">
        <f t="shared" ref="O1218:O1281" si="47">N1218/$T$4</f>
        <v>0.46859129531035637</v>
      </c>
      <c r="P1218" s="2" cm="1">
        <f t="array" ref="P1218">SUMPRODUCT((O1218&gt;$T$9:$T$14)*(O1218&lt;=$U$9:$U$14),$S$9:$S$14)</f>
        <v>4</v>
      </c>
    </row>
    <row r="1219" spans="1:16" x14ac:dyDescent="0.25">
      <c r="A1219">
        <v>682</v>
      </c>
      <c r="B1219">
        <v>1469</v>
      </c>
      <c r="C1219">
        <v>919</v>
      </c>
      <c r="D1219">
        <v>5.71</v>
      </c>
      <c r="E1219">
        <v>15940</v>
      </c>
      <c r="F1219">
        <v>2.5</v>
      </c>
      <c r="G1219">
        <v>15940025</v>
      </c>
      <c r="H1219">
        <v>8</v>
      </c>
      <c r="I1219">
        <v>340</v>
      </c>
      <c r="J1219" s="2">
        <f t="shared" si="46"/>
        <v>1941.4</v>
      </c>
      <c r="K1219">
        <v>1218</v>
      </c>
      <c r="L1219" s="3">
        <f>SUM($I$2:$I1219)</f>
        <v>6285150</v>
      </c>
      <c r="M1219" s="3">
        <f>SUM($J$2:$J1219)</f>
        <v>24473187.799999975</v>
      </c>
      <c r="N1219" s="2">
        <f>SUM($D$2:$D1219)</f>
        <v>7868.8499999999931</v>
      </c>
      <c r="O1219" s="2">
        <f t="shared" si="47"/>
        <v>0.4689315736592376</v>
      </c>
      <c r="P1219" s="2" cm="1">
        <f t="array" ref="P1219">SUMPRODUCT((O1219&gt;$T$9:$T$14)*(O1219&lt;=$U$9:$U$14),$S$9:$S$14)</f>
        <v>4</v>
      </c>
    </row>
    <row r="1220" spans="1:16" x14ac:dyDescent="0.25">
      <c r="A1220">
        <v>1504</v>
      </c>
      <c r="B1220">
        <v>336</v>
      </c>
      <c r="C1220">
        <v>1475</v>
      </c>
      <c r="D1220">
        <v>20.04</v>
      </c>
      <c r="E1220">
        <v>43740</v>
      </c>
      <c r="F1220">
        <v>0</v>
      </c>
      <c r="G1220">
        <v>43740000</v>
      </c>
      <c r="H1220">
        <v>124</v>
      </c>
      <c r="I1220">
        <v>330</v>
      </c>
      <c r="J1220" s="2">
        <f t="shared" si="46"/>
        <v>6613.2</v>
      </c>
      <c r="K1220">
        <v>1219</v>
      </c>
      <c r="L1220" s="3">
        <f>SUM($I$2:$I1220)</f>
        <v>6285480</v>
      </c>
      <c r="M1220" s="3">
        <f>SUM($J$2:$J1220)</f>
        <v>24479800.999999974</v>
      </c>
      <c r="N1220" s="2">
        <f>SUM($D$2:$D1220)</f>
        <v>7888.8899999999931</v>
      </c>
      <c r="O1220" s="2">
        <f t="shared" si="47"/>
        <v>0.47012582551765797</v>
      </c>
      <c r="P1220" s="2" cm="1">
        <f t="array" ref="P1220">SUMPRODUCT((O1220&gt;$T$9:$T$14)*(O1220&lt;=$U$9:$U$14),$S$9:$S$14)</f>
        <v>4</v>
      </c>
    </row>
    <row r="1221" spans="1:16" x14ac:dyDescent="0.25">
      <c r="A1221">
        <v>1111</v>
      </c>
      <c r="B1221">
        <v>737</v>
      </c>
      <c r="C1221">
        <v>451</v>
      </c>
      <c r="D1221">
        <v>14.15</v>
      </c>
      <c r="E1221">
        <v>21370</v>
      </c>
      <c r="F1221">
        <v>0</v>
      </c>
      <c r="G1221">
        <v>21370000</v>
      </c>
      <c r="H1221">
        <v>17</v>
      </c>
      <c r="I1221">
        <v>330</v>
      </c>
      <c r="J1221" s="2">
        <f t="shared" si="46"/>
        <v>4669.5</v>
      </c>
      <c r="K1221">
        <v>1220</v>
      </c>
      <c r="L1221" s="3">
        <f>SUM($I$2:$I1221)</f>
        <v>6285810</v>
      </c>
      <c r="M1221" s="3">
        <f>SUM($J$2:$J1221)</f>
        <v>24484470.499999974</v>
      </c>
      <c r="N1221" s="2">
        <f>SUM($D$2:$D1221)</f>
        <v>7903.0399999999927</v>
      </c>
      <c r="O1221" s="2">
        <f t="shared" si="47"/>
        <v>0.47096907221409751</v>
      </c>
      <c r="P1221" s="2" cm="1">
        <f t="array" ref="P1221">SUMPRODUCT((O1221&gt;$T$9:$T$14)*(O1221&lt;=$U$9:$U$14),$S$9:$S$14)</f>
        <v>4</v>
      </c>
    </row>
    <row r="1222" spans="1:16" x14ac:dyDescent="0.25">
      <c r="A1222">
        <v>520</v>
      </c>
      <c r="B1222">
        <v>1307</v>
      </c>
      <c r="C1222">
        <v>721</v>
      </c>
      <c r="D1222">
        <v>13.57</v>
      </c>
      <c r="E1222">
        <v>14130</v>
      </c>
      <c r="F1222">
        <v>11.7</v>
      </c>
      <c r="G1222">
        <v>14130117</v>
      </c>
      <c r="H1222">
        <v>7</v>
      </c>
      <c r="I1222">
        <v>330</v>
      </c>
      <c r="J1222" s="2">
        <f t="shared" si="46"/>
        <v>4478.1000000000004</v>
      </c>
      <c r="K1222">
        <v>1221</v>
      </c>
      <c r="L1222" s="3">
        <f>SUM($I$2:$I1222)</f>
        <v>6286140</v>
      </c>
      <c r="M1222" s="3">
        <f>SUM($J$2:$J1222)</f>
        <v>24488948.599999975</v>
      </c>
      <c r="N1222" s="2">
        <f>SUM($D$2:$D1222)</f>
        <v>7916.6099999999924</v>
      </c>
      <c r="O1222" s="2">
        <f t="shared" si="47"/>
        <v>0.47177775473499389</v>
      </c>
      <c r="P1222" s="2" cm="1">
        <f t="array" ref="P1222">SUMPRODUCT((O1222&gt;$T$9:$T$14)*(O1222&lt;=$U$9:$U$14),$S$9:$S$14)</f>
        <v>4</v>
      </c>
    </row>
    <row r="1223" spans="1:16" x14ac:dyDescent="0.25">
      <c r="A1223">
        <v>411</v>
      </c>
      <c r="B1223">
        <v>1204</v>
      </c>
      <c r="C1223">
        <v>578</v>
      </c>
      <c r="D1223">
        <v>12.84</v>
      </c>
      <c r="E1223">
        <v>18360</v>
      </c>
      <c r="F1223">
        <v>0</v>
      </c>
      <c r="G1223">
        <v>18360000</v>
      </c>
      <c r="H1223">
        <v>11</v>
      </c>
      <c r="I1223">
        <v>330</v>
      </c>
      <c r="J1223" s="2">
        <f t="shared" si="46"/>
        <v>4237.2</v>
      </c>
      <c r="K1223">
        <v>1222</v>
      </c>
      <c r="L1223" s="3">
        <f>SUM($I$2:$I1223)</f>
        <v>6286470</v>
      </c>
      <c r="M1223" s="3">
        <f>SUM($J$2:$J1223)</f>
        <v>24493185.799999975</v>
      </c>
      <c r="N1223" s="2">
        <f>SUM($D$2:$D1223)</f>
        <v>7929.4499999999925</v>
      </c>
      <c r="O1223" s="2">
        <f t="shared" si="47"/>
        <v>0.47254293406943093</v>
      </c>
      <c r="P1223" s="2" cm="1">
        <f t="array" ref="P1223">SUMPRODUCT((O1223&gt;$T$9:$T$14)*(O1223&lt;=$U$9:$U$14),$S$9:$S$14)</f>
        <v>4</v>
      </c>
    </row>
    <row r="1224" spans="1:16" x14ac:dyDescent="0.25">
      <c r="A1224">
        <v>169</v>
      </c>
      <c r="B1224">
        <v>965</v>
      </c>
      <c r="C1224">
        <v>1745</v>
      </c>
      <c r="D1224">
        <v>9.31</v>
      </c>
      <c r="E1224">
        <v>58600</v>
      </c>
      <c r="F1224">
        <v>0</v>
      </c>
      <c r="G1224">
        <v>58600000</v>
      </c>
      <c r="H1224">
        <v>560</v>
      </c>
      <c r="I1224">
        <v>330</v>
      </c>
      <c r="J1224" s="2">
        <f t="shared" si="46"/>
        <v>3072.3</v>
      </c>
      <c r="K1224">
        <v>1223</v>
      </c>
      <c r="L1224" s="3">
        <f>SUM($I$2:$I1224)</f>
        <v>6286800</v>
      </c>
      <c r="M1224" s="3">
        <f>SUM($J$2:$J1224)</f>
        <v>24496258.099999975</v>
      </c>
      <c r="N1224" s="2">
        <f>SUM($D$2:$D1224)</f>
        <v>7938.7599999999929</v>
      </c>
      <c r="O1224" s="2">
        <f t="shared" si="47"/>
        <v>0.47309774868030385</v>
      </c>
      <c r="P1224" s="2" cm="1">
        <f t="array" ref="P1224">SUMPRODUCT((O1224&gt;$T$9:$T$14)*(O1224&lt;=$U$9:$U$14),$S$9:$S$14)</f>
        <v>4</v>
      </c>
    </row>
    <row r="1225" spans="1:16" x14ac:dyDescent="0.25">
      <c r="A1225">
        <v>1191</v>
      </c>
      <c r="B1225">
        <v>23</v>
      </c>
      <c r="C1225">
        <v>1075</v>
      </c>
      <c r="D1225">
        <v>8.8000000000000007</v>
      </c>
      <c r="E1225">
        <v>29580</v>
      </c>
      <c r="F1225">
        <v>3.1</v>
      </c>
      <c r="G1225">
        <v>29580031</v>
      </c>
      <c r="H1225">
        <v>41</v>
      </c>
      <c r="I1225">
        <v>330</v>
      </c>
      <c r="J1225" s="2">
        <f t="shared" si="46"/>
        <v>2904.0000000000005</v>
      </c>
      <c r="K1225">
        <v>1224</v>
      </c>
      <c r="L1225" s="3">
        <f>SUM($I$2:$I1225)</f>
        <v>6287130</v>
      </c>
      <c r="M1225" s="3">
        <f>SUM($J$2:$J1225)</f>
        <v>24499162.099999975</v>
      </c>
      <c r="N1225" s="2">
        <f>SUM($D$2:$D1225)</f>
        <v>7947.5599999999931</v>
      </c>
      <c r="O1225" s="2">
        <f t="shared" si="47"/>
        <v>0.47362217065406131</v>
      </c>
      <c r="P1225" s="2" cm="1">
        <f t="array" ref="P1225">SUMPRODUCT((O1225&gt;$T$9:$T$14)*(O1225&lt;=$U$9:$U$14),$S$9:$S$14)</f>
        <v>4</v>
      </c>
    </row>
    <row r="1226" spans="1:16" x14ac:dyDescent="0.25">
      <c r="A1226">
        <v>610</v>
      </c>
      <c r="B1226">
        <v>1397</v>
      </c>
      <c r="C1226">
        <v>832</v>
      </c>
      <c r="D1226">
        <v>6.08</v>
      </c>
      <c r="E1226">
        <v>24160</v>
      </c>
      <c r="F1226">
        <v>0</v>
      </c>
      <c r="G1226">
        <v>24160000</v>
      </c>
      <c r="H1226">
        <v>21</v>
      </c>
      <c r="I1226">
        <v>330</v>
      </c>
      <c r="J1226" s="2">
        <f t="shared" si="46"/>
        <v>2006.4</v>
      </c>
      <c r="K1226">
        <v>1225</v>
      </c>
      <c r="L1226" s="3">
        <f>SUM($I$2:$I1226)</f>
        <v>6287460</v>
      </c>
      <c r="M1226" s="3">
        <f>SUM($J$2:$J1226)</f>
        <v>24501168.499999974</v>
      </c>
      <c r="N1226" s="2">
        <f>SUM($D$2:$D1226)</f>
        <v>7953.6399999999931</v>
      </c>
      <c r="O1226" s="2">
        <f t="shared" si="47"/>
        <v>0.47398449856320285</v>
      </c>
      <c r="P1226" s="2" cm="1">
        <f t="array" ref="P1226">SUMPRODUCT((O1226&gt;$T$9:$T$14)*(O1226&lt;=$U$9:$U$14),$S$9:$S$14)</f>
        <v>4</v>
      </c>
    </row>
    <row r="1227" spans="1:16" x14ac:dyDescent="0.25">
      <c r="A1227">
        <v>498</v>
      </c>
      <c r="B1227">
        <v>1285</v>
      </c>
      <c r="C1227">
        <v>685</v>
      </c>
      <c r="D1227">
        <v>3.07</v>
      </c>
      <c r="E1227">
        <v>14320</v>
      </c>
      <c r="F1227">
        <v>0</v>
      </c>
      <c r="G1227">
        <v>14320000</v>
      </c>
      <c r="H1227">
        <v>7</v>
      </c>
      <c r="I1227">
        <v>330</v>
      </c>
      <c r="J1227" s="2">
        <f t="shared" si="46"/>
        <v>1013.0999999999999</v>
      </c>
      <c r="K1227">
        <v>1226</v>
      </c>
      <c r="L1227" s="3">
        <f>SUM($I$2:$I1227)</f>
        <v>6287790</v>
      </c>
      <c r="M1227" s="3">
        <f>SUM($J$2:$J1227)</f>
        <v>24502181.599999975</v>
      </c>
      <c r="N1227" s="2">
        <f>SUM($D$2:$D1227)</f>
        <v>7956.7099999999928</v>
      </c>
      <c r="O1227" s="2">
        <f t="shared" si="47"/>
        <v>0.47416745031995683</v>
      </c>
      <c r="P1227" s="2" cm="1">
        <f t="array" ref="P1227">SUMPRODUCT((O1227&gt;$T$9:$T$14)*(O1227&lt;=$U$9:$U$14),$S$9:$S$14)</f>
        <v>4</v>
      </c>
    </row>
    <row r="1228" spans="1:16" x14ac:dyDescent="0.25">
      <c r="A1228">
        <v>1166</v>
      </c>
      <c r="B1228">
        <v>792</v>
      </c>
      <c r="C1228">
        <v>512</v>
      </c>
      <c r="D1228">
        <v>54.36</v>
      </c>
      <c r="E1228">
        <v>18240</v>
      </c>
      <c r="F1228">
        <v>0</v>
      </c>
      <c r="G1228">
        <v>18240000</v>
      </c>
      <c r="H1228">
        <v>11</v>
      </c>
      <c r="I1228">
        <v>320</v>
      </c>
      <c r="J1228" s="2">
        <f t="shared" si="46"/>
        <v>17395.2</v>
      </c>
      <c r="K1228">
        <v>1227</v>
      </c>
      <c r="L1228" s="3">
        <f>SUM($I$2:$I1228)</f>
        <v>6288110</v>
      </c>
      <c r="M1228" s="3">
        <f>SUM($J$2:$J1228)</f>
        <v>24519576.799999975</v>
      </c>
      <c r="N1228" s="2">
        <f>SUM($D$2:$D1228)</f>
        <v>8011.0699999999924</v>
      </c>
      <c r="O1228" s="2">
        <f t="shared" si="47"/>
        <v>0.47740694787603122</v>
      </c>
      <c r="P1228" s="2" cm="1">
        <f t="array" ref="P1228">SUMPRODUCT((O1228&gt;$T$9:$T$14)*(O1228&lt;=$U$9:$U$14),$S$9:$S$14)</f>
        <v>4</v>
      </c>
    </row>
    <row r="1229" spans="1:16" x14ac:dyDescent="0.25">
      <c r="A1229">
        <v>1250</v>
      </c>
      <c r="B1229">
        <v>82</v>
      </c>
      <c r="C1229">
        <v>1147</v>
      </c>
      <c r="D1229">
        <v>17.62</v>
      </c>
      <c r="E1229">
        <v>34500</v>
      </c>
      <c r="F1229">
        <v>4.8</v>
      </c>
      <c r="G1229">
        <v>34500048</v>
      </c>
      <c r="H1229">
        <v>65</v>
      </c>
      <c r="I1229">
        <v>320</v>
      </c>
      <c r="J1229" s="2">
        <f t="shared" si="46"/>
        <v>5638.4000000000005</v>
      </c>
      <c r="K1229">
        <v>1228</v>
      </c>
      <c r="L1229" s="3">
        <f>SUM($I$2:$I1229)</f>
        <v>6288430</v>
      </c>
      <c r="M1229" s="3">
        <f>SUM($J$2:$J1229)</f>
        <v>24525215.199999973</v>
      </c>
      <c r="N1229" s="2">
        <f>SUM($D$2:$D1229)</f>
        <v>8028.6899999999923</v>
      </c>
      <c r="O1229" s="2">
        <f t="shared" si="47"/>
        <v>0.47845698369166834</v>
      </c>
      <c r="P1229" s="2" cm="1">
        <f t="array" ref="P1229">SUMPRODUCT((O1229&gt;$T$9:$T$14)*(O1229&lt;=$U$9:$U$14),$S$9:$S$14)</f>
        <v>4</v>
      </c>
    </row>
    <row r="1230" spans="1:16" x14ac:dyDescent="0.25">
      <c r="A1230">
        <v>1515</v>
      </c>
      <c r="B1230">
        <v>347</v>
      </c>
      <c r="C1230">
        <v>1486</v>
      </c>
      <c r="D1230">
        <v>12.63</v>
      </c>
      <c r="E1230">
        <v>42700</v>
      </c>
      <c r="F1230">
        <v>11.4</v>
      </c>
      <c r="G1230">
        <v>42700114</v>
      </c>
      <c r="H1230">
        <v>118</v>
      </c>
      <c r="I1230">
        <v>320</v>
      </c>
      <c r="J1230" s="2">
        <f t="shared" si="46"/>
        <v>4041.6000000000004</v>
      </c>
      <c r="K1230">
        <v>1229</v>
      </c>
      <c r="L1230" s="3">
        <f>SUM($I$2:$I1230)</f>
        <v>6288750</v>
      </c>
      <c r="M1230" s="3">
        <f>SUM($J$2:$J1230)</f>
        <v>24529256.799999975</v>
      </c>
      <c r="N1230" s="2">
        <f>SUM($D$2:$D1230)</f>
        <v>8041.3199999999924</v>
      </c>
      <c r="O1230" s="2">
        <f t="shared" si="47"/>
        <v>0.47920964841082248</v>
      </c>
      <c r="P1230" s="2" cm="1">
        <f t="array" ref="P1230">SUMPRODUCT((O1230&gt;$T$9:$T$14)*(O1230&lt;=$U$9:$U$14),$S$9:$S$14)</f>
        <v>4</v>
      </c>
    </row>
    <row r="1231" spans="1:16" x14ac:dyDescent="0.25">
      <c r="A1231">
        <v>1263</v>
      </c>
      <c r="B1231">
        <v>95</v>
      </c>
      <c r="C1231">
        <v>1167</v>
      </c>
      <c r="D1231">
        <v>7.6</v>
      </c>
      <c r="E1231">
        <v>40440</v>
      </c>
      <c r="F1231">
        <v>0</v>
      </c>
      <c r="G1231">
        <v>40440000</v>
      </c>
      <c r="H1231">
        <v>101</v>
      </c>
      <c r="I1231">
        <v>320</v>
      </c>
      <c r="J1231" s="2">
        <f t="shared" si="46"/>
        <v>2432</v>
      </c>
      <c r="K1231">
        <v>1230</v>
      </c>
      <c r="L1231" s="3">
        <f>SUM($I$2:$I1231)</f>
        <v>6289070</v>
      </c>
      <c r="M1231" s="3">
        <f>SUM($J$2:$J1231)</f>
        <v>24531688.799999975</v>
      </c>
      <c r="N1231" s="2">
        <f>SUM($D$2:$D1231)</f>
        <v>8048.9199999999928</v>
      </c>
      <c r="O1231" s="2">
        <f t="shared" si="47"/>
        <v>0.47966255829724935</v>
      </c>
      <c r="P1231" s="2" cm="1">
        <f t="array" ref="P1231">SUMPRODUCT((O1231&gt;$T$9:$T$14)*(O1231&lt;=$U$9:$U$14),$S$9:$S$14)</f>
        <v>4</v>
      </c>
    </row>
    <row r="1232" spans="1:16" x14ac:dyDescent="0.25">
      <c r="A1232">
        <v>759</v>
      </c>
      <c r="B1232">
        <v>1546</v>
      </c>
      <c r="C1232">
        <v>1014</v>
      </c>
      <c r="D1232">
        <v>7.46</v>
      </c>
      <c r="E1232">
        <v>33210</v>
      </c>
      <c r="F1232">
        <v>0</v>
      </c>
      <c r="G1232">
        <v>33210000</v>
      </c>
      <c r="H1232">
        <v>60</v>
      </c>
      <c r="I1232">
        <v>320</v>
      </c>
      <c r="J1232" s="2">
        <f t="shared" si="46"/>
        <v>2387.1999999999998</v>
      </c>
      <c r="K1232">
        <v>1231</v>
      </c>
      <c r="L1232" s="3">
        <f>SUM($I$2:$I1232)</f>
        <v>6289390</v>
      </c>
      <c r="M1232" s="3">
        <f>SUM($J$2:$J1232)</f>
        <v>24534075.999999974</v>
      </c>
      <c r="N1232" s="2">
        <f>SUM($D$2:$D1232)</f>
        <v>8056.3799999999928</v>
      </c>
      <c r="O1232" s="2">
        <f t="shared" si="47"/>
        <v>0.48010712510682102</v>
      </c>
      <c r="P1232" s="2" cm="1">
        <f t="array" ref="P1232">SUMPRODUCT((O1232&gt;$T$9:$T$14)*(O1232&lt;=$U$9:$U$14),$S$9:$S$14)</f>
        <v>4</v>
      </c>
    </row>
    <row r="1233" spans="1:16" x14ac:dyDescent="0.25">
      <c r="A1233">
        <v>239</v>
      </c>
      <c r="B1233">
        <v>1034</v>
      </c>
      <c r="C1233">
        <v>1848</v>
      </c>
      <c r="D1233">
        <v>6.12</v>
      </c>
      <c r="E1233">
        <v>62200</v>
      </c>
      <c r="F1233">
        <v>3.9</v>
      </c>
      <c r="G1233">
        <v>62200039</v>
      </c>
      <c r="H1233">
        <v>589</v>
      </c>
      <c r="I1233">
        <v>320</v>
      </c>
      <c r="J1233" s="2">
        <f t="shared" si="46"/>
        <v>1958.4</v>
      </c>
      <c r="K1233">
        <v>1232</v>
      </c>
      <c r="L1233" s="3">
        <f>SUM($I$2:$I1233)</f>
        <v>6289710</v>
      </c>
      <c r="M1233" s="3">
        <f>SUM($J$2:$J1233)</f>
        <v>24536034.399999972</v>
      </c>
      <c r="N1233" s="2">
        <f>SUM($D$2:$D1233)</f>
        <v>8062.4999999999927</v>
      </c>
      <c r="O1233" s="2">
        <f t="shared" si="47"/>
        <v>0.48047183675220689</v>
      </c>
      <c r="P1233" s="2" cm="1">
        <f t="array" ref="P1233">SUMPRODUCT((O1233&gt;$T$9:$T$14)*(O1233&lt;=$U$9:$U$14),$S$9:$S$14)</f>
        <v>4</v>
      </c>
    </row>
    <row r="1234" spans="1:16" x14ac:dyDescent="0.25">
      <c r="A1234">
        <v>1338</v>
      </c>
      <c r="B1234">
        <v>170</v>
      </c>
      <c r="C1234">
        <v>1265</v>
      </c>
      <c r="D1234">
        <v>4.82</v>
      </c>
      <c r="E1234">
        <v>33660</v>
      </c>
      <c r="F1234">
        <v>7.6</v>
      </c>
      <c r="G1234">
        <v>33660076</v>
      </c>
      <c r="H1234">
        <v>62</v>
      </c>
      <c r="I1234">
        <v>320</v>
      </c>
      <c r="J1234" s="2">
        <f t="shared" si="46"/>
        <v>1542.4</v>
      </c>
      <c r="K1234">
        <v>1233</v>
      </c>
      <c r="L1234" s="3">
        <f>SUM($I$2:$I1234)</f>
        <v>6290030</v>
      </c>
      <c r="M1234" s="3">
        <f>SUM($J$2:$J1234)</f>
        <v>24537576.799999971</v>
      </c>
      <c r="N1234" s="2">
        <f>SUM($D$2:$D1234)</f>
        <v>8067.3199999999924</v>
      </c>
      <c r="O1234" s="2">
        <f t="shared" si="47"/>
        <v>0.48075907696965131</v>
      </c>
      <c r="P1234" s="2" cm="1">
        <f t="array" ref="P1234">SUMPRODUCT((O1234&gt;$T$9:$T$14)*(O1234&lt;=$U$9:$U$14),$S$9:$S$14)</f>
        <v>4</v>
      </c>
    </row>
    <row r="1235" spans="1:16" x14ac:dyDescent="0.25">
      <c r="A1235">
        <v>1359</v>
      </c>
      <c r="B1235">
        <v>191</v>
      </c>
      <c r="C1235">
        <v>1294</v>
      </c>
      <c r="D1235">
        <v>17.350000000000001</v>
      </c>
      <c r="E1235">
        <v>33755</v>
      </c>
      <c r="F1235">
        <v>3.6</v>
      </c>
      <c r="G1235">
        <v>33755036</v>
      </c>
      <c r="H1235">
        <v>62</v>
      </c>
      <c r="I1235">
        <v>310</v>
      </c>
      <c r="J1235" s="2">
        <f t="shared" si="46"/>
        <v>5378.5</v>
      </c>
      <c r="K1235">
        <v>1234</v>
      </c>
      <c r="L1235" s="3">
        <f>SUM($I$2:$I1235)</f>
        <v>6290340</v>
      </c>
      <c r="M1235" s="3">
        <f>SUM($J$2:$J1235)</f>
        <v>24542955.299999971</v>
      </c>
      <c r="N1235" s="2">
        <f>SUM($D$2:$D1235)</f>
        <v>8084.6699999999928</v>
      </c>
      <c r="O1235" s="2">
        <f t="shared" si="47"/>
        <v>0.481793022565639</v>
      </c>
      <c r="P1235" s="2" cm="1">
        <f t="array" ref="P1235">SUMPRODUCT((O1235&gt;$T$9:$T$14)*(O1235&lt;=$U$9:$U$14),$S$9:$S$14)</f>
        <v>4</v>
      </c>
    </row>
    <row r="1236" spans="1:16" x14ac:dyDescent="0.25">
      <c r="A1236">
        <v>420</v>
      </c>
      <c r="B1236">
        <v>1207</v>
      </c>
      <c r="C1236">
        <v>584</v>
      </c>
      <c r="D1236">
        <v>6.84</v>
      </c>
      <c r="E1236">
        <v>20040</v>
      </c>
      <c r="F1236">
        <v>14</v>
      </c>
      <c r="G1236">
        <v>20040140</v>
      </c>
      <c r="H1236">
        <v>15</v>
      </c>
      <c r="I1236">
        <v>310</v>
      </c>
      <c r="J1236" s="2">
        <f t="shared" si="46"/>
        <v>2120.4</v>
      </c>
      <c r="K1236">
        <v>1235</v>
      </c>
      <c r="L1236" s="3">
        <f>SUM($I$2:$I1236)</f>
        <v>6290650</v>
      </c>
      <c r="M1236" s="3">
        <f>SUM($J$2:$J1236)</f>
        <v>24545075.699999969</v>
      </c>
      <c r="N1236" s="2">
        <f>SUM($D$2:$D1236)</f>
        <v>8091.5099999999929</v>
      </c>
      <c r="O1236" s="2">
        <f t="shared" si="47"/>
        <v>0.48220064146342323</v>
      </c>
      <c r="P1236" s="2" cm="1">
        <f t="array" ref="P1236">SUMPRODUCT((O1236&gt;$T$9:$T$14)*(O1236&lt;=$U$9:$U$14),$S$9:$S$14)</f>
        <v>4</v>
      </c>
    </row>
    <row r="1237" spans="1:16" x14ac:dyDescent="0.25">
      <c r="A1237">
        <v>867</v>
      </c>
      <c r="B1237">
        <v>493</v>
      </c>
      <c r="C1237">
        <v>118</v>
      </c>
      <c r="D1237">
        <v>6.5</v>
      </c>
      <c r="E1237">
        <v>11800</v>
      </c>
      <c r="F1237">
        <v>0</v>
      </c>
      <c r="G1237">
        <v>11800000</v>
      </c>
      <c r="H1237">
        <v>3</v>
      </c>
      <c r="I1237">
        <v>310</v>
      </c>
      <c r="J1237" s="2">
        <f t="shared" si="46"/>
        <v>2015</v>
      </c>
      <c r="K1237">
        <v>1236</v>
      </c>
      <c r="L1237" s="3">
        <f>SUM($I$2:$I1237)</f>
        <v>6290960</v>
      </c>
      <c r="M1237" s="3">
        <f>SUM($J$2:$J1237)</f>
        <v>24547090.699999969</v>
      </c>
      <c r="N1237" s="2">
        <f>SUM($D$2:$D1237)</f>
        <v>8098.0099999999929</v>
      </c>
      <c r="O1237" s="2">
        <f t="shared" si="47"/>
        <v>0.48258799860313045</v>
      </c>
      <c r="P1237" s="2" cm="1">
        <f t="array" ref="P1237">SUMPRODUCT((O1237&gt;$T$9:$T$14)*(O1237&lt;=$U$9:$U$14),$S$9:$S$14)</f>
        <v>4</v>
      </c>
    </row>
    <row r="1238" spans="1:16" x14ac:dyDescent="0.25">
      <c r="A1238">
        <v>980</v>
      </c>
      <c r="B1238">
        <v>606</v>
      </c>
      <c r="C1238">
        <v>274</v>
      </c>
      <c r="D1238">
        <v>1.52</v>
      </c>
      <c r="E1238">
        <v>20200</v>
      </c>
      <c r="F1238">
        <v>0</v>
      </c>
      <c r="G1238">
        <v>20200000</v>
      </c>
      <c r="H1238">
        <v>16</v>
      </c>
      <c r="I1238">
        <v>310</v>
      </c>
      <c r="J1238" s="2">
        <f t="shared" si="46"/>
        <v>471.2</v>
      </c>
      <c r="K1238">
        <v>1237</v>
      </c>
      <c r="L1238" s="3">
        <f>SUM($I$2:$I1238)</f>
        <v>6291270</v>
      </c>
      <c r="M1238" s="3">
        <f>SUM($J$2:$J1238)</f>
        <v>24547561.899999969</v>
      </c>
      <c r="N1238" s="2">
        <f>SUM($D$2:$D1238)</f>
        <v>8099.5299999999934</v>
      </c>
      <c r="O1238" s="2">
        <f t="shared" si="47"/>
        <v>0.48267858058041585</v>
      </c>
      <c r="P1238" s="2" cm="1">
        <f t="array" ref="P1238">SUMPRODUCT((O1238&gt;$T$9:$T$14)*(O1238&lt;=$U$9:$U$14),$S$9:$S$14)</f>
        <v>4</v>
      </c>
    </row>
    <row r="1239" spans="1:16" x14ac:dyDescent="0.25">
      <c r="A1239">
        <v>1460</v>
      </c>
      <c r="B1239">
        <v>292</v>
      </c>
      <c r="C1239">
        <v>1418</v>
      </c>
      <c r="D1239">
        <v>84.83</v>
      </c>
      <c r="E1239">
        <v>46130</v>
      </c>
      <c r="F1239">
        <v>0</v>
      </c>
      <c r="G1239">
        <v>46130000</v>
      </c>
      <c r="H1239">
        <v>144</v>
      </c>
      <c r="I1239">
        <v>300</v>
      </c>
      <c r="J1239" s="2">
        <f t="shared" si="46"/>
        <v>25449</v>
      </c>
      <c r="K1239">
        <v>1238</v>
      </c>
      <c r="L1239" s="3">
        <f>SUM($I$2:$I1239)</f>
        <v>6291570</v>
      </c>
      <c r="M1239" s="3">
        <f>SUM($J$2:$J1239)</f>
        <v>24573010.899999969</v>
      </c>
      <c r="N1239" s="2">
        <f>SUM($D$2:$D1239)</f>
        <v>8184.3599999999933</v>
      </c>
      <c r="O1239" s="2">
        <f t="shared" si="47"/>
        <v>0.48773388922062538</v>
      </c>
      <c r="P1239" s="2" cm="1">
        <f t="array" ref="P1239">SUMPRODUCT((O1239&gt;$T$9:$T$14)*(O1239&lt;=$U$9:$U$14),$S$9:$S$14)</f>
        <v>4</v>
      </c>
    </row>
    <row r="1240" spans="1:16" x14ac:dyDescent="0.25">
      <c r="A1240">
        <v>1324</v>
      </c>
      <c r="B1240">
        <v>156</v>
      </c>
      <c r="C1240">
        <v>1248</v>
      </c>
      <c r="D1240">
        <v>48.16</v>
      </c>
      <c r="E1240">
        <v>40395</v>
      </c>
      <c r="F1240">
        <v>0</v>
      </c>
      <c r="G1240">
        <v>40395000</v>
      </c>
      <c r="H1240">
        <v>101</v>
      </c>
      <c r="I1240">
        <v>300</v>
      </c>
      <c r="J1240" s="2">
        <f t="shared" si="46"/>
        <v>14447.999999999998</v>
      </c>
      <c r="K1240">
        <v>1239</v>
      </c>
      <c r="L1240" s="3">
        <f>SUM($I$2:$I1240)</f>
        <v>6291870</v>
      </c>
      <c r="M1240" s="3">
        <f>SUM($J$2:$J1240)</f>
        <v>24587458.899999969</v>
      </c>
      <c r="N1240" s="2">
        <f>SUM($D$2:$D1240)</f>
        <v>8232.5199999999932</v>
      </c>
      <c r="O1240" s="2">
        <f t="shared" si="47"/>
        <v>0.49060390765882522</v>
      </c>
      <c r="P1240" s="2" cm="1">
        <f t="array" ref="P1240">SUMPRODUCT((O1240&gt;$T$9:$T$14)*(O1240&lt;=$U$9:$U$14),$S$9:$S$14)</f>
        <v>4</v>
      </c>
    </row>
    <row r="1241" spans="1:16" x14ac:dyDescent="0.25">
      <c r="A1241">
        <v>868</v>
      </c>
      <c r="B1241">
        <v>494</v>
      </c>
      <c r="C1241">
        <v>119</v>
      </c>
      <c r="D1241">
        <v>17.059999999999999</v>
      </c>
      <c r="E1241">
        <v>11780</v>
      </c>
      <c r="F1241">
        <v>0</v>
      </c>
      <c r="G1241">
        <v>11780000</v>
      </c>
      <c r="H1241">
        <v>3</v>
      </c>
      <c r="I1241">
        <v>300</v>
      </c>
      <c r="J1241" s="2">
        <f t="shared" si="46"/>
        <v>5118</v>
      </c>
      <c r="K1241">
        <v>1240</v>
      </c>
      <c r="L1241" s="3">
        <f>SUM($I$2:$I1241)</f>
        <v>6292170</v>
      </c>
      <c r="M1241" s="3">
        <f>SUM($J$2:$J1241)</f>
        <v>24592576.899999969</v>
      </c>
      <c r="N1241" s="2">
        <f>SUM($D$2:$D1241)</f>
        <v>8249.5799999999927</v>
      </c>
      <c r="O1241" s="2">
        <f t="shared" si="47"/>
        <v>0.49162057116704139</v>
      </c>
      <c r="P1241" s="2" cm="1">
        <f t="array" ref="P1241">SUMPRODUCT((O1241&gt;$T$9:$T$14)*(O1241&lt;=$U$9:$U$14),$S$9:$S$14)</f>
        <v>4</v>
      </c>
    </row>
    <row r="1242" spans="1:16" x14ac:dyDescent="0.25">
      <c r="A1242">
        <v>1512</v>
      </c>
      <c r="B1242">
        <v>344</v>
      </c>
      <c r="C1242">
        <v>1484</v>
      </c>
      <c r="D1242">
        <v>13.66</v>
      </c>
      <c r="E1242">
        <v>42730</v>
      </c>
      <c r="F1242">
        <v>0</v>
      </c>
      <c r="G1242">
        <v>42730000</v>
      </c>
      <c r="H1242">
        <v>118</v>
      </c>
      <c r="I1242">
        <v>300</v>
      </c>
      <c r="J1242" s="2">
        <f t="shared" si="46"/>
        <v>4098</v>
      </c>
      <c r="K1242">
        <v>1241</v>
      </c>
      <c r="L1242" s="3">
        <f>SUM($I$2:$I1242)</f>
        <v>6292470</v>
      </c>
      <c r="M1242" s="3">
        <f>SUM($J$2:$J1242)</f>
        <v>24596674.899999969</v>
      </c>
      <c r="N1242" s="2">
        <f>SUM($D$2:$D1242)</f>
        <v>8263.2399999999925</v>
      </c>
      <c r="O1242" s="2">
        <f t="shared" si="47"/>
        <v>0.49243461709448755</v>
      </c>
      <c r="P1242" s="2" cm="1">
        <f t="array" ref="P1242">SUMPRODUCT((O1242&gt;$T$9:$T$14)*(O1242&lt;=$U$9:$U$14),$S$9:$S$14)</f>
        <v>4</v>
      </c>
    </row>
    <row r="1243" spans="1:16" x14ac:dyDescent="0.25">
      <c r="A1243">
        <v>761</v>
      </c>
      <c r="B1243">
        <v>1548</v>
      </c>
      <c r="C1243">
        <v>1016</v>
      </c>
      <c r="D1243">
        <v>7.32</v>
      </c>
      <c r="E1243">
        <v>33190</v>
      </c>
      <c r="F1243">
        <v>1.6</v>
      </c>
      <c r="G1243">
        <v>33190016</v>
      </c>
      <c r="H1243">
        <v>60</v>
      </c>
      <c r="I1243">
        <v>300</v>
      </c>
      <c r="J1243" s="2">
        <f t="shared" si="46"/>
        <v>2196</v>
      </c>
      <c r="K1243">
        <v>1242</v>
      </c>
      <c r="L1243" s="3">
        <f>SUM($I$2:$I1243)</f>
        <v>6292770</v>
      </c>
      <c r="M1243" s="3">
        <f>SUM($J$2:$J1243)</f>
        <v>24598870.899999969</v>
      </c>
      <c r="N1243" s="2">
        <f>SUM($D$2:$D1243)</f>
        <v>8270.5599999999922</v>
      </c>
      <c r="O1243" s="2">
        <f t="shared" si="47"/>
        <v>0.492870840827204</v>
      </c>
      <c r="P1243" s="2" cm="1">
        <f t="array" ref="P1243">SUMPRODUCT((O1243&gt;$T$9:$T$14)*(O1243&lt;=$U$9:$U$14),$S$9:$S$14)</f>
        <v>4</v>
      </c>
    </row>
    <row r="1244" spans="1:16" x14ac:dyDescent="0.25">
      <c r="A1244">
        <v>638</v>
      </c>
      <c r="B1244">
        <v>1425</v>
      </c>
      <c r="C1244">
        <v>865</v>
      </c>
      <c r="D1244">
        <v>7.05</v>
      </c>
      <c r="E1244">
        <v>18220</v>
      </c>
      <c r="F1244">
        <v>0</v>
      </c>
      <c r="G1244">
        <v>18220000</v>
      </c>
      <c r="H1244">
        <v>11</v>
      </c>
      <c r="I1244">
        <v>300</v>
      </c>
      <c r="J1244" s="2">
        <f t="shared" si="46"/>
        <v>2115</v>
      </c>
      <c r="K1244">
        <v>1243</v>
      </c>
      <c r="L1244" s="3">
        <f>SUM($I$2:$I1244)</f>
        <v>6293070</v>
      </c>
      <c r="M1244" s="3">
        <f>SUM($J$2:$J1244)</f>
        <v>24600985.899999969</v>
      </c>
      <c r="N1244" s="2">
        <f>SUM($D$2:$D1244)</f>
        <v>8277.6099999999915</v>
      </c>
      <c r="O1244" s="2">
        <f t="shared" si="47"/>
        <v>0.49329097434027097</v>
      </c>
      <c r="P1244" s="2" cm="1">
        <f t="array" ref="P1244">SUMPRODUCT((O1244&gt;$T$9:$T$14)*(O1244&lt;=$U$9:$U$14),$S$9:$S$14)</f>
        <v>4</v>
      </c>
    </row>
    <row r="1245" spans="1:16" x14ac:dyDescent="0.25">
      <c r="A1245">
        <v>1292</v>
      </c>
      <c r="B1245">
        <v>124</v>
      </c>
      <c r="C1245">
        <v>1210</v>
      </c>
      <c r="D1245">
        <v>6.73</v>
      </c>
      <c r="E1245">
        <v>36340</v>
      </c>
      <c r="F1245">
        <v>0</v>
      </c>
      <c r="G1245">
        <v>36340000</v>
      </c>
      <c r="H1245">
        <v>72</v>
      </c>
      <c r="I1245">
        <v>300</v>
      </c>
      <c r="J1245" s="2">
        <f t="shared" si="46"/>
        <v>2019.0000000000002</v>
      </c>
      <c r="K1245">
        <v>1244</v>
      </c>
      <c r="L1245" s="3">
        <f>SUM($I$2:$I1245)</f>
        <v>6293370</v>
      </c>
      <c r="M1245" s="3">
        <f>SUM($J$2:$J1245)</f>
        <v>24603004.899999969</v>
      </c>
      <c r="N1245" s="2">
        <f>SUM($D$2:$D1245)</f>
        <v>8284.3399999999911</v>
      </c>
      <c r="O1245" s="2">
        <f t="shared" si="47"/>
        <v>0.49369203796338318</v>
      </c>
      <c r="P1245" s="2" cm="1">
        <f t="array" ref="P1245">SUMPRODUCT((O1245&gt;$T$9:$T$14)*(O1245&lt;=$U$9:$U$14),$S$9:$S$14)</f>
        <v>4</v>
      </c>
    </row>
    <row r="1246" spans="1:16" x14ac:dyDescent="0.25">
      <c r="A1246">
        <v>1332</v>
      </c>
      <c r="B1246">
        <v>164</v>
      </c>
      <c r="C1246">
        <v>1258</v>
      </c>
      <c r="D1246">
        <v>5.27</v>
      </c>
      <c r="E1246">
        <v>34133</v>
      </c>
      <c r="F1246">
        <v>0</v>
      </c>
      <c r="G1246">
        <v>34133000</v>
      </c>
      <c r="H1246">
        <v>63</v>
      </c>
      <c r="I1246">
        <v>300</v>
      </c>
      <c r="J1246" s="2">
        <f t="shared" si="46"/>
        <v>1580.9999999999998</v>
      </c>
      <c r="K1246">
        <v>1245</v>
      </c>
      <c r="L1246" s="3">
        <f>SUM($I$2:$I1246)</f>
        <v>6293670</v>
      </c>
      <c r="M1246" s="3">
        <f>SUM($J$2:$J1246)</f>
        <v>24604585.899999969</v>
      </c>
      <c r="N1246" s="2">
        <f>SUM($D$2:$D1246)</f>
        <v>8289.6099999999915</v>
      </c>
      <c r="O1246" s="2">
        <f t="shared" si="47"/>
        <v>0.49400609521357658</v>
      </c>
      <c r="P1246" s="2" cm="1">
        <f t="array" ref="P1246">SUMPRODUCT((O1246&gt;$T$9:$T$14)*(O1246&lt;=$U$9:$U$14),$S$9:$S$14)</f>
        <v>4</v>
      </c>
    </row>
    <row r="1247" spans="1:16" x14ac:dyDescent="0.25">
      <c r="A1247">
        <v>1233</v>
      </c>
      <c r="B1247">
        <v>65</v>
      </c>
      <c r="C1247">
        <v>1126</v>
      </c>
      <c r="D1247">
        <v>3.14</v>
      </c>
      <c r="E1247">
        <v>27890</v>
      </c>
      <c r="F1247">
        <v>0</v>
      </c>
      <c r="G1247">
        <v>27890000</v>
      </c>
      <c r="H1247">
        <v>35</v>
      </c>
      <c r="I1247">
        <v>300</v>
      </c>
      <c r="J1247" s="2">
        <f t="shared" si="46"/>
        <v>942</v>
      </c>
      <c r="K1247">
        <v>1246</v>
      </c>
      <c r="L1247" s="3">
        <f>SUM($I$2:$I1247)</f>
        <v>6293970</v>
      </c>
      <c r="M1247" s="3">
        <f>SUM($J$2:$J1247)</f>
        <v>24605527.899999969</v>
      </c>
      <c r="N1247" s="2">
        <f>SUM($D$2:$D1247)</f>
        <v>8292.7499999999909</v>
      </c>
      <c r="O1247" s="2">
        <f t="shared" si="47"/>
        <v>0.49419321850875819</v>
      </c>
      <c r="P1247" s="2" cm="1">
        <f t="array" ref="P1247">SUMPRODUCT((O1247&gt;$T$9:$T$14)*(O1247&lt;=$U$9:$U$14),$S$9:$S$14)</f>
        <v>4</v>
      </c>
    </row>
    <row r="1248" spans="1:16" x14ac:dyDescent="0.25">
      <c r="A1248">
        <v>440</v>
      </c>
      <c r="B1248">
        <v>1227</v>
      </c>
      <c r="C1248">
        <v>611</v>
      </c>
      <c r="D1248">
        <v>0.9</v>
      </c>
      <c r="E1248">
        <v>22210</v>
      </c>
      <c r="F1248">
        <v>0</v>
      </c>
      <c r="G1248">
        <v>22210000</v>
      </c>
      <c r="H1248">
        <v>17</v>
      </c>
      <c r="I1248">
        <v>300</v>
      </c>
      <c r="J1248" s="2">
        <f t="shared" si="46"/>
        <v>270</v>
      </c>
      <c r="K1248">
        <v>1247</v>
      </c>
      <c r="L1248" s="3">
        <f>SUM($I$2:$I1248)</f>
        <v>6294270</v>
      </c>
      <c r="M1248" s="3">
        <f>SUM($J$2:$J1248)</f>
        <v>24605797.899999969</v>
      </c>
      <c r="N1248" s="2">
        <f>SUM($D$2:$D1248)</f>
        <v>8293.6499999999905</v>
      </c>
      <c r="O1248" s="2">
        <f t="shared" si="47"/>
        <v>0.4942468525742561</v>
      </c>
      <c r="P1248" s="2" cm="1">
        <f t="array" ref="P1248">SUMPRODUCT((O1248&gt;$T$9:$T$14)*(O1248&lt;=$U$9:$U$14),$S$9:$S$14)</f>
        <v>4</v>
      </c>
    </row>
    <row r="1249" spans="1:16" x14ac:dyDescent="0.25">
      <c r="A1249">
        <v>1001</v>
      </c>
      <c r="B1249">
        <v>627</v>
      </c>
      <c r="C1249">
        <v>300</v>
      </c>
      <c r="D1249">
        <v>21.93</v>
      </c>
      <c r="E1249">
        <v>18170</v>
      </c>
      <c r="F1249">
        <v>0</v>
      </c>
      <c r="G1249">
        <v>18170000</v>
      </c>
      <c r="H1249">
        <v>11</v>
      </c>
      <c r="I1249">
        <v>290</v>
      </c>
      <c r="J1249" s="2">
        <f t="shared" si="46"/>
        <v>6359.7</v>
      </c>
      <c r="K1249">
        <v>1248</v>
      </c>
      <c r="L1249" s="3">
        <f>SUM($I$2:$I1249)</f>
        <v>6294560</v>
      </c>
      <c r="M1249" s="3">
        <f>SUM($J$2:$J1249)</f>
        <v>24612157.599999968</v>
      </c>
      <c r="N1249" s="2">
        <f>SUM($D$2:$D1249)</f>
        <v>8315.5799999999908</v>
      </c>
      <c r="O1249" s="2">
        <f t="shared" si="47"/>
        <v>0.49555373597022212</v>
      </c>
      <c r="P1249" s="2" cm="1">
        <f t="array" ref="P1249">SUMPRODUCT((O1249&gt;$T$9:$T$14)*(O1249&lt;=$U$9:$U$14),$S$9:$S$14)</f>
        <v>4</v>
      </c>
    </row>
    <row r="1250" spans="1:16" x14ac:dyDescent="0.25">
      <c r="A1250">
        <v>865</v>
      </c>
      <c r="B1250">
        <v>491</v>
      </c>
      <c r="C1250">
        <v>115</v>
      </c>
      <c r="D1250">
        <v>13.26</v>
      </c>
      <c r="E1250">
        <v>11810</v>
      </c>
      <c r="F1250">
        <v>8.4</v>
      </c>
      <c r="G1250">
        <v>11810084</v>
      </c>
      <c r="H1250">
        <v>3</v>
      </c>
      <c r="I1250">
        <v>290</v>
      </c>
      <c r="J1250" s="2">
        <f t="shared" si="46"/>
        <v>3845.4</v>
      </c>
      <c r="K1250">
        <v>1249</v>
      </c>
      <c r="L1250" s="3">
        <f>SUM($I$2:$I1250)</f>
        <v>6294850</v>
      </c>
      <c r="M1250" s="3">
        <f>SUM($J$2:$J1250)</f>
        <v>24616002.999999966</v>
      </c>
      <c r="N1250" s="2">
        <f>SUM($D$2:$D1250)</f>
        <v>8328.8399999999911</v>
      </c>
      <c r="O1250" s="2">
        <f t="shared" si="47"/>
        <v>0.49634394453522485</v>
      </c>
      <c r="P1250" s="2" cm="1">
        <f t="array" ref="P1250">SUMPRODUCT((O1250&gt;$T$9:$T$14)*(O1250&lt;=$U$9:$U$14),$S$9:$S$14)</f>
        <v>4</v>
      </c>
    </row>
    <row r="1251" spans="1:16" x14ac:dyDescent="0.25">
      <c r="A1251">
        <v>757</v>
      </c>
      <c r="B1251">
        <v>1544</v>
      </c>
      <c r="C1251">
        <v>1008</v>
      </c>
      <c r="D1251">
        <v>10</v>
      </c>
      <c r="E1251">
        <v>33230</v>
      </c>
      <c r="F1251">
        <v>0</v>
      </c>
      <c r="G1251">
        <v>33230000</v>
      </c>
      <c r="H1251">
        <v>60</v>
      </c>
      <c r="I1251">
        <v>290</v>
      </c>
      <c r="J1251" s="2">
        <f t="shared" si="46"/>
        <v>2900</v>
      </c>
      <c r="K1251">
        <v>1250</v>
      </c>
      <c r="L1251" s="3">
        <f>SUM($I$2:$I1251)</f>
        <v>6295140</v>
      </c>
      <c r="M1251" s="3">
        <f>SUM($J$2:$J1251)</f>
        <v>24618902.999999966</v>
      </c>
      <c r="N1251" s="2">
        <f>SUM($D$2:$D1251)</f>
        <v>8338.8399999999911</v>
      </c>
      <c r="O1251" s="2">
        <f t="shared" si="47"/>
        <v>0.49693987859631283</v>
      </c>
      <c r="P1251" s="2" cm="1">
        <f t="array" ref="P1251">SUMPRODUCT((O1251&gt;$T$9:$T$14)*(O1251&lt;=$U$9:$U$14),$S$9:$S$14)</f>
        <v>4</v>
      </c>
    </row>
    <row r="1252" spans="1:16" x14ac:dyDescent="0.25">
      <c r="A1252">
        <v>1231</v>
      </c>
      <c r="B1252">
        <v>63</v>
      </c>
      <c r="C1252">
        <v>1124</v>
      </c>
      <c r="D1252">
        <v>9.4499999999999993</v>
      </c>
      <c r="E1252">
        <v>27890</v>
      </c>
      <c r="F1252">
        <v>6.6</v>
      </c>
      <c r="G1252">
        <v>27890066</v>
      </c>
      <c r="H1252">
        <v>35</v>
      </c>
      <c r="I1252">
        <v>290</v>
      </c>
      <c r="J1252" s="2">
        <f t="shared" si="46"/>
        <v>2740.5</v>
      </c>
      <c r="K1252">
        <v>1251</v>
      </c>
      <c r="L1252" s="3">
        <f>SUM($I$2:$I1252)</f>
        <v>6295430</v>
      </c>
      <c r="M1252" s="3">
        <f>SUM($J$2:$J1252)</f>
        <v>24621643.499999966</v>
      </c>
      <c r="N1252" s="2">
        <f>SUM($D$2:$D1252)</f>
        <v>8348.2899999999918</v>
      </c>
      <c r="O1252" s="2">
        <f t="shared" si="47"/>
        <v>0.49750303628404102</v>
      </c>
      <c r="P1252" s="2" cm="1">
        <f t="array" ref="P1252">SUMPRODUCT((O1252&gt;$T$9:$T$14)*(O1252&lt;=$U$9:$U$14),$S$9:$S$14)</f>
        <v>4</v>
      </c>
    </row>
    <row r="1253" spans="1:16" x14ac:dyDescent="0.25">
      <c r="A1253">
        <v>589</v>
      </c>
      <c r="B1253">
        <v>1376</v>
      </c>
      <c r="C1253">
        <v>804</v>
      </c>
      <c r="D1253">
        <v>3.04</v>
      </c>
      <c r="E1253">
        <v>22200</v>
      </c>
      <c r="F1253">
        <v>4.5999999999999996</v>
      </c>
      <c r="G1253">
        <v>22200046</v>
      </c>
      <c r="H1253">
        <v>17</v>
      </c>
      <c r="I1253">
        <v>290</v>
      </c>
      <c r="J1253" s="2">
        <f t="shared" si="46"/>
        <v>881.6</v>
      </c>
      <c r="K1253">
        <v>1252</v>
      </c>
      <c r="L1253" s="3">
        <f>SUM($I$2:$I1253)</f>
        <v>6295720</v>
      </c>
      <c r="M1253" s="3">
        <f>SUM($J$2:$J1253)</f>
        <v>24622525.099999968</v>
      </c>
      <c r="N1253" s="2">
        <f>SUM($D$2:$D1253)</f>
        <v>8351.3299999999927</v>
      </c>
      <c r="O1253" s="2">
        <f t="shared" si="47"/>
        <v>0.49768420023861187</v>
      </c>
      <c r="P1253" s="2" cm="1">
        <f t="array" ref="P1253">SUMPRODUCT((O1253&gt;$T$9:$T$14)*(O1253&lt;=$U$9:$U$14),$S$9:$S$14)</f>
        <v>4</v>
      </c>
    </row>
    <row r="1254" spans="1:16" x14ac:dyDescent="0.25">
      <c r="A1254">
        <v>1287</v>
      </c>
      <c r="B1254">
        <v>119</v>
      </c>
      <c r="C1254">
        <v>1203</v>
      </c>
      <c r="D1254">
        <v>2.83</v>
      </c>
      <c r="E1254">
        <v>41110</v>
      </c>
      <c r="F1254">
        <v>0</v>
      </c>
      <c r="G1254">
        <v>41110000</v>
      </c>
      <c r="H1254">
        <v>105</v>
      </c>
      <c r="I1254">
        <v>290</v>
      </c>
      <c r="J1254" s="2">
        <f t="shared" si="46"/>
        <v>820.7</v>
      </c>
      <c r="K1254">
        <v>1253</v>
      </c>
      <c r="L1254" s="3">
        <f>SUM($I$2:$I1254)</f>
        <v>6296010</v>
      </c>
      <c r="M1254" s="3">
        <f>SUM($J$2:$J1254)</f>
        <v>24623345.799999967</v>
      </c>
      <c r="N1254" s="2">
        <f>SUM($D$2:$D1254)</f>
        <v>8354.1599999999926</v>
      </c>
      <c r="O1254" s="2">
        <f t="shared" si="47"/>
        <v>0.49785284957789977</v>
      </c>
      <c r="P1254" s="2" cm="1">
        <f t="array" ref="P1254">SUMPRODUCT((O1254&gt;$T$9:$T$14)*(O1254&lt;=$U$9:$U$14),$S$9:$S$14)</f>
        <v>4</v>
      </c>
    </row>
    <row r="1255" spans="1:16" x14ac:dyDescent="0.25">
      <c r="A1255">
        <v>166</v>
      </c>
      <c r="B1255">
        <v>962</v>
      </c>
      <c r="C1255">
        <v>1740</v>
      </c>
      <c r="D1255">
        <v>97.74</v>
      </c>
      <c r="E1255">
        <v>58660</v>
      </c>
      <c r="F1255">
        <v>0</v>
      </c>
      <c r="G1255">
        <v>58660000</v>
      </c>
      <c r="H1255">
        <v>560</v>
      </c>
      <c r="I1255">
        <v>280</v>
      </c>
      <c r="J1255" s="2">
        <f t="shared" si="46"/>
        <v>27367.199999999997</v>
      </c>
      <c r="K1255">
        <v>1254</v>
      </c>
      <c r="L1255" s="3">
        <f>SUM($I$2:$I1255)</f>
        <v>6296290</v>
      </c>
      <c r="M1255" s="3">
        <f>SUM($J$2:$J1255)</f>
        <v>24650712.999999966</v>
      </c>
      <c r="N1255" s="2">
        <f>SUM($D$2:$D1255)</f>
        <v>8451.8999999999924</v>
      </c>
      <c r="O1255" s="2">
        <f t="shared" si="47"/>
        <v>0.50367750909097397</v>
      </c>
      <c r="P1255" s="2" cm="1">
        <f t="array" ref="P1255">SUMPRODUCT((O1255&gt;$T$9:$T$14)*(O1255&lt;=$U$9:$U$14),$S$9:$S$14)</f>
        <v>5</v>
      </c>
    </row>
    <row r="1256" spans="1:16" x14ac:dyDescent="0.25">
      <c r="A1256">
        <v>426</v>
      </c>
      <c r="B1256">
        <v>1213</v>
      </c>
      <c r="C1256">
        <v>592</v>
      </c>
      <c r="D1256">
        <v>64.56</v>
      </c>
      <c r="E1256">
        <v>18170</v>
      </c>
      <c r="F1256">
        <v>21.8</v>
      </c>
      <c r="G1256">
        <v>18170218</v>
      </c>
      <c r="H1256">
        <v>11</v>
      </c>
      <c r="I1256">
        <v>280</v>
      </c>
      <c r="J1256" s="2">
        <f t="shared" si="46"/>
        <v>18076.8</v>
      </c>
      <c r="K1256">
        <v>1255</v>
      </c>
      <c r="L1256" s="3">
        <f>SUM($I$2:$I1256)</f>
        <v>6296570</v>
      </c>
      <c r="M1256" s="3">
        <f>SUM($J$2:$J1256)</f>
        <v>24668789.799999967</v>
      </c>
      <c r="N1256" s="2">
        <f>SUM($D$2:$D1256)</f>
        <v>8516.4599999999919</v>
      </c>
      <c r="O1256" s="2">
        <f t="shared" si="47"/>
        <v>0.5075248593893581</v>
      </c>
      <c r="P1256" s="2" cm="1">
        <f t="array" ref="P1256">SUMPRODUCT((O1256&gt;$T$9:$T$14)*(O1256&lt;=$U$9:$U$14),$S$9:$S$14)</f>
        <v>5</v>
      </c>
    </row>
    <row r="1257" spans="1:16" x14ac:dyDescent="0.25">
      <c r="A1257">
        <v>1254</v>
      </c>
      <c r="B1257">
        <v>86</v>
      </c>
      <c r="C1257">
        <v>1152</v>
      </c>
      <c r="D1257">
        <v>34.43</v>
      </c>
      <c r="E1257">
        <v>34400</v>
      </c>
      <c r="F1257">
        <v>0</v>
      </c>
      <c r="G1257">
        <v>34400000</v>
      </c>
      <c r="H1257">
        <v>64</v>
      </c>
      <c r="I1257">
        <v>280</v>
      </c>
      <c r="J1257" s="2">
        <f t="shared" si="46"/>
        <v>9640.4</v>
      </c>
      <c r="K1257">
        <v>1256</v>
      </c>
      <c r="L1257" s="3">
        <f>SUM($I$2:$I1257)</f>
        <v>6296850</v>
      </c>
      <c r="M1257" s="3">
        <f>SUM($J$2:$J1257)</f>
        <v>24678430.199999966</v>
      </c>
      <c r="N1257" s="2">
        <f>SUM($D$2:$D1257)</f>
        <v>8550.8899999999921</v>
      </c>
      <c r="O1257" s="2">
        <f t="shared" si="47"/>
        <v>0.50957666036168414</v>
      </c>
      <c r="P1257" s="2" cm="1">
        <f t="array" ref="P1257">SUMPRODUCT((O1257&gt;$T$9:$T$14)*(O1257&lt;=$U$9:$U$14),$S$9:$S$14)</f>
        <v>5</v>
      </c>
    </row>
    <row r="1258" spans="1:16" x14ac:dyDescent="0.25">
      <c r="A1258">
        <v>1339</v>
      </c>
      <c r="B1258">
        <v>171</v>
      </c>
      <c r="C1258">
        <v>1266</v>
      </c>
      <c r="D1258">
        <v>13.3</v>
      </c>
      <c r="E1258">
        <v>41000</v>
      </c>
      <c r="F1258">
        <v>0</v>
      </c>
      <c r="G1258">
        <v>41000000</v>
      </c>
      <c r="H1258">
        <v>105</v>
      </c>
      <c r="I1258">
        <v>280</v>
      </c>
      <c r="J1258" s="2">
        <f t="shared" si="46"/>
        <v>3724</v>
      </c>
      <c r="K1258">
        <v>1257</v>
      </c>
      <c r="L1258" s="3">
        <f>SUM($I$2:$I1258)</f>
        <v>6297130</v>
      </c>
      <c r="M1258" s="3">
        <f>SUM($J$2:$J1258)</f>
        <v>24682154.199999966</v>
      </c>
      <c r="N1258" s="2">
        <f>SUM($D$2:$D1258)</f>
        <v>8564.1899999999914</v>
      </c>
      <c r="O1258" s="2">
        <f t="shared" si="47"/>
        <v>0.51036925266293109</v>
      </c>
      <c r="P1258" s="2" cm="1">
        <f t="array" ref="P1258">SUMPRODUCT((O1258&gt;$T$9:$T$14)*(O1258&lt;=$U$9:$U$14),$S$9:$S$14)</f>
        <v>5</v>
      </c>
    </row>
    <row r="1259" spans="1:16" x14ac:dyDescent="0.25">
      <c r="A1259">
        <v>1182</v>
      </c>
      <c r="B1259">
        <v>14</v>
      </c>
      <c r="C1259">
        <v>1063</v>
      </c>
      <c r="D1259">
        <v>9.98</v>
      </c>
      <c r="E1259">
        <v>29710</v>
      </c>
      <c r="F1259">
        <v>0</v>
      </c>
      <c r="G1259">
        <v>29710000</v>
      </c>
      <c r="H1259">
        <v>41</v>
      </c>
      <c r="I1259">
        <v>280</v>
      </c>
      <c r="J1259" s="2">
        <f t="shared" si="46"/>
        <v>2794.4</v>
      </c>
      <c r="K1259">
        <v>1258</v>
      </c>
      <c r="L1259" s="3">
        <f>SUM($I$2:$I1259)</f>
        <v>6297410</v>
      </c>
      <c r="M1259" s="3">
        <f>SUM($J$2:$J1259)</f>
        <v>24684948.599999964</v>
      </c>
      <c r="N1259" s="2">
        <f>SUM($D$2:$D1259)</f>
        <v>8574.169999999991</v>
      </c>
      <c r="O1259" s="2">
        <f t="shared" si="47"/>
        <v>0.51096399485589694</v>
      </c>
      <c r="P1259" s="2" cm="1">
        <f t="array" ref="P1259">SUMPRODUCT((O1259&gt;$T$9:$T$14)*(O1259&lt;=$U$9:$U$14),$S$9:$S$14)</f>
        <v>5</v>
      </c>
    </row>
    <row r="1260" spans="1:16" x14ac:dyDescent="0.25">
      <c r="A1260">
        <v>439</v>
      </c>
      <c r="B1260">
        <v>1226</v>
      </c>
      <c r="C1260">
        <v>609</v>
      </c>
      <c r="D1260">
        <v>8.19</v>
      </c>
      <c r="E1260">
        <v>24600</v>
      </c>
      <c r="F1260">
        <v>0</v>
      </c>
      <c r="G1260">
        <v>24600000</v>
      </c>
      <c r="H1260">
        <v>23</v>
      </c>
      <c r="I1260">
        <v>280</v>
      </c>
      <c r="J1260" s="2">
        <f t="shared" si="46"/>
        <v>2293.1999999999998</v>
      </c>
      <c r="K1260">
        <v>1259</v>
      </c>
      <c r="L1260" s="3">
        <f>SUM($I$2:$I1260)</f>
        <v>6297690</v>
      </c>
      <c r="M1260" s="3">
        <f>SUM($J$2:$J1260)</f>
        <v>24687241.799999963</v>
      </c>
      <c r="N1260" s="2">
        <f>SUM($D$2:$D1260)</f>
        <v>8582.3599999999915</v>
      </c>
      <c r="O1260" s="2">
        <f t="shared" si="47"/>
        <v>0.51145206485192807</v>
      </c>
      <c r="P1260" s="2" cm="1">
        <f t="array" ref="P1260">SUMPRODUCT((O1260&gt;$T$9:$T$14)*(O1260&lt;=$U$9:$U$14),$S$9:$S$14)</f>
        <v>5</v>
      </c>
    </row>
    <row r="1261" spans="1:16" x14ac:dyDescent="0.25">
      <c r="A1261">
        <v>1305</v>
      </c>
      <c r="B1261">
        <v>137</v>
      </c>
      <c r="C1261">
        <v>1226</v>
      </c>
      <c r="D1261">
        <v>7.21</v>
      </c>
      <c r="E1261">
        <v>39200</v>
      </c>
      <c r="F1261">
        <v>0</v>
      </c>
      <c r="G1261">
        <v>39200000</v>
      </c>
      <c r="H1261">
        <v>94</v>
      </c>
      <c r="I1261">
        <v>280</v>
      </c>
      <c r="J1261" s="2">
        <f t="shared" si="46"/>
        <v>2018.8</v>
      </c>
      <c r="K1261">
        <v>1260</v>
      </c>
      <c r="L1261" s="3">
        <f>SUM($I$2:$I1261)</f>
        <v>6297970</v>
      </c>
      <c r="M1261" s="3">
        <f>SUM($J$2:$J1261)</f>
        <v>24689260.599999964</v>
      </c>
      <c r="N1261" s="2">
        <f>SUM($D$2:$D1261)</f>
        <v>8589.5699999999906</v>
      </c>
      <c r="O1261" s="2">
        <f t="shared" si="47"/>
        <v>0.51188173330997244</v>
      </c>
      <c r="P1261" s="2" cm="1">
        <f t="array" ref="P1261">SUMPRODUCT((O1261&gt;$T$9:$T$14)*(O1261&lt;=$U$9:$U$14),$S$9:$S$14)</f>
        <v>5</v>
      </c>
    </row>
    <row r="1262" spans="1:16" x14ac:dyDescent="0.25">
      <c r="A1262">
        <v>1226</v>
      </c>
      <c r="B1262">
        <v>58</v>
      </c>
      <c r="C1262">
        <v>1118</v>
      </c>
      <c r="D1262">
        <v>5.94</v>
      </c>
      <c r="E1262">
        <v>27940</v>
      </c>
      <c r="F1262">
        <v>0</v>
      </c>
      <c r="G1262">
        <v>27940000</v>
      </c>
      <c r="H1262">
        <v>35</v>
      </c>
      <c r="I1262">
        <v>280</v>
      </c>
      <c r="J1262" s="2">
        <f t="shared" si="46"/>
        <v>1663.2</v>
      </c>
      <c r="K1262">
        <v>1261</v>
      </c>
      <c r="L1262" s="3">
        <f>SUM($I$2:$I1262)</f>
        <v>6298250</v>
      </c>
      <c r="M1262" s="3">
        <f>SUM($J$2:$J1262)</f>
        <v>24690923.799999963</v>
      </c>
      <c r="N1262" s="2">
        <f>SUM($D$2:$D1262)</f>
        <v>8595.5099999999911</v>
      </c>
      <c r="O1262" s="2">
        <f t="shared" si="47"/>
        <v>0.51223571814225877</v>
      </c>
      <c r="P1262" s="2" cm="1">
        <f t="array" ref="P1262">SUMPRODUCT((O1262&gt;$T$9:$T$14)*(O1262&lt;=$U$9:$U$14),$S$9:$S$14)</f>
        <v>5</v>
      </c>
    </row>
    <row r="1263" spans="1:16" x14ac:dyDescent="0.25">
      <c r="A1263">
        <v>726</v>
      </c>
      <c r="B1263">
        <v>1513</v>
      </c>
      <c r="C1263">
        <v>975</v>
      </c>
      <c r="D1263">
        <v>3.95</v>
      </c>
      <c r="E1263">
        <v>33650</v>
      </c>
      <c r="F1263">
        <v>8.4</v>
      </c>
      <c r="G1263">
        <v>33650084</v>
      </c>
      <c r="H1263">
        <v>62</v>
      </c>
      <c r="I1263">
        <v>280</v>
      </c>
      <c r="J1263" s="2">
        <f t="shared" si="46"/>
        <v>1106</v>
      </c>
      <c r="K1263">
        <v>1262</v>
      </c>
      <c r="L1263" s="3">
        <f>SUM($I$2:$I1263)</f>
        <v>6298530</v>
      </c>
      <c r="M1263" s="3">
        <f>SUM($J$2:$J1263)</f>
        <v>24692029.799999963</v>
      </c>
      <c r="N1263" s="2">
        <f>SUM($D$2:$D1263)</f>
        <v>8599.4599999999919</v>
      </c>
      <c r="O1263" s="2">
        <f t="shared" si="47"/>
        <v>0.51247111209638863</v>
      </c>
      <c r="P1263" s="2" cm="1">
        <f t="array" ref="P1263">SUMPRODUCT((O1263&gt;$T$9:$T$14)*(O1263&lt;=$U$9:$U$14),$S$9:$S$14)</f>
        <v>5</v>
      </c>
    </row>
    <row r="1264" spans="1:16" x14ac:dyDescent="0.25">
      <c r="A1264">
        <v>1030</v>
      </c>
      <c r="B1264">
        <v>656</v>
      </c>
      <c r="C1264">
        <v>337</v>
      </c>
      <c r="D1264">
        <v>15.3</v>
      </c>
      <c r="E1264">
        <v>24142</v>
      </c>
      <c r="F1264">
        <v>0</v>
      </c>
      <c r="G1264">
        <v>24142000</v>
      </c>
      <c r="H1264">
        <v>21</v>
      </c>
      <c r="I1264">
        <v>270</v>
      </c>
      <c r="J1264" s="2">
        <f t="shared" si="46"/>
        <v>4131</v>
      </c>
      <c r="K1264">
        <v>1263</v>
      </c>
      <c r="L1264" s="3">
        <f>SUM($I$2:$I1264)</f>
        <v>6298800</v>
      </c>
      <c r="M1264" s="3">
        <f>SUM($J$2:$J1264)</f>
        <v>24696160.799999963</v>
      </c>
      <c r="N1264" s="2">
        <f>SUM($D$2:$D1264)</f>
        <v>8614.7599999999911</v>
      </c>
      <c r="O1264" s="2">
        <f t="shared" si="47"/>
        <v>0.51338289120985314</v>
      </c>
      <c r="P1264" s="2" cm="1">
        <f t="array" ref="P1264">SUMPRODUCT((O1264&gt;$T$9:$T$14)*(O1264&lt;=$U$9:$U$14),$S$9:$S$14)</f>
        <v>5</v>
      </c>
    </row>
    <row r="1265" spans="1:16" x14ac:dyDescent="0.25">
      <c r="A1265">
        <v>1349</v>
      </c>
      <c r="B1265">
        <v>181</v>
      </c>
      <c r="C1265">
        <v>1280</v>
      </c>
      <c r="D1265">
        <v>11.64</v>
      </c>
      <c r="E1265">
        <v>33820</v>
      </c>
      <c r="F1265">
        <v>0</v>
      </c>
      <c r="G1265">
        <v>33820000</v>
      </c>
      <c r="H1265">
        <v>62</v>
      </c>
      <c r="I1265">
        <v>270</v>
      </c>
      <c r="J1265" s="2">
        <f t="shared" si="46"/>
        <v>3142.8</v>
      </c>
      <c r="K1265">
        <v>1264</v>
      </c>
      <c r="L1265" s="3">
        <f>SUM($I$2:$I1265)</f>
        <v>6299070</v>
      </c>
      <c r="M1265" s="3">
        <f>SUM($J$2:$J1265)</f>
        <v>24699303.599999964</v>
      </c>
      <c r="N1265" s="2">
        <f>SUM($D$2:$D1265)</f>
        <v>8626.3999999999905</v>
      </c>
      <c r="O1265" s="2">
        <f t="shared" si="47"/>
        <v>0.51407655845695954</v>
      </c>
      <c r="P1265" s="2" cm="1">
        <f t="array" ref="P1265">SUMPRODUCT((O1265&gt;$T$9:$T$14)*(O1265&lt;=$U$9:$U$14),$S$9:$S$14)</f>
        <v>5</v>
      </c>
    </row>
    <row r="1266" spans="1:16" x14ac:dyDescent="0.25">
      <c r="A1266">
        <v>1224</v>
      </c>
      <c r="B1266">
        <v>56</v>
      </c>
      <c r="C1266">
        <v>1116</v>
      </c>
      <c r="D1266">
        <v>10.97</v>
      </c>
      <c r="E1266">
        <v>27950</v>
      </c>
      <c r="F1266">
        <v>0</v>
      </c>
      <c r="G1266">
        <v>27950000</v>
      </c>
      <c r="H1266">
        <v>35</v>
      </c>
      <c r="I1266">
        <v>270</v>
      </c>
      <c r="J1266" s="2">
        <f t="shared" si="46"/>
        <v>2961.9</v>
      </c>
      <c r="K1266">
        <v>1265</v>
      </c>
      <c r="L1266" s="3">
        <f>SUM($I$2:$I1266)</f>
        <v>6299340</v>
      </c>
      <c r="M1266" s="3">
        <f>SUM($J$2:$J1266)</f>
        <v>24702265.499999963</v>
      </c>
      <c r="N1266" s="2">
        <f>SUM($D$2:$D1266)</f>
        <v>8637.3699999999899</v>
      </c>
      <c r="O1266" s="2">
        <f t="shared" si="47"/>
        <v>0.51473029812197313</v>
      </c>
      <c r="P1266" s="2" cm="1">
        <f t="array" ref="P1266">SUMPRODUCT((O1266&gt;$T$9:$T$14)*(O1266&lt;=$U$9:$U$14),$S$9:$S$14)</f>
        <v>5</v>
      </c>
    </row>
    <row r="1267" spans="1:16" x14ac:dyDescent="0.25">
      <c r="A1267">
        <v>1</v>
      </c>
      <c r="B1267">
        <v>801</v>
      </c>
      <c r="C1267">
        <v>527</v>
      </c>
      <c r="D1267">
        <v>8.0399999999999991</v>
      </c>
      <c r="E1267">
        <v>24090</v>
      </c>
      <c r="F1267">
        <v>4.7</v>
      </c>
      <c r="G1267">
        <v>24090047</v>
      </c>
      <c r="H1267">
        <v>21</v>
      </c>
      <c r="I1267">
        <v>270</v>
      </c>
      <c r="J1267" s="2">
        <f t="shared" si="46"/>
        <v>2170.7999999999997</v>
      </c>
      <c r="K1267">
        <v>1266</v>
      </c>
      <c r="L1267" s="3">
        <f>SUM($I$2:$I1267)</f>
        <v>6299610</v>
      </c>
      <c r="M1267" s="3">
        <f>SUM($J$2:$J1267)</f>
        <v>24704436.299999963</v>
      </c>
      <c r="N1267" s="2">
        <f>SUM($D$2:$D1267)</f>
        <v>8645.4099999999908</v>
      </c>
      <c r="O1267" s="2">
        <f t="shared" si="47"/>
        <v>0.51520942910708789</v>
      </c>
      <c r="P1267" s="2" cm="1">
        <f t="array" ref="P1267">SUMPRODUCT((O1267&gt;$T$9:$T$14)*(O1267&lt;=$U$9:$U$14),$S$9:$S$14)</f>
        <v>5</v>
      </c>
    </row>
    <row r="1268" spans="1:16" x14ac:dyDescent="0.25">
      <c r="A1268">
        <v>333</v>
      </c>
      <c r="B1268">
        <v>1128</v>
      </c>
      <c r="C1268">
        <v>1972</v>
      </c>
      <c r="D1268">
        <v>53.71</v>
      </c>
      <c r="E1268">
        <v>71100</v>
      </c>
      <c r="F1268">
        <v>21.4</v>
      </c>
      <c r="G1268">
        <v>71100214</v>
      </c>
      <c r="H1268">
        <v>655</v>
      </c>
      <c r="I1268">
        <v>260</v>
      </c>
      <c r="J1268" s="2">
        <f t="shared" si="46"/>
        <v>13964.6</v>
      </c>
      <c r="K1268">
        <v>1267</v>
      </c>
      <c r="L1268" s="3">
        <f>SUM($I$2:$I1268)</f>
        <v>6299870</v>
      </c>
      <c r="M1268" s="3">
        <f>SUM($J$2:$J1268)</f>
        <v>24718400.899999965</v>
      </c>
      <c r="N1268" s="2">
        <f>SUM($D$2:$D1268)</f>
        <v>8699.1199999999899</v>
      </c>
      <c r="O1268" s="2">
        <f t="shared" si="47"/>
        <v>0.51841019094919161</v>
      </c>
      <c r="P1268" s="2" cm="1">
        <f t="array" ref="P1268">SUMPRODUCT((O1268&gt;$T$9:$T$14)*(O1268&lt;=$U$9:$U$14),$S$9:$S$14)</f>
        <v>5</v>
      </c>
    </row>
    <row r="1269" spans="1:16" x14ac:dyDescent="0.25">
      <c r="A1269">
        <v>1669</v>
      </c>
      <c r="B1269">
        <v>1669</v>
      </c>
      <c r="C1269">
        <v>2167</v>
      </c>
      <c r="D1269">
        <v>48.98</v>
      </c>
      <c r="E1269">
        <v>50850</v>
      </c>
      <c r="F1269">
        <v>0</v>
      </c>
      <c r="G1269">
        <v>50850000</v>
      </c>
      <c r="H1269">
        <v>502</v>
      </c>
      <c r="I1269">
        <v>260</v>
      </c>
      <c r="J1269" s="2">
        <f t="shared" si="46"/>
        <v>12734.8</v>
      </c>
      <c r="K1269">
        <v>1268</v>
      </c>
      <c r="L1269" s="3">
        <f>SUM($I$2:$I1269)</f>
        <v>6300130</v>
      </c>
      <c r="M1269" s="3">
        <f>SUM($J$2:$J1269)</f>
        <v>24731135.699999966</v>
      </c>
      <c r="N1269" s="2">
        <f>SUM($D$2:$D1269)</f>
        <v>8748.0999999999894</v>
      </c>
      <c r="O1269" s="2">
        <f t="shared" si="47"/>
        <v>0.52132907598040057</v>
      </c>
      <c r="P1269" s="2" cm="1">
        <f t="array" ref="P1269">SUMPRODUCT((O1269&gt;$T$9:$T$14)*(O1269&lt;=$U$9:$U$14),$S$9:$S$14)</f>
        <v>5</v>
      </c>
    </row>
    <row r="1270" spans="1:16" x14ac:dyDescent="0.25">
      <c r="A1270">
        <v>1506</v>
      </c>
      <c r="B1270">
        <v>338</v>
      </c>
      <c r="C1270">
        <v>1477</v>
      </c>
      <c r="D1270">
        <v>15.35</v>
      </c>
      <c r="E1270">
        <v>43720</v>
      </c>
      <c r="F1270">
        <v>0</v>
      </c>
      <c r="G1270">
        <v>43720000</v>
      </c>
      <c r="H1270">
        <v>124</v>
      </c>
      <c r="I1270">
        <v>260</v>
      </c>
      <c r="J1270" s="2">
        <f t="shared" si="46"/>
        <v>3991</v>
      </c>
      <c r="K1270">
        <v>1269</v>
      </c>
      <c r="L1270" s="3">
        <f>SUM($I$2:$I1270)</f>
        <v>6300390</v>
      </c>
      <c r="M1270" s="3">
        <f>SUM($J$2:$J1270)</f>
        <v>24735126.699999966</v>
      </c>
      <c r="N1270" s="2">
        <f>SUM($D$2:$D1270)</f>
        <v>8763.4499999999898</v>
      </c>
      <c r="O1270" s="2">
        <f t="shared" si="47"/>
        <v>0.52224383476417069</v>
      </c>
      <c r="P1270" s="2" cm="1">
        <f t="array" ref="P1270">SUMPRODUCT((O1270&gt;$T$9:$T$14)*(O1270&lt;=$U$9:$U$14),$S$9:$S$14)</f>
        <v>5</v>
      </c>
    </row>
    <row r="1271" spans="1:16" x14ac:dyDescent="0.25">
      <c r="A1271">
        <v>760</v>
      </c>
      <c r="B1271">
        <v>1547</v>
      </c>
      <c r="C1271">
        <v>1015</v>
      </c>
      <c r="D1271">
        <v>12.76</v>
      </c>
      <c r="E1271">
        <v>33200</v>
      </c>
      <c r="F1271">
        <v>0</v>
      </c>
      <c r="G1271">
        <v>33200000</v>
      </c>
      <c r="H1271">
        <v>60</v>
      </c>
      <c r="I1271">
        <v>260</v>
      </c>
      <c r="J1271" s="2">
        <f t="shared" si="46"/>
        <v>3317.6</v>
      </c>
      <c r="K1271">
        <v>1270</v>
      </c>
      <c r="L1271" s="3">
        <f>SUM($I$2:$I1271)</f>
        <v>6300650</v>
      </c>
      <c r="M1271" s="3">
        <f>SUM($J$2:$J1271)</f>
        <v>24738444.299999967</v>
      </c>
      <c r="N1271" s="2">
        <f>SUM($D$2:$D1271)</f>
        <v>8776.20999999999</v>
      </c>
      <c r="O1271" s="2">
        <f t="shared" si="47"/>
        <v>0.523004246626119</v>
      </c>
      <c r="P1271" s="2" cm="1">
        <f t="array" ref="P1271">SUMPRODUCT((O1271&gt;$T$9:$T$14)*(O1271&lt;=$U$9:$U$14),$S$9:$S$14)</f>
        <v>5</v>
      </c>
    </row>
    <row r="1272" spans="1:16" x14ac:dyDescent="0.25">
      <c r="A1272">
        <v>6</v>
      </c>
      <c r="B1272">
        <v>804</v>
      </c>
      <c r="C1272">
        <v>534</v>
      </c>
      <c r="D1272">
        <v>9.3800000000000008</v>
      </c>
      <c r="E1272">
        <v>43760</v>
      </c>
      <c r="F1272">
        <v>0</v>
      </c>
      <c r="G1272">
        <v>43760000</v>
      </c>
      <c r="H1272">
        <v>124</v>
      </c>
      <c r="I1272">
        <v>260</v>
      </c>
      <c r="J1272" s="2">
        <f t="shared" si="46"/>
        <v>2438.8000000000002</v>
      </c>
      <c r="K1272">
        <v>1271</v>
      </c>
      <c r="L1272" s="3">
        <f>SUM($I$2:$I1272)</f>
        <v>6300910</v>
      </c>
      <c r="M1272" s="3">
        <f>SUM($J$2:$J1272)</f>
        <v>24740883.099999968</v>
      </c>
      <c r="N1272" s="2">
        <f>SUM($D$2:$D1272)</f>
        <v>8785.5899999999892</v>
      </c>
      <c r="O1272" s="2">
        <f t="shared" si="47"/>
        <v>0.5235632327754195</v>
      </c>
      <c r="P1272" s="2" cm="1">
        <f t="array" ref="P1272">SUMPRODUCT((O1272&gt;$T$9:$T$14)*(O1272&lt;=$U$9:$U$14),$S$9:$S$14)</f>
        <v>5</v>
      </c>
    </row>
    <row r="1273" spans="1:16" x14ac:dyDescent="0.25">
      <c r="A1273">
        <v>833</v>
      </c>
      <c r="B1273">
        <v>459</v>
      </c>
      <c r="C1273">
        <v>70</v>
      </c>
      <c r="D1273">
        <v>9.0399999999999991</v>
      </c>
      <c r="E1273">
        <v>13860</v>
      </c>
      <c r="F1273">
        <v>8.6999999999999993</v>
      </c>
      <c r="G1273">
        <v>13860087</v>
      </c>
      <c r="H1273">
        <v>6</v>
      </c>
      <c r="I1273">
        <v>260</v>
      </c>
      <c r="J1273" s="2">
        <f t="shared" si="46"/>
        <v>2350.3999999999996</v>
      </c>
      <c r="K1273">
        <v>1272</v>
      </c>
      <c r="L1273" s="3">
        <f>SUM($I$2:$I1273)</f>
        <v>6301170</v>
      </c>
      <c r="M1273" s="3">
        <f>SUM($J$2:$J1273)</f>
        <v>24743233.499999966</v>
      </c>
      <c r="N1273" s="2">
        <f>SUM($D$2:$D1273)</f>
        <v>8794.6299999999901</v>
      </c>
      <c r="O1273" s="2">
        <f t="shared" si="47"/>
        <v>0.5241019571666431</v>
      </c>
      <c r="P1273" s="2" cm="1">
        <f t="array" ref="P1273">SUMPRODUCT((O1273&gt;$T$9:$T$14)*(O1273&lt;=$U$9:$U$14),$S$9:$S$14)</f>
        <v>5</v>
      </c>
    </row>
    <row r="1274" spans="1:16" x14ac:dyDescent="0.25">
      <c r="A1274">
        <v>528</v>
      </c>
      <c r="B1274">
        <v>1315</v>
      </c>
      <c r="C1274">
        <v>731</v>
      </c>
      <c r="D1274">
        <v>8.77</v>
      </c>
      <c r="E1274">
        <v>27320</v>
      </c>
      <c r="F1274">
        <v>0</v>
      </c>
      <c r="G1274">
        <v>27320000</v>
      </c>
      <c r="H1274">
        <v>33</v>
      </c>
      <c r="I1274">
        <v>260</v>
      </c>
      <c r="J1274" s="2">
        <f t="shared" si="46"/>
        <v>2280.1999999999998</v>
      </c>
      <c r="K1274">
        <v>1273</v>
      </c>
      <c r="L1274" s="3">
        <f>SUM($I$2:$I1274)</f>
        <v>6301430</v>
      </c>
      <c r="M1274" s="3">
        <f>SUM($J$2:$J1274)</f>
        <v>24745513.699999966</v>
      </c>
      <c r="N1274" s="2">
        <f>SUM($D$2:$D1274)</f>
        <v>8803.3999999999905</v>
      </c>
      <c r="O1274" s="2">
        <f t="shared" si="47"/>
        <v>0.52462459133821737</v>
      </c>
      <c r="P1274" s="2" cm="1">
        <f t="array" ref="P1274">SUMPRODUCT((O1274&gt;$T$9:$T$14)*(O1274&lt;=$U$9:$U$14),$S$9:$S$14)</f>
        <v>5</v>
      </c>
    </row>
    <row r="1275" spans="1:16" x14ac:dyDescent="0.25">
      <c r="A1275">
        <v>8</v>
      </c>
      <c r="B1275">
        <v>805</v>
      </c>
      <c r="C1275">
        <v>538</v>
      </c>
      <c r="D1275">
        <v>7.14</v>
      </c>
      <c r="E1275">
        <v>16270</v>
      </c>
      <c r="F1275">
        <v>6.2</v>
      </c>
      <c r="G1275">
        <v>16270062</v>
      </c>
      <c r="H1275">
        <v>9</v>
      </c>
      <c r="I1275">
        <v>260</v>
      </c>
      <c r="J1275" s="2">
        <f t="shared" si="46"/>
        <v>1856.3999999999999</v>
      </c>
      <c r="K1275">
        <v>1274</v>
      </c>
      <c r="L1275" s="3">
        <f>SUM($I$2:$I1275)</f>
        <v>6301690</v>
      </c>
      <c r="M1275" s="3">
        <f>SUM($J$2:$J1275)</f>
        <v>24747370.099999964</v>
      </c>
      <c r="N1275" s="2">
        <f>SUM($D$2:$D1275)</f>
        <v>8810.53999999999</v>
      </c>
      <c r="O1275" s="2">
        <f t="shared" si="47"/>
        <v>0.52505008825783417</v>
      </c>
      <c r="P1275" s="2" cm="1">
        <f t="array" ref="P1275">SUMPRODUCT((O1275&gt;$T$9:$T$14)*(O1275&lt;=$U$9:$U$14),$S$9:$S$14)</f>
        <v>5</v>
      </c>
    </row>
    <row r="1276" spans="1:16" x14ac:dyDescent="0.25">
      <c r="A1276">
        <v>1360</v>
      </c>
      <c r="B1276">
        <v>192</v>
      </c>
      <c r="C1276">
        <v>1296</v>
      </c>
      <c r="D1276">
        <v>6.41</v>
      </c>
      <c r="E1276">
        <v>33750</v>
      </c>
      <c r="F1276">
        <v>4.8</v>
      </c>
      <c r="G1276">
        <v>33750048</v>
      </c>
      <c r="H1276">
        <v>62</v>
      </c>
      <c r="I1276">
        <v>260</v>
      </c>
      <c r="J1276" s="2">
        <f t="shared" si="46"/>
        <v>1666.6000000000001</v>
      </c>
      <c r="K1276">
        <v>1275</v>
      </c>
      <c r="L1276" s="3">
        <f>SUM($I$2:$I1276)</f>
        <v>6301950</v>
      </c>
      <c r="M1276" s="3">
        <f>SUM($J$2:$J1276)</f>
        <v>24749036.699999966</v>
      </c>
      <c r="N1276" s="2">
        <f>SUM($D$2:$D1276)</f>
        <v>8816.9499999999898</v>
      </c>
      <c r="O1276" s="2">
        <f t="shared" si="47"/>
        <v>0.52543208199099156</v>
      </c>
      <c r="P1276" s="2" cm="1">
        <f t="array" ref="P1276">SUMPRODUCT((O1276&gt;$T$9:$T$14)*(O1276&lt;=$U$9:$U$14),$S$9:$S$14)</f>
        <v>5</v>
      </c>
    </row>
    <row r="1277" spans="1:16" x14ac:dyDescent="0.25">
      <c r="A1277">
        <v>733</v>
      </c>
      <c r="B1277">
        <v>1520</v>
      </c>
      <c r="C1277">
        <v>983</v>
      </c>
      <c r="D1277">
        <v>6.32</v>
      </c>
      <c r="E1277">
        <v>33550</v>
      </c>
      <c r="F1277">
        <v>6.5</v>
      </c>
      <c r="G1277">
        <v>33550065</v>
      </c>
      <c r="H1277">
        <v>61</v>
      </c>
      <c r="I1277">
        <v>260</v>
      </c>
      <c r="J1277" s="2">
        <f t="shared" si="46"/>
        <v>1643.2</v>
      </c>
      <c r="K1277">
        <v>1276</v>
      </c>
      <c r="L1277" s="3">
        <f>SUM($I$2:$I1277)</f>
        <v>6302210</v>
      </c>
      <c r="M1277" s="3">
        <f>SUM($J$2:$J1277)</f>
        <v>24750679.899999965</v>
      </c>
      <c r="N1277" s="2">
        <f>SUM($D$2:$D1277)</f>
        <v>8823.2699999999895</v>
      </c>
      <c r="O1277" s="2">
        <f t="shared" si="47"/>
        <v>0.52580871231759918</v>
      </c>
      <c r="P1277" s="2" cm="1">
        <f t="array" ref="P1277">SUMPRODUCT((O1277&gt;$T$9:$T$14)*(O1277&lt;=$U$9:$U$14),$S$9:$S$14)</f>
        <v>5</v>
      </c>
    </row>
    <row r="1278" spans="1:16" x14ac:dyDescent="0.25">
      <c r="A1278">
        <v>1516</v>
      </c>
      <c r="B1278">
        <v>348</v>
      </c>
      <c r="C1278">
        <v>1487</v>
      </c>
      <c r="D1278">
        <v>5.87</v>
      </c>
      <c r="E1278">
        <v>42700</v>
      </c>
      <c r="F1278">
        <v>5.5</v>
      </c>
      <c r="G1278">
        <v>42700055</v>
      </c>
      <c r="H1278">
        <v>118</v>
      </c>
      <c r="I1278">
        <v>260</v>
      </c>
      <c r="J1278" s="2">
        <f t="shared" si="46"/>
        <v>1526.2</v>
      </c>
      <c r="K1278">
        <v>1277</v>
      </c>
      <c r="L1278" s="3">
        <f>SUM($I$2:$I1278)</f>
        <v>6302470</v>
      </c>
      <c r="M1278" s="3">
        <f>SUM($J$2:$J1278)</f>
        <v>24752206.099999964</v>
      </c>
      <c r="N1278" s="2">
        <f>SUM($D$2:$D1278)</f>
        <v>8829.1399999999903</v>
      </c>
      <c r="O1278" s="2">
        <f t="shared" si="47"/>
        <v>0.52615852561145793</v>
      </c>
      <c r="P1278" s="2" cm="1">
        <f t="array" ref="P1278">SUMPRODUCT((O1278&gt;$T$9:$T$14)*(O1278&lt;=$U$9:$U$14),$S$9:$S$14)</f>
        <v>5</v>
      </c>
    </row>
    <row r="1279" spans="1:16" x14ac:dyDescent="0.25">
      <c r="A1279">
        <v>754</v>
      </c>
      <c r="B1279">
        <v>1541</v>
      </c>
      <c r="C1279">
        <v>1005</v>
      </c>
      <c r="D1279">
        <v>2.91</v>
      </c>
      <c r="E1279">
        <v>33250</v>
      </c>
      <c r="F1279">
        <v>0</v>
      </c>
      <c r="G1279">
        <v>33250000</v>
      </c>
      <c r="H1279">
        <v>60</v>
      </c>
      <c r="I1279">
        <v>260</v>
      </c>
      <c r="J1279" s="2">
        <f t="shared" si="46"/>
        <v>756.6</v>
      </c>
      <c r="K1279">
        <v>1278</v>
      </c>
      <c r="L1279" s="3">
        <f>SUM($I$2:$I1279)</f>
        <v>6302730</v>
      </c>
      <c r="M1279" s="3">
        <f>SUM($J$2:$J1279)</f>
        <v>24752962.699999966</v>
      </c>
      <c r="N1279" s="2">
        <f>SUM($D$2:$D1279)</f>
        <v>8832.0499999999902</v>
      </c>
      <c r="O1279" s="2">
        <f t="shared" si="47"/>
        <v>0.52633194242323444</v>
      </c>
      <c r="P1279" s="2" cm="1">
        <f t="array" ref="P1279">SUMPRODUCT((O1279&gt;$T$9:$T$14)*(O1279&lt;=$U$9:$U$14),$S$9:$S$14)</f>
        <v>5</v>
      </c>
    </row>
    <row r="1280" spans="1:16" x14ac:dyDescent="0.25">
      <c r="A1280">
        <v>963</v>
      </c>
      <c r="B1280">
        <v>589</v>
      </c>
      <c r="C1280">
        <v>251</v>
      </c>
      <c r="D1280">
        <v>2.5</v>
      </c>
      <c r="E1280">
        <v>27315</v>
      </c>
      <c r="F1280">
        <v>5.5</v>
      </c>
      <c r="G1280">
        <v>27315055</v>
      </c>
      <c r="H1280">
        <v>33</v>
      </c>
      <c r="I1280">
        <v>260</v>
      </c>
      <c r="J1280" s="2">
        <f t="shared" si="46"/>
        <v>650</v>
      </c>
      <c r="K1280">
        <v>1279</v>
      </c>
      <c r="L1280" s="3">
        <f>SUM($I$2:$I1280)</f>
        <v>6302990</v>
      </c>
      <c r="M1280" s="3">
        <f>SUM($J$2:$J1280)</f>
        <v>24753612.699999966</v>
      </c>
      <c r="N1280" s="2">
        <f>SUM($D$2:$D1280)</f>
        <v>8834.5499999999902</v>
      </c>
      <c r="O1280" s="2">
        <f t="shared" si="47"/>
        <v>0.52648092593850648</v>
      </c>
      <c r="P1280" s="2" cm="1">
        <f t="array" ref="P1280">SUMPRODUCT((O1280&gt;$T$9:$T$14)*(O1280&lt;=$U$9:$U$14),$S$9:$S$14)</f>
        <v>5</v>
      </c>
    </row>
    <row r="1281" spans="1:16" x14ac:dyDescent="0.25">
      <c r="A1281">
        <v>1510</v>
      </c>
      <c r="B1281">
        <v>342</v>
      </c>
      <c r="C1281">
        <v>1481</v>
      </c>
      <c r="D1281">
        <v>1.89</v>
      </c>
      <c r="E1281">
        <v>43705</v>
      </c>
      <c r="F1281">
        <v>0</v>
      </c>
      <c r="G1281">
        <v>43705000</v>
      </c>
      <c r="H1281">
        <v>124</v>
      </c>
      <c r="I1281">
        <v>260</v>
      </c>
      <c r="J1281" s="2">
        <f t="shared" si="46"/>
        <v>491.4</v>
      </c>
      <c r="K1281">
        <v>1280</v>
      </c>
      <c r="L1281" s="3">
        <f>SUM($I$2:$I1281)</f>
        <v>6303250</v>
      </c>
      <c r="M1281" s="3">
        <f>SUM($J$2:$J1281)</f>
        <v>24754104.099999964</v>
      </c>
      <c r="N1281" s="2">
        <f>SUM($D$2:$D1281)</f>
        <v>8836.4399999999896</v>
      </c>
      <c r="O1281" s="2">
        <f t="shared" si="47"/>
        <v>0.52659355747605208</v>
      </c>
      <c r="P1281" s="2" cm="1">
        <f t="array" ref="P1281">SUMPRODUCT((O1281&gt;$T$9:$T$14)*(O1281&lt;=$U$9:$U$14),$S$9:$S$14)</f>
        <v>5</v>
      </c>
    </row>
    <row r="1282" spans="1:16" x14ac:dyDescent="0.25">
      <c r="A1282">
        <v>245</v>
      </c>
      <c r="B1282">
        <v>1040</v>
      </c>
      <c r="C1282">
        <v>1855</v>
      </c>
      <c r="D1282">
        <v>1.81</v>
      </c>
      <c r="E1282">
        <v>62000</v>
      </c>
      <c r="F1282">
        <v>0</v>
      </c>
      <c r="G1282">
        <v>62000000</v>
      </c>
      <c r="H1282">
        <v>588</v>
      </c>
      <c r="I1282">
        <v>260</v>
      </c>
      <c r="J1282" s="2">
        <f t="shared" ref="J1282:J1345" si="48">I1282*D1282</f>
        <v>470.6</v>
      </c>
      <c r="K1282">
        <v>1281</v>
      </c>
      <c r="L1282" s="3">
        <f>SUM($I$2:$I1282)</f>
        <v>6303510</v>
      </c>
      <c r="M1282" s="3">
        <f>SUM($J$2:$J1282)</f>
        <v>24754574.699999966</v>
      </c>
      <c r="N1282" s="2">
        <f>SUM($D$2:$D1282)</f>
        <v>8838.2499999999891</v>
      </c>
      <c r="O1282" s="2">
        <f t="shared" ref="O1282:O1345" si="49">N1282/$T$4</f>
        <v>0.52670142154110899</v>
      </c>
      <c r="P1282" s="2" cm="1">
        <f t="array" ref="P1282">SUMPRODUCT((O1282&gt;$T$9:$T$14)*(O1282&lt;=$U$9:$U$14),$S$9:$S$14)</f>
        <v>5</v>
      </c>
    </row>
    <row r="1283" spans="1:16" x14ac:dyDescent="0.25">
      <c r="A1283">
        <v>1288</v>
      </c>
      <c r="B1283">
        <v>120</v>
      </c>
      <c r="C1283">
        <v>1205</v>
      </c>
      <c r="D1283">
        <v>64.900000000000006</v>
      </c>
      <c r="E1283">
        <v>41010</v>
      </c>
      <c r="F1283">
        <v>0</v>
      </c>
      <c r="G1283">
        <v>41010000</v>
      </c>
      <c r="H1283">
        <v>105</v>
      </c>
      <c r="I1283">
        <v>250</v>
      </c>
      <c r="J1283" s="2">
        <f t="shared" si="48"/>
        <v>16225.000000000002</v>
      </c>
      <c r="K1283">
        <v>1282</v>
      </c>
      <c r="L1283" s="3">
        <f>SUM($I$2:$I1283)</f>
        <v>6303760</v>
      </c>
      <c r="M1283" s="3">
        <f>SUM($J$2:$J1283)</f>
        <v>24770799.699999966</v>
      </c>
      <c r="N1283" s="2">
        <f>SUM($D$2:$D1283)</f>
        <v>8903.1499999999887</v>
      </c>
      <c r="O1283" s="2">
        <f t="shared" si="49"/>
        <v>0.53056903359757013</v>
      </c>
      <c r="P1283" s="2" cm="1">
        <f t="array" ref="P1283">SUMPRODUCT((O1283&gt;$T$9:$T$14)*(O1283&lt;=$U$9:$U$14),$S$9:$S$14)</f>
        <v>5</v>
      </c>
    </row>
    <row r="1284" spans="1:16" x14ac:dyDescent="0.25">
      <c r="A1284">
        <v>736</v>
      </c>
      <c r="B1284">
        <v>1523</v>
      </c>
      <c r="C1284">
        <v>986</v>
      </c>
      <c r="D1284">
        <v>32.380000000000003</v>
      </c>
      <c r="E1284">
        <v>33510</v>
      </c>
      <c r="F1284">
        <v>0</v>
      </c>
      <c r="G1284">
        <v>33510000</v>
      </c>
      <c r="H1284">
        <v>61</v>
      </c>
      <c r="I1284">
        <v>250</v>
      </c>
      <c r="J1284" s="2">
        <f t="shared" si="48"/>
        <v>8095.0000000000009</v>
      </c>
      <c r="K1284">
        <v>1283</v>
      </c>
      <c r="L1284" s="3">
        <f>SUM($I$2:$I1284)</f>
        <v>6304010</v>
      </c>
      <c r="M1284" s="3">
        <f>SUM($J$2:$J1284)</f>
        <v>24778894.699999966</v>
      </c>
      <c r="N1284" s="2">
        <f>SUM($D$2:$D1284)</f>
        <v>8935.5299999999879</v>
      </c>
      <c r="O1284" s="2">
        <f t="shared" si="49"/>
        <v>0.53249866808737312</v>
      </c>
      <c r="P1284" s="2" cm="1">
        <f t="array" ref="P1284">SUMPRODUCT((O1284&gt;$T$9:$T$14)*(O1284&lt;=$U$9:$U$14),$S$9:$S$14)</f>
        <v>5</v>
      </c>
    </row>
    <row r="1285" spans="1:16" x14ac:dyDescent="0.25">
      <c r="A1285">
        <v>1357</v>
      </c>
      <c r="B1285">
        <v>189</v>
      </c>
      <c r="C1285">
        <v>1292</v>
      </c>
      <c r="D1285">
        <v>20.010000000000002</v>
      </c>
      <c r="E1285">
        <v>33780</v>
      </c>
      <c r="F1285">
        <v>0</v>
      </c>
      <c r="G1285">
        <v>33780000</v>
      </c>
      <c r="H1285">
        <v>62</v>
      </c>
      <c r="I1285">
        <v>250</v>
      </c>
      <c r="J1285" s="2">
        <f t="shared" si="48"/>
        <v>5002.5</v>
      </c>
      <c r="K1285">
        <v>1284</v>
      </c>
      <c r="L1285" s="3">
        <f>SUM($I$2:$I1285)</f>
        <v>6304260</v>
      </c>
      <c r="M1285" s="3">
        <f>SUM($J$2:$J1285)</f>
        <v>24783897.199999966</v>
      </c>
      <c r="N1285" s="2">
        <f>SUM($D$2:$D1285)</f>
        <v>8955.5399999999881</v>
      </c>
      <c r="O1285" s="2">
        <f t="shared" si="49"/>
        <v>0.53369113214361019</v>
      </c>
      <c r="P1285" s="2" cm="1">
        <f t="array" ref="P1285">SUMPRODUCT((O1285&gt;$T$9:$T$14)*(O1285&lt;=$U$9:$U$14),$S$9:$S$14)</f>
        <v>5</v>
      </c>
    </row>
    <row r="1286" spans="1:16" x14ac:dyDescent="0.25">
      <c r="A1286">
        <v>747</v>
      </c>
      <c r="B1286">
        <v>1534</v>
      </c>
      <c r="C1286">
        <v>997</v>
      </c>
      <c r="D1286">
        <v>17.77</v>
      </c>
      <c r="E1286">
        <v>33290</v>
      </c>
      <c r="F1286">
        <v>0</v>
      </c>
      <c r="G1286">
        <v>33290000</v>
      </c>
      <c r="H1286">
        <v>60</v>
      </c>
      <c r="I1286">
        <v>250</v>
      </c>
      <c r="J1286" s="2">
        <f t="shared" si="48"/>
        <v>4442.5</v>
      </c>
      <c r="K1286">
        <v>1285</v>
      </c>
      <c r="L1286" s="3">
        <f>SUM($I$2:$I1286)</f>
        <v>6304510</v>
      </c>
      <c r="M1286" s="3">
        <f>SUM($J$2:$J1286)</f>
        <v>24788339.699999966</v>
      </c>
      <c r="N1286" s="2">
        <f>SUM($D$2:$D1286)</f>
        <v>8973.3099999999886</v>
      </c>
      <c r="O1286" s="2">
        <f t="shared" si="49"/>
        <v>0.53475010697016356</v>
      </c>
      <c r="P1286" s="2" cm="1">
        <f t="array" ref="P1286">SUMPRODUCT((O1286&gt;$T$9:$T$14)*(O1286&lt;=$U$9:$U$14),$S$9:$S$14)</f>
        <v>5</v>
      </c>
    </row>
    <row r="1287" spans="1:16" x14ac:dyDescent="0.25">
      <c r="A1287">
        <v>1228</v>
      </c>
      <c r="B1287">
        <v>60</v>
      </c>
      <c r="C1287">
        <v>1121</v>
      </c>
      <c r="D1287">
        <v>16.07</v>
      </c>
      <c r="E1287">
        <v>27920</v>
      </c>
      <c r="F1287">
        <v>0.8</v>
      </c>
      <c r="G1287">
        <v>27920008</v>
      </c>
      <c r="H1287">
        <v>35</v>
      </c>
      <c r="I1287">
        <v>250</v>
      </c>
      <c r="J1287" s="2">
        <f t="shared" si="48"/>
        <v>4017.5</v>
      </c>
      <c r="K1287">
        <v>1286</v>
      </c>
      <c r="L1287" s="3">
        <f>SUM($I$2:$I1287)</f>
        <v>6304760</v>
      </c>
      <c r="M1287" s="3">
        <f>SUM($J$2:$J1287)</f>
        <v>24792357.199999966</v>
      </c>
      <c r="N1287" s="2">
        <f>SUM($D$2:$D1287)</f>
        <v>8989.3799999999883</v>
      </c>
      <c r="O1287" s="2">
        <f t="shared" si="49"/>
        <v>0.53570777300633199</v>
      </c>
      <c r="P1287" s="2" cm="1">
        <f t="array" ref="P1287">SUMPRODUCT((O1287&gt;$T$9:$T$14)*(O1287&lt;=$U$9:$U$14),$S$9:$S$14)</f>
        <v>5</v>
      </c>
    </row>
    <row r="1288" spans="1:16" x14ac:dyDescent="0.25">
      <c r="A1288">
        <v>142</v>
      </c>
      <c r="B1288">
        <v>938</v>
      </c>
      <c r="C1288">
        <v>1708</v>
      </c>
      <c r="D1288">
        <v>15.2</v>
      </c>
      <c r="E1288">
        <v>60810</v>
      </c>
      <c r="F1288">
        <v>1.6</v>
      </c>
      <c r="G1288">
        <v>60810016</v>
      </c>
      <c r="H1288">
        <v>579</v>
      </c>
      <c r="I1288">
        <v>250</v>
      </c>
      <c r="J1288" s="2">
        <f t="shared" si="48"/>
        <v>3800</v>
      </c>
      <c r="K1288">
        <v>1287</v>
      </c>
      <c r="L1288" s="3">
        <f>SUM($I$2:$I1288)</f>
        <v>6305010</v>
      </c>
      <c r="M1288" s="3">
        <f>SUM($J$2:$J1288)</f>
        <v>24796157.199999966</v>
      </c>
      <c r="N1288" s="2">
        <f>SUM($D$2:$D1288)</f>
        <v>9004.579999999989</v>
      </c>
      <c r="O1288" s="2">
        <f t="shared" si="49"/>
        <v>0.53661359277918586</v>
      </c>
      <c r="P1288" s="2" cm="1">
        <f t="array" ref="P1288">SUMPRODUCT((O1288&gt;$T$9:$T$14)*(O1288&lt;=$U$9:$U$14),$S$9:$S$14)</f>
        <v>5</v>
      </c>
    </row>
    <row r="1289" spans="1:16" x14ac:dyDescent="0.25">
      <c r="A1289">
        <v>1067</v>
      </c>
      <c r="B1289">
        <v>693</v>
      </c>
      <c r="C1289">
        <v>384</v>
      </c>
      <c r="D1289">
        <v>11.79</v>
      </c>
      <c r="E1289">
        <v>24090</v>
      </c>
      <c r="F1289">
        <v>12.7</v>
      </c>
      <c r="G1289">
        <v>24090127</v>
      </c>
      <c r="H1289">
        <v>21</v>
      </c>
      <c r="I1289">
        <v>250</v>
      </c>
      <c r="J1289" s="2">
        <f t="shared" si="48"/>
        <v>2947.5</v>
      </c>
      <c r="K1289">
        <v>1288</v>
      </c>
      <c r="L1289" s="3">
        <f>SUM($I$2:$I1289)</f>
        <v>6305260</v>
      </c>
      <c r="M1289" s="3">
        <f>SUM($J$2:$J1289)</f>
        <v>24799104.699999966</v>
      </c>
      <c r="N1289" s="2">
        <f>SUM($D$2:$D1289)</f>
        <v>9016.3699999999899</v>
      </c>
      <c r="O1289" s="2">
        <f t="shared" si="49"/>
        <v>0.53731619903720862</v>
      </c>
      <c r="P1289" s="2" cm="1">
        <f t="array" ref="P1289">SUMPRODUCT((O1289&gt;$T$9:$T$14)*(O1289&lt;=$U$9:$U$14),$S$9:$S$14)</f>
        <v>5</v>
      </c>
    </row>
    <row r="1290" spans="1:16" x14ac:dyDescent="0.25">
      <c r="A1290">
        <v>338</v>
      </c>
      <c r="B1290">
        <v>1133</v>
      </c>
      <c r="C1290">
        <v>1977</v>
      </c>
      <c r="D1290">
        <v>10.5</v>
      </c>
      <c r="E1290">
        <v>71000</v>
      </c>
      <c r="F1290">
        <v>12.2</v>
      </c>
      <c r="G1290">
        <v>71000122</v>
      </c>
      <c r="H1290">
        <v>654</v>
      </c>
      <c r="I1290">
        <v>250</v>
      </c>
      <c r="J1290" s="2">
        <f t="shared" si="48"/>
        <v>2625</v>
      </c>
      <c r="K1290">
        <v>1289</v>
      </c>
      <c r="L1290" s="3">
        <f>SUM($I$2:$I1290)</f>
        <v>6305510</v>
      </c>
      <c r="M1290" s="3">
        <f>SUM($J$2:$J1290)</f>
        <v>24801729.699999966</v>
      </c>
      <c r="N1290" s="2">
        <f>SUM($D$2:$D1290)</f>
        <v>9026.8699999999899</v>
      </c>
      <c r="O1290" s="2">
        <f t="shared" si="49"/>
        <v>0.53794192980135103</v>
      </c>
      <c r="P1290" s="2" cm="1">
        <f t="array" ref="P1290">SUMPRODUCT((O1290&gt;$T$9:$T$14)*(O1290&lt;=$U$9:$U$14),$S$9:$S$14)</f>
        <v>5</v>
      </c>
    </row>
    <row r="1291" spans="1:16" x14ac:dyDescent="0.25">
      <c r="A1291">
        <v>873</v>
      </c>
      <c r="B1291">
        <v>499</v>
      </c>
      <c r="C1291">
        <v>125</v>
      </c>
      <c r="D1291">
        <v>8.89</v>
      </c>
      <c r="E1291">
        <v>11740</v>
      </c>
      <c r="F1291">
        <v>6.1</v>
      </c>
      <c r="G1291">
        <v>11740061</v>
      </c>
      <c r="H1291">
        <v>3</v>
      </c>
      <c r="I1291">
        <v>250</v>
      </c>
      <c r="J1291" s="2">
        <f t="shared" si="48"/>
        <v>2222.5</v>
      </c>
      <c r="K1291">
        <v>1290</v>
      </c>
      <c r="L1291" s="3">
        <f>SUM($I$2:$I1291)</f>
        <v>6305760</v>
      </c>
      <c r="M1291" s="3">
        <f>SUM($J$2:$J1291)</f>
        <v>24803952.199999966</v>
      </c>
      <c r="N1291" s="2">
        <f>SUM($D$2:$D1291)</f>
        <v>9035.7599999999893</v>
      </c>
      <c r="O1291" s="2">
        <f t="shared" si="49"/>
        <v>0.53847171518165826</v>
      </c>
      <c r="P1291" s="2" cm="1">
        <f t="array" ref="P1291">SUMPRODUCT((O1291&gt;$T$9:$T$14)*(O1291&lt;=$U$9:$U$14),$S$9:$S$14)</f>
        <v>5</v>
      </c>
    </row>
    <row r="1292" spans="1:16" x14ac:dyDescent="0.25">
      <c r="A1292">
        <v>1300</v>
      </c>
      <c r="B1292">
        <v>132</v>
      </c>
      <c r="C1292">
        <v>1220</v>
      </c>
      <c r="D1292">
        <v>6.7</v>
      </c>
      <c r="E1292">
        <v>85520</v>
      </c>
      <c r="F1292">
        <v>0</v>
      </c>
      <c r="G1292">
        <v>85520000</v>
      </c>
      <c r="H1292">
        <v>7289</v>
      </c>
      <c r="I1292">
        <v>250</v>
      </c>
      <c r="J1292" s="2">
        <f t="shared" si="48"/>
        <v>1675</v>
      </c>
      <c r="K1292">
        <v>1291</v>
      </c>
      <c r="L1292" s="3">
        <f>SUM($I$2:$I1292)</f>
        <v>6306010</v>
      </c>
      <c r="M1292" s="3">
        <f>SUM($J$2:$J1292)</f>
        <v>24805627.199999966</v>
      </c>
      <c r="N1292" s="2">
        <f>SUM($D$2:$D1292)</f>
        <v>9042.45999999999</v>
      </c>
      <c r="O1292" s="2">
        <f t="shared" si="49"/>
        <v>0.53887099100258729</v>
      </c>
      <c r="P1292" s="2" cm="1">
        <f t="array" ref="P1292">SUMPRODUCT((O1292&gt;$T$9:$T$14)*(O1292&lt;=$U$9:$U$14),$S$9:$S$14)</f>
        <v>5</v>
      </c>
    </row>
    <row r="1293" spans="1:16" x14ac:dyDescent="0.25">
      <c r="A1293">
        <v>1230</v>
      </c>
      <c r="B1293">
        <v>62</v>
      </c>
      <c r="C1293">
        <v>1123</v>
      </c>
      <c r="D1293">
        <v>4.42</v>
      </c>
      <c r="E1293">
        <v>27910</v>
      </c>
      <c r="F1293">
        <v>0</v>
      </c>
      <c r="G1293">
        <v>27910000</v>
      </c>
      <c r="H1293">
        <v>35</v>
      </c>
      <c r="I1293">
        <v>250</v>
      </c>
      <c r="J1293" s="2">
        <f t="shared" si="48"/>
        <v>1105</v>
      </c>
      <c r="K1293">
        <v>1292</v>
      </c>
      <c r="L1293" s="3">
        <f>SUM($I$2:$I1293)</f>
        <v>6306260</v>
      </c>
      <c r="M1293" s="3">
        <f>SUM($J$2:$J1293)</f>
        <v>24806732.199999966</v>
      </c>
      <c r="N1293" s="2">
        <f>SUM($D$2:$D1293)</f>
        <v>9046.8799999999901</v>
      </c>
      <c r="O1293" s="2">
        <f t="shared" si="49"/>
        <v>0.53913439385758821</v>
      </c>
      <c r="P1293" s="2" cm="1">
        <f t="array" ref="P1293">SUMPRODUCT((O1293&gt;$T$9:$T$14)*(O1293&lt;=$U$9:$U$14),$S$9:$S$14)</f>
        <v>5</v>
      </c>
    </row>
    <row r="1294" spans="1:16" x14ac:dyDescent="0.25">
      <c r="A1294">
        <v>1068</v>
      </c>
      <c r="B1294">
        <v>694</v>
      </c>
      <c r="C1294">
        <v>385</v>
      </c>
      <c r="D1294">
        <v>1.29</v>
      </c>
      <c r="E1294">
        <v>26310</v>
      </c>
      <c r="F1294">
        <v>0</v>
      </c>
      <c r="G1294">
        <v>26310000</v>
      </c>
      <c r="H1294">
        <v>28</v>
      </c>
      <c r="I1294">
        <v>250</v>
      </c>
      <c r="J1294" s="2">
        <f t="shared" si="48"/>
        <v>322.5</v>
      </c>
      <c r="K1294">
        <v>1293</v>
      </c>
      <c r="L1294" s="3">
        <f>SUM($I$2:$I1294)</f>
        <v>6306510</v>
      </c>
      <c r="M1294" s="3">
        <f>SUM($J$2:$J1294)</f>
        <v>24807054.699999966</v>
      </c>
      <c r="N1294" s="2">
        <f>SUM($D$2:$D1294)</f>
        <v>9048.169999999991</v>
      </c>
      <c r="O1294" s="2">
        <f t="shared" si="49"/>
        <v>0.53921126935146857</v>
      </c>
      <c r="P1294" s="2" cm="1">
        <f t="array" ref="P1294">SUMPRODUCT((O1294&gt;$T$9:$T$14)*(O1294&lt;=$U$9:$U$14),$S$9:$S$14)</f>
        <v>5</v>
      </c>
    </row>
    <row r="1295" spans="1:16" x14ac:dyDescent="0.25">
      <c r="A1295">
        <v>1474</v>
      </c>
      <c r="B1295">
        <v>306</v>
      </c>
      <c r="C1295">
        <v>1437</v>
      </c>
      <c r="D1295">
        <v>1.29</v>
      </c>
      <c r="E1295">
        <v>45753</v>
      </c>
      <c r="F1295">
        <v>0</v>
      </c>
      <c r="G1295">
        <v>45753000</v>
      </c>
      <c r="H1295">
        <v>141</v>
      </c>
      <c r="I1295">
        <v>250</v>
      </c>
      <c r="J1295" s="2">
        <f t="shared" si="48"/>
        <v>322.5</v>
      </c>
      <c r="K1295">
        <v>1294</v>
      </c>
      <c r="L1295" s="3">
        <f>SUM($I$2:$I1295)</f>
        <v>6306760</v>
      </c>
      <c r="M1295" s="3">
        <f>SUM($J$2:$J1295)</f>
        <v>24807377.199999966</v>
      </c>
      <c r="N1295" s="2">
        <f>SUM($D$2:$D1295)</f>
        <v>9049.4599999999919</v>
      </c>
      <c r="O1295" s="2">
        <f t="shared" si="49"/>
        <v>0.53928814484534904</v>
      </c>
      <c r="P1295" s="2" cm="1">
        <f t="array" ref="P1295">SUMPRODUCT((O1295&gt;$T$9:$T$14)*(O1295&lt;=$U$9:$U$14),$S$9:$S$14)</f>
        <v>5</v>
      </c>
    </row>
    <row r="1296" spans="1:16" x14ac:dyDescent="0.25">
      <c r="A1296">
        <v>1329</v>
      </c>
      <c r="B1296">
        <v>161</v>
      </c>
      <c r="C1296">
        <v>1255</v>
      </c>
      <c r="D1296">
        <v>1.24</v>
      </c>
      <c r="E1296">
        <v>34150</v>
      </c>
      <c r="F1296">
        <v>23.2</v>
      </c>
      <c r="G1296">
        <v>34150232</v>
      </c>
      <c r="H1296">
        <v>63</v>
      </c>
      <c r="I1296">
        <v>250</v>
      </c>
      <c r="J1296" s="2">
        <f t="shared" si="48"/>
        <v>310</v>
      </c>
      <c r="K1296">
        <v>1295</v>
      </c>
      <c r="L1296" s="3">
        <f>SUM($I$2:$I1296)</f>
        <v>6307010</v>
      </c>
      <c r="M1296" s="3">
        <f>SUM($J$2:$J1296)</f>
        <v>24807687.199999966</v>
      </c>
      <c r="N1296" s="2">
        <f>SUM($D$2:$D1296)</f>
        <v>9050.6999999999916</v>
      </c>
      <c r="O1296" s="2">
        <f t="shared" si="49"/>
        <v>0.5393620406689239</v>
      </c>
      <c r="P1296" s="2" cm="1">
        <f t="array" ref="P1296">SUMPRODUCT((O1296&gt;$T$9:$T$14)*(O1296&lt;=$U$9:$U$14),$S$9:$S$14)</f>
        <v>5</v>
      </c>
    </row>
    <row r="1297" spans="1:16" x14ac:dyDescent="0.25">
      <c r="A1297">
        <v>1249</v>
      </c>
      <c r="B1297">
        <v>81</v>
      </c>
      <c r="C1297">
        <v>1146</v>
      </c>
      <c r="D1297">
        <v>0.83</v>
      </c>
      <c r="E1297">
        <v>34525</v>
      </c>
      <c r="F1297">
        <v>0</v>
      </c>
      <c r="G1297">
        <v>34525000</v>
      </c>
      <c r="H1297">
        <v>65</v>
      </c>
      <c r="I1297">
        <v>250</v>
      </c>
      <c r="J1297" s="2">
        <f t="shared" si="48"/>
        <v>207.5</v>
      </c>
      <c r="K1297">
        <v>1296</v>
      </c>
      <c r="L1297" s="3">
        <f>SUM($I$2:$I1297)</f>
        <v>6307260</v>
      </c>
      <c r="M1297" s="3">
        <f>SUM($J$2:$J1297)</f>
        <v>24807894.699999966</v>
      </c>
      <c r="N1297" s="2">
        <f>SUM($D$2:$D1297)</f>
        <v>9051.5299999999916</v>
      </c>
      <c r="O1297" s="2">
        <f t="shared" si="49"/>
        <v>0.53941150319599418</v>
      </c>
      <c r="P1297" s="2" cm="1">
        <f t="array" ref="P1297">SUMPRODUCT((O1297&gt;$T$9:$T$14)*(O1297&lt;=$U$9:$U$14),$S$9:$S$14)</f>
        <v>5</v>
      </c>
    </row>
    <row r="1298" spans="1:16" x14ac:dyDescent="0.25">
      <c r="A1298">
        <v>1188</v>
      </c>
      <c r="B1298">
        <v>20</v>
      </c>
      <c r="C1298">
        <v>1072</v>
      </c>
      <c r="D1298">
        <v>25.55</v>
      </c>
      <c r="E1298">
        <v>29625</v>
      </c>
      <c r="F1298">
        <v>0</v>
      </c>
      <c r="G1298">
        <v>29625000</v>
      </c>
      <c r="H1298">
        <v>41</v>
      </c>
      <c r="I1298">
        <v>240</v>
      </c>
      <c r="J1298" s="2">
        <f t="shared" si="48"/>
        <v>6132</v>
      </c>
      <c r="K1298">
        <v>1297</v>
      </c>
      <c r="L1298" s="3">
        <f>SUM($I$2:$I1298)</f>
        <v>6307500</v>
      </c>
      <c r="M1298" s="3">
        <f>SUM($J$2:$J1298)</f>
        <v>24814026.699999966</v>
      </c>
      <c r="N1298" s="2">
        <f>SUM($D$2:$D1298)</f>
        <v>9077.0799999999908</v>
      </c>
      <c r="O1298" s="2">
        <f t="shared" si="49"/>
        <v>0.54093411472207398</v>
      </c>
      <c r="P1298" s="2" cm="1">
        <f t="array" ref="P1298">SUMPRODUCT((O1298&gt;$T$9:$T$14)*(O1298&lt;=$U$9:$U$14),$S$9:$S$14)</f>
        <v>5</v>
      </c>
    </row>
    <row r="1299" spans="1:16" x14ac:dyDescent="0.25">
      <c r="A1299">
        <v>1330</v>
      </c>
      <c r="B1299">
        <v>162</v>
      </c>
      <c r="C1299">
        <v>1256</v>
      </c>
      <c r="D1299">
        <v>22.64</v>
      </c>
      <c r="E1299">
        <v>34150</v>
      </c>
      <c r="F1299">
        <v>0</v>
      </c>
      <c r="G1299">
        <v>34150000</v>
      </c>
      <c r="H1299">
        <v>63</v>
      </c>
      <c r="I1299">
        <v>240</v>
      </c>
      <c r="J1299" s="2">
        <f t="shared" si="48"/>
        <v>5433.6</v>
      </c>
      <c r="K1299">
        <v>1298</v>
      </c>
      <c r="L1299" s="3">
        <f>SUM($I$2:$I1299)</f>
        <v>6307740</v>
      </c>
      <c r="M1299" s="3">
        <f>SUM($J$2:$J1299)</f>
        <v>24819460.299999967</v>
      </c>
      <c r="N1299" s="2">
        <f>SUM($D$2:$D1299)</f>
        <v>9099.7199999999903</v>
      </c>
      <c r="O1299" s="2">
        <f t="shared" si="49"/>
        <v>0.54228330943637726</v>
      </c>
      <c r="P1299" s="2" cm="1">
        <f t="array" ref="P1299">SUMPRODUCT((O1299&gt;$T$9:$T$14)*(O1299&lt;=$U$9:$U$14),$S$9:$S$14)</f>
        <v>5</v>
      </c>
    </row>
    <row r="1300" spans="1:16" x14ac:dyDescent="0.25">
      <c r="A1300">
        <v>1522</v>
      </c>
      <c r="B1300">
        <v>354</v>
      </c>
      <c r="C1300">
        <v>1494</v>
      </c>
      <c r="D1300">
        <v>9.69</v>
      </c>
      <c r="E1300">
        <v>42630</v>
      </c>
      <c r="F1300">
        <v>0</v>
      </c>
      <c r="G1300">
        <v>42630000</v>
      </c>
      <c r="H1300">
        <v>118</v>
      </c>
      <c r="I1300">
        <v>240</v>
      </c>
      <c r="J1300" s="2">
        <f t="shared" si="48"/>
        <v>2325.6</v>
      </c>
      <c r="K1300">
        <v>1299</v>
      </c>
      <c r="L1300" s="3">
        <f>SUM($I$2:$I1300)</f>
        <v>6307980</v>
      </c>
      <c r="M1300" s="3">
        <f>SUM($J$2:$J1300)</f>
        <v>24821785.899999969</v>
      </c>
      <c r="N1300" s="2">
        <f>SUM($D$2:$D1300)</f>
        <v>9109.4099999999908</v>
      </c>
      <c r="O1300" s="2">
        <f t="shared" si="49"/>
        <v>0.54286076954157159</v>
      </c>
      <c r="P1300" s="2" cm="1">
        <f t="array" ref="P1300">SUMPRODUCT((O1300&gt;$T$9:$T$14)*(O1300&lt;=$U$9:$U$14),$S$9:$S$14)</f>
        <v>5</v>
      </c>
    </row>
    <row r="1301" spans="1:16" x14ac:dyDescent="0.25">
      <c r="A1301">
        <v>1184</v>
      </c>
      <c r="B1301">
        <v>16</v>
      </c>
      <c r="C1301">
        <v>1067</v>
      </c>
      <c r="D1301">
        <v>9.1999999999999993</v>
      </c>
      <c r="E1301">
        <v>29690</v>
      </c>
      <c r="F1301">
        <v>0</v>
      </c>
      <c r="G1301">
        <v>29690000</v>
      </c>
      <c r="H1301">
        <v>41</v>
      </c>
      <c r="I1301">
        <v>240</v>
      </c>
      <c r="J1301" s="2">
        <f t="shared" si="48"/>
        <v>2208</v>
      </c>
      <c r="K1301">
        <v>1300</v>
      </c>
      <c r="L1301" s="3">
        <f>SUM($I$2:$I1301)</f>
        <v>6308220</v>
      </c>
      <c r="M1301" s="3">
        <f>SUM($J$2:$J1301)</f>
        <v>24823993.899999969</v>
      </c>
      <c r="N1301" s="2">
        <f>SUM($D$2:$D1301)</f>
        <v>9118.6099999999915</v>
      </c>
      <c r="O1301" s="2">
        <f t="shared" si="49"/>
        <v>0.54340902887777254</v>
      </c>
      <c r="P1301" s="2" cm="1">
        <f t="array" ref="P1301">SUMPRODUCT((O1301&gt;$T$9:$T$14)*(O1301&lt;=$U$9:$U$14),$S$9:$S$14)</f>
        <v>5</v>
      </c>
    </row>
    <row r="1302" spans="1:16" x14ac:dyDescent="0.25">
      <c r="A1302">
        <v>758</v>
      </c>
      <c r="B1302">
        <v>1545</v>
      </c>
      <c r="C1302">
        <v>1012</v>
      </c>
      <c r="D1302">
        <v>7.26</v>
      </c>
      <c r="E1302">
        <v>33210</v>
      </c>
      <c r="F1302">
        <v>7.5</v>
      </c>
      <c r="G1302">
        <v>33210075</v>
      </c>
      <c r="H1302">
        <v>60</v>
      </c>
      <c r="I1302">
        <v>240</v>
      </c>
      <c r="J1302" s="2">
        <f t="shared" si="48"/>
        <v>1742.3999999999999</v>
      </c>
      <c r="K1302">
        <v>1301</v>
      </c>
      <c r="L1302" s="3">
        <f>SUM($I$2:$I1302)</f>
        <v>6308460</v>
      </c>
      <c r="M1302" s="3">
        <f>SUM($J$2:$J1302)</f>
        <v>24825736.299999967</v>
      </c>
      <c r="N1302" s="2">
        <f>SUM($D$2:$D1302)</f>
        <v>9125.8699999999917</v>
      </c>
      <c r="O1302" s="2">
        <f t="shared" si="49"/>
        <v>0.5438416770061224</v>
      </c>
      <c r="P1302" s="2" cm="1">
        <f t="array" ref="P1302">SUMPRODUCT((O1302&gt;$T$9:$T$14)*(O1302&lt;=$U$9:$U$14),$S$9:$S$14)</f>
        <v>5</v>
      </c>
    </row>
    <row r="1303" spans="1:16" x14ac:dyDescent="0.25">
      <c r="A1303">
        <v>1063</v>
      </c>
      <c r="B1303">
        <v>689</v>
      </c>
      <c r="C1303">
        <v>379</v>
      </c>
      <c r="D1303">
        <v>6.68</v>
      </c>
      <c r="E1303">
        <v>18410</v>
      </c>
      <c r="F1303">
        <v>0</v>
      </c>
      <c r="G1303">
        <v>18410000</v>
      </c>
      <c r="H1303">
        <v>11</v>
      </c>
      <c r="I1303">
        <v>240</v>
      </c>
      <c r="J1303" s="2">
        <f t="shared" si="48"/>
        <v>1603.1999999999998</v>
      </c>
      <c r="K1303">
        <v>1302</v>
      </c>
      <c r="L1303" s="3">
        <f>SUM($I$2:$I1303)</f>
        <v>6308700</v>
      </c>
      <c r="M1303" s="3">
        <f>SUM($J$2:$J1303)</f>
        <v>24827339.499999966</v>
      </c>
      <c r="N1303" s="2">
        <f>SUM($D$2:$D1303)</f>
        <v>9132.549999999992</v>
      </c>
      <c r="O1303" s="2">
        <f t="shared" si="49"/>
        <v>0.54423976095892923</v>
      </c>
      <c r="P1303" s="2" cm="1">
        <f t="array" ref="P1303">SUMPRODUCT((O1303&gt;$T$9:$T$14)*(O1303&lt;=$U$9:$U$14),$S$9:$S$14)</f>
        <v>5</v>
      </c>
    </row>
    <row r="1304" spans="1:16" x14ac:dyDescent="0.25">
      <c r="A1304">
        <v>1473</v>
      </c>
      <c r="B1304">
        <v>305</v>
      </c>
      <c r="C1304">
        <v>1436</v>
      </c>
      <c r="D1304">
        <v>6.37</v>
      </c>
      <c r="E1304">
        <v>45753</v>
      </c>
      <c r="F1304">
        <v>1.3</v>
      </c>
      <c r="G1304">
        <v>45753013</v>
      </c>
      <c r="H1304">
        <v>141</v>
      </c>
      <c r="I1304">
        <v>240</v>
      </c>
      <c r="J1304" s="2">
        <f t="shared" si="48"/>
        <v>1528.8</v>
      </c>
      <c r="K1304">
        <v>1303</v>
      </c>
      <c r="L1304" s="3">
        <f>SUM($I$2:$I1304)</f>
        <v>6308940</v>
      </c>
      <c r="M1304" s="3">
        <f>SUM($J$2:$J1304)</f>
        <v>24828868.299999967</v>
      </c>
      <c r="N1304" s="2">
        <f>SUM($D$2:$D1304)</f>
        <v>9138.9199999999928</v>
      </c>
      <c r="O1304" s="2">
        <f t="shared" si="49"/>
        <v>0.54461937095584234</v>
      </c>
      <c r="P1304" s="2" cm="1">
        <f t="array" ref="P1304">SUMPRODUCT((O1304&gt;$T$9:$T$14)*(O1304&lt;=$U$9:$U$14),$S$9:$S$14)</f>
        <v>5</v>
      </c>
    </row>
    <row r="1305" spans="1:16" x14ac:dyDescent="0.25">
      <c r="A1305">
        <v>1355</v>
      </c>
      <c r="B1305">
        <v>187</v>
      </c>
      <c r="C1305">
        <v>1288</v>
      </c>
      <c r="D1305">
        <v>6.06</v>
      </c>
      <c r="E1305">
        <v>85505</v>
      </c>
      <c r="F1305">
        <v>0</v>
      </c>
      <c r="G1305">
        <v>85505000</v>
      </c>
      <c r="H1305">
        <v>7289</v>
      </c>
      <c r="I1305">
        <v>240</v>
      </c>
      <c r="J1305" s="2">
        <f t="shared" si="48"/>
        <v>1454.3999999999999</v>
      </c>
      <c r="K1305">
        <v>1304</v>
      </c>
      <c r="L1305" s="3">
        <f>SUM($I$2:$I1305)</f>
        <v>6309180</v>
      </c>
      <c r="M1305" s="3">
        <f>SUM($J$2:$J1305)</f>
        <v>24830322.699999966</v>
      </c>
      <c r="N1305" s="2">
        <f>SUM($D$2:$D1305)</f>
        <v>9144.9799999999923</v>
      </c>
      <c r="O1305" s="2">
        <f t="shared" si="49"/>
        <v>0.54498050699686162</v>
      </c>
      <c r="P1305" s="2" cm="1">
        <f t="array" ref="P1305">SUMPRODUCT((O1305&gt;$T$9:$T$14)*(O1305&lt;=$U$9:$U$14),$S$9:$S$14)</f>
        <v>5</v>
      </c>
    </row>
    <row r="1306" spans="1:16" x14ac:dyDescent="0.25">
      <c r="A1306">
        <v>326</v>
      </c>
      <c r="B1306">
        <v>1121</v>
      </c>
      <c r="C1306">
        <v>1963</v>
      </c>
      <c r="D1306">
        <v>5.22</v>
      </c>
      <c r="E1306">
        <v>72000</v>
      </c>
      <c r="F1306">
        <v>0</v>
      </c>
      <c r="G1306">
        <v>72000000</v>
      </c>
      <c r="H1306">
        <v>663</v>
      </c>
      <c r="I1306">
        <v>240</v>
      </c>
      <c r="J1306" s="2">
        <f t="shared" si="48"/>
        <v>1252.8</v>
      </c>
      <c r="K1306">
        <v>1305</v>
      </c>
      <c r="L1306" s="3">
        <f>SUM($I$2:$I1306)</f>
        <v>6309420</v>
      </c>
      <c r="M1306" s="3">
        <f>SUM($J$2:$J1306)</f>
        <v>24831575.499999966</v>
      </c>
      <c r="N1306" s="2">
        <f>SUM($D$2:$D1306)</f>
        <v>9150.1999999999916</v>
      </c>
      <c r="O1306" s="2">
        <f t="shared" si="49"/>
        <v>0.54529158457674953</v>
      </c>
      <c r="P1306" s="2" cm="1">
        <f t="array" ref="P1306">SUMPRODUCT((O1306&gt;$T$9:$T$14)*(O1306&lt;=$U$9:$U$14),$S$9:$S$14)</f>
        <v>5</v>
      </c>
    </row>
    <row r="1307" spans="1:16" x14ac:dyDescent="0.25">
      <c r="A1307">
        <v>735</v>
      </c>
      <c r="B1307">
        <v>1522</v>
      </c>
      <c r="C1307">
        <v>985</v>
      </c>
      <c r="D1307">
        <v>4.71</v>
      </c>
      <c r="E1307">
        <v>33540</v>
      </c>
      <c r="F1307">
        <v>0</v>
      </c>
      <c r="G1307">
        <v>33540000</v>
      </c>
      <c r="H1307">
        <v>61</v>
      </c>
      <c r="I1307">
        <v>240</v>
      </c>
      <c r="J1307" s="2">
        <f t="shared" si="48"/>
        <v>1130.4000000000001</v>
      </c>
      <c r="K1307">
        <v>1306</v>
      </c>
      <c r="L1307" s="3">
        <f>SUM($I$2:$I1307)</f>
        <v>6309660</v>
      </c>
      <c r="M1307" s="3">
        <f>SUM($J$2:$J1307)</f>
        <v>24832705.899999965</v>
      </c>
      <c r="N1307" s="2">
        <f>SUM($D$2:$D1307)</f>
        <v>9154.9099999999908</v>
      </c>
      <c r="O1307" s="2">
        <f t="shared" si="49"/>
        <v>0.54557226951952198</v>
      </c>
      <c r="P1307" s="2" cm="1">
        <f t="array" ref="P1307">SUMPRODUCT((O1307&gt;$T$9:$T$14)*(O1307&lt;=$U$9:$U$14),$S$9:$S$14)</f>
        <v>5</v>
      </c>
    </row>
    <row r="1308" spans="1:16" x14ac:dyDescent="0.25">
      <c r="A1308">
        <v>1521</v>
      </c>
      <c r="B1308">
        <v>353</v>
      </c>
      <c r="C1308">
        <v>1493</v>
      </c>
      <c r="D1308">
        <v>3.75</v>
      </c>
      <c r="E1308">
        <v>42640</v>
      </c>
      <c r="F1308">
        <v>0</v>
      </c>
      <c r="G1308">
        <v>42640000</v>
      </c>
      <c r="H1308">
        <v>118</v>
      </c>
      <c r="I1308">
        <v>240</v>
      </c>
      <c r="J1308" s="2">
        <f t="shared" si="48"/>
        <v>900</v>
      </c>
      <c r="K1308">
        <v>1307</v>
      </c>
      <c r="L1308" s="3">
        <f>SUM($I$2:$I1308)</f>
        <v>6309900</v>
      </c>
      <c r="M1308" s="3">
        <f>SUM($J$2:$J1308)</f>
        <v>24833605.899999965</v>
      </c>
      <c r="N1308" s="2">
        <f>SUM($D$2:$D1308)</f>
        <v>9158.6599999999908</v>
      </c>
      <c r="O1308" s="2">
        <f t="shared" si="49"/>
        <v>0.54579574479242998</v>
      </c>
      <c r="P1308" s="2" cm="1">
        <f t="array" ref="P1308">SUMPRODUCT((O1308&gt;$T$9:$T$14)*(O1308&lt;=$U$9:$U$14),$S$9:$S$14)</f>
        <v>5</v>
      </c>
    </row>
    <row r="1309" spans="1:16" x14ac:dyDescent="0.25">
      <c r="A1309">
        <v>1269</v>
      </c>
      <c r="B1309">
        <v>101</v>
      </c>
      <c r="C1309">
        <v>1177</v>
      </c>
      <c r="D1309">
        <v>2.08</v>
      </c>
      <c r="E1309">
        <v>39205</v>
      </c>
      <c r="F1309">
        <v>5.7</v>
      </c>
      <c r="G1309">
        <v>39205057</v>
      </c>
      <c r="H1309">
        <v>94</v>
      </c>
      <c r="I1309">
        <v>240</v>
      </c>
      <c r="J1309" s="2">
        <f t="shared" si="48"/>
        <v>499.20000000000005</v>
      </c>
      <c r="K1309">
        <v>1308</v>
      </c>
      <c r="L1309" s="3">
        <f>SUM($I$2:$I1309)</f>
        <v>6310140</v>
      </c>
      <c r="M1309" s="3">
        <f>SUM($J$2:$J1309)</f>
        <v>24834105.099999964</v>
      </c>
      <c r="N1309" s="2">
        <f>SUM($D$2:$D1309)</f>
        <v>9160.7399999999907</v>
      </c>
      <c r="O1309" s="2">
        <f t="shared" si="49"/>
        <v>0.54591969907713633</v>
      </c>
      <c r="P1309" s="2" cm="1">
        <f t="array" ref="P1309">SUMPRODUCT((O1309&gt;$T$9:$T$14)*(O1309&lt;=$U$9:$U$14),$S$9:$S$14)</f>
        <v>5</v>
      </c>
    </row>
    <row r="1310" spans="1:16" x14ac:dyDescent="0.25">
      <c r="A1310">
        <v>973</v>
      </c>
      <c r="B1310">
        <v>599</v>
      </c>
      <c r="C1310">
        <v>262</v>
      </c>
      <c r="D1310">
        <v>73.62</v>
      </c>
      <c r="E1310">
        <v>13800</v>
      </c>
      <c r="F1310">
        <v>19.899999999999999</v>
      </c>
      <c r="G1310">
        <v>13800199</v>
      </c>
      <c r="H1310">
        <v>6</v>
      </c>
      <c r="I1310">
        <v>230</v>
      </c>
      <c r="J1310" s="2">
        <f t="shared" si="48"/>
        <v>16932.600000000002</v>
      </c>
      <c r="K1310">
        <v>1309</v>
      </c>
      <c r="L1310" s="3">
        <f>SUM($I$2:$I1310)</f>
        <v>6310370</v>
      </c>
      <c r="M1310" s="3">
        <f>SUM($J$2:$J1310)</f>
        <v>24851037.699999966</v>
      </c>
      <c r="N1310" s="2">
        <f>SUM($D$2:$D1310)</f>
        <v>9234.3599999999915</v>
      </c>
      <c r="O1310" s="2">
        <f t="shared" si="49"/>
        <v>0.55030696563486625</v>
      </c>
      <c r="P1310" s="2" cm="1">
        <f t="array" ref="P1310">SUMPRODUCT((O1310&gt;$T$9:$T$14)*(O1310&lt;=$U$9:$U$14),$S$9:$S$14)</f>
        <v>5</v>
      </c>
    </row>
    <row r="1311" spans="1:16" x14ac:dyDescent="0.25">
      <c r="A1311">
        <v>652</v>
      </c>
      <c r="B1311">
        <v>1439</v>
      </c>
      <c r="C1311">
        <v>883</v>
      </c>
      <c r="D1311">
        <v>19.989999999999998</v>
      </c>
      <c r="E1311">
        <v>26365</v>
      </c>
      <c r="F1311">
        <v>0.9</v>
      </c>
      <c r="G1311">
        <v>26365009</v>
      </c>
      <c r="H1311">
        <v>28</v>
      </c>
      <c r="I1311">
        <v>230</v>
      </c>
      <c r="J1311" s="2">
        <f t="shared" si="48"/>
        <v>4597.7</v>
      </c>
      <c r="K1311">
        <v>1310</v>
      </c>
      <c r="L1311" s="3">
        <f>SUM($I$2:$I1311)</f>
        <v>6310600</v>
      </c>
      <c r="M1311" s="3">
        <f>SUM($J$2:$J1311)</f>
        <v>24855635.399999965</v>
      </c>
      <c r="N1311" s="2">
        <f>SUM($D$2:$D1311)</f>
        <v>9254.3499999999913</v>
      </c>
      <c r="O1311" s="2">
        <f t="shared" si="49"/>
        <v>0.55149823782298113</v>
      </c>
      <c r="P1311" s="2" cm="1">
        <f t="array" ref="P1311">SUMPRODUCT((O1311&gt;$T$9:$T$14)*(O1311&lt;=$U$9:$U$14),$S$9:$S$14)</f>
        <v>5</v>
      </c>
    </row>
    <row r="1312" spans="1:16" x14ac:dyDescent="0.25">
      <c r="A1312">
        <v>1220</v>
      </c>
      <c r="B1312">
        <v>52</v>
      </c>
      <c r="C1312">
        <v>1112</v>
      </c>
      <c r="D1312">
        <v>13</v>
      </c>
      <c r="E1312">
        <v>27970</v>
      </c>
      <c r="F1312">
        <v>0</v>
      </c>
      <c r="G1312">
        <v>27970000</v>
      </c>
      <c r="H1312">
        <v>35</v>
      </c>
      <c r="I1312">
        <v>230</v>
      </c>
      <c r="J1312" s="2">
        <f t="shared" si="48"/>
        <v>2990</v>
      </c>
      <c r="K1312">
        <v>1311</v>
      </c>
      <c r="L1312" s="3">
        <f>SUM($I$2:$I1312)</f>
        <v>6310830</v>
      </c>
      <c r="M1312" s="3">
        <f>SUM($J$2:$J1312)</f>
        <v>24858625.399999965</v>
      </c>
      <c r="N1312" s="2">
        <f>SUM($D$2:$D1312)</f>
        <v>9267.3499999999913</v>
      </c>
      <c r="O1312" s="2">
        <f t="shared" si="49"/>
        <v>0.55227295210239558</v>
      </c>
      <c r="P1312" s="2" cm="1">
        <f t="array" ref="P1312">SUMPRODUCT((O1312&gt;$T$9:$T$14)*(O1312&lt;=$U$9:$U$14),$S$9:$S$14)</f>
        <v>5</v>
      </c>
    </row>
    <row r="1313" spans="1:16" x14ac:dyDescent="0.25">
      <c r="A1313">
        <v>1378</v>
      </c>
      <c r="B1313">
        <v>210</v>
      </c>
      <c r="C1313">
        <v>1321</v>
      </c>
      <c r="D1313">
        <v>10.63</v>
      </c>
      <c r="E1313">
        <v>33700</v>
      </c>
      <c r="F1313">
        <v>0</v>
      </c>
      <c r="G1313">
        <v>33700000</v>
      </c>
      <c r="H1313">
        <v>62</v>
      </c>
      <c r="I1313">
        <v>230</v>
      </c>
      <c r="J1313" s="2">
        <f t="shared" si="48"/>
        <v>2444.9</v>
      </c>
      <c r="K1313">
        <v>1312</v>
      </c>
      <c r="L1313" s="3">
        <f>SUM($I$2:$I1313)</f>
        <v>6311060</v>
      </c>
      <c r="M1313" s="3">
        <f>SUM($J$2:$J1313)</f>
        <v>24861070.299999963</v>
      </c>
      <c r="N1313" s="2">
        <f>SUM($D$2:$D1313)</f>
        <v>9277.9799999999905</v>
      </c>
      <c r="O1313" s="2">
        <f t="shared" si="49"/>
        <v>0.55290643000933204</v>
      </c>
      <c r="P1313" s="2" cm="1">
        <f t="array" ref="P1313">SUMPRODUCT((O1313&gt;$T$9:$T$14)*(O1313&lt;=$U$9:$U$14),$S$9:$S$14)</f>
        <v>5</v>
      </c>
    </row>
    <row r="1314" spans="1:16" x14ac:dyDescent="0.25">
      <c r="A1314">
        <v>1705</v>
      </c>
      <c r="B1314">
        <v>1705</v>
      </c>
      <c r="C1314">
        <v>2210</v>
      </c>
      <c r="D1314">
        <v>10.54</v>
      </c>
      <c r="E1314">
        <v>55302</v>
      </c>
      <c r="F1314">
        <v>2.8</v>
      </c>
      <c r="G1314">
        <v>55302028</v>
      </c>
      <c r="H1314">
        <v>537</v>
      </c>
      <c r="I1314">
        <v>230</v>
      </c>
      <c r="J1314" s="2">
        <f t="shared" si="48"/>
        <v>2424.1999999999998</v>
      </c>
      <c r="K1314">
        <v>1313</v>
      </c>
      <c r="L1314" s="3">
        <f>SUM($I$2:$I1314)</f>
        <v>6311290</v>
      </c>
      <c r="M1314" s="3">
        <f>SUM($J$2:$J1314)</f>
        <v>24863494.499999963</v>
      </c>
      <c r="N1314" s="2">
        <f>SUM($D$2:$D1314)</f>
        <v>9288.5199999999913</v>
      </c>
      <c r="O1314" s="2">
        <f t="shared" si="49"/>
        <v>0.55353454450971895</v>
      </c>
      <c r="P1314" s="2" cm="1">
        <f t="array" ref="P1314">SUMPRODUCT((O1314&gt;$T$9:$T$14)*(O1314&lt;=$U$9:$U$14),$S$9:$S$14)</f>
        <v>5</v>
      </c>
    </row>
    <row r="1315" spans="1:16" x14ac:dyDescent="0.25">
      <c r="A1315">
        <v>1358</v>
      </c>
      <c r="B1315">
        <v>190</v>
      </c>
      <c r="C1315">
        <v>1293</v>
      </c>
      <c r="D1315">
        <v>7.88</v>
      </c>
      <c r="E1315">
        <v>33770</v>
      </c>
      <c r="F1315">
        <v>0</v>
      </c>
      <c r="G1315">
        <v>33770000</v>
      </c>
      <c r="H1315">
        <v>62</v>
      </c>
      <c r="I1315">
        <v>230</v>
      </c>
      <c r="J1315" s="2">
        <f t="shared" si="48"/>
        <v>1812.3999999999999</v>
      </c>
      <c r="K1315">
        <v>1314</v>
      </c>
      <c r="L1315" s="3">
        <f>SUM($I$2:$I1315)</f>
        <v>6311520</v>
      </c>
      <c r="M1315" s="3">
        <f>SUM($J$2:$J1315)</f>
        <v>24865306.899999961</v>
      </c>
      <c r="N1315" s="2">
        <f>SUM($D$2:$D1315)</f>
        <v>9296.3999999999905</v>
      </c>
      <c r="O1315" s="2">
        <f t="shared" si="49"/>
        <v>0.55400414054985625</v>
      </c>
      <c r="P1315" s="2" cm="1">
        <f t="array" ref="P1315">SUMPRODUCT((O1315&gt;$T$9:$T$14)*(O1315&lt;=$U$9:$U$14),$S$9:$S$14)</f>
        <v>5</v>
      </c>
    </row>
    <row r="1316" spans="1:16" x14ac:dyDescent="0.25">
      <c r="A1316">
        <v>1518</v>
      </c>
      <c r="B1316">
        <v>350</v>
      </c>
      <c r="C1316">
        <v>1490</v>
      </c>
      <c r="D1316">
        <v>7.29</v>
      </c>
      <c r="E1316">
        <v>42670</v>
      </c>
      <c r="F1316">
        <v>0</v>
      </c>
      <c r="G1316">
        <v>42670000</v>
      </c>
      <c r="H1316">
        <v>118</v>
      </c>
      <c r="I1316">
        <v>230</v>
      </c>
      <c r="J1316" s="2">
        <f t="shared" si="48"/>
        <v>1676.7</v>
      </c>
      <c r="K1316">
        <v>1315</v>
      </c>
      <c r="L1316" s="3">
        <f>SUM($I$2:$I1316)</f>
        <v>6311750</v>
      </c>
      <c r="M1316" s="3">
        <f>SUM($J$2:$J1316)</f>
        <v>24866983.599999961</v>
      </c>
      <c r="N1316" s="2">
        <f>SUM($D$2:$D1316)</f>
        <v>9303.6899999999914</v>
      </c>
      <c r="O1316" s="2">
        <f t="shared" si="49"/>
        <v>0.55443857648038941</v>
      </c>
      <c r="P1316" s="2" cm="1">
        <f t="array" ref="P1316">SUMPRODUCT((O1316&gt;$T$9:$T$14)*(O1316&lt;=$U$9:$U$14),$S$9:$S$14)</f>
        <v>5</v>
      </c>
    </row>
    <row r="1317" spans="1:16" x14ac:dyDescent="0.25">
      <c r="A1317">
        <v>144</v>
      </c>
      <c r="B1317">
        <v>940</v>
      </c>
      <c r="C1317">
        <v>1713</v>
      </c>
      <c r="D1317">
        <v>5.23</v>
      </c>
      <c r="E1317">
        <v>60300</v>
      </c>
      <c r="F1317">
        <v>14.6</v>
      </c>
      <c r="G1317">
        <v>60300146</v>
      </c>
      <c r="H1317">
        <v>575</v>
      </c>
      <c r="I1317">
        <v>230</v>
      </c>
      <c r="J1317" s="2">
        <f t="shared" si="48"/>
        <v>1202.9000000000001</v>
      </c>
      <c r="K1317">
        <v>1316</v>
      </c>
      <c r="L1317" s="3">
        <f>SUM($I$2:$I1317)</f>
        <v>6311980</v>
      </c>
      <c r="M1317" s="3">
        <f>SUM($J$2:$J1317)</f>
        <v>24868186.499999959</v>
      </c>
      <c r="N1317" s="2">
        <f>SUM($D$2:$D1317)</f>
        <v>9308.919999999991</v>
      </c>
      <c r="O1317" s="2">
        <f t="shared" si="49"/>
        <v>0.55475024999433842</v>
      </c>
      <c r="P1317" s="2" cm="1">
        <f t="array" ref="P1317">SUMPRODUCT((O1317&gt;$T$9:$T$14)*(O1317&lt;=$U$9:$U$14),$S$9:$S$14)</f>
        <v>5</v>
      </c>
    </row>
    <row r="1318" spans="1:16" x14ac:dyDescent="0.25">
      <c r="A1318">
        <v>330</v>
      </c>
      <c r="B1318">
        <v>1125</v>
      </c>
      <c r="C1318">
        <v>1967</v>
      </c>
      <c r="D1318">
        <v>4.2300000000000004</v>
      </c>
      <c r="E1318">
        <v>71407</v>
      </c>
      <c r="F1318">
        <v>0</v>
      </c>
      <c r="G1318">
        <v>71407000</v>
      </c>
      <c r="H1318">
        <v>658</v>
      </c>
      <c r="I1318">
        <v>230</v>
      </c>
      <c r="J1318" s="2">
        <f t="shared" si="48"/>
        <v>972.90000000000009</v>
      </c>
      <c r="K1318">
        <v>1317</v>
      </c>
      <c r="L1318" s="3">
        <f>SUM($I$2:$I1318)</f>
        <v>6312210</v>
      </c>
      <c r="M1318" s="3">
        <f>SUM($J$2:$J1318)</f>
        <v>24869159.399999958</v>
      </c>
      <c r="N1318" s="2">
        <f>SUM($D$2:$D1318)</f>
        <v>9313.1499999999905</v>
      </c>
      <c r="O1318" s="2">
        <f t="shared" si="49"/>
        <v>0.55500233010217859</v>
      </c>
      <c r="P1318" s="2" cm="1">
        <f t="array" ref="P1318">SUMPRODUCT((O1318&gt;$T$9:$T$14)*(O1318&lt;=$U$9:$U$14),$S$9:$S$14)</f>
        <v>5</v>
      </c>
    </row>
    <row r="1319" spans="1:16" x14ac:dyDescent="0.25">
      <c r="A1319">
        <v>1457</v>
      </c>
      <c r="B1319">
        <v>289</v>
      </c>
      <c r="C1319">
        <v>1413</v>
      </c>
      <c r="D1319">
        <v>3.29</v>
      </c>
      <c r="E1319">
        <v>46261</v>
      </c>
      <c r="F1319">
        <v>0</v>
      </c>
      <c r="G1319">
        <v>46261000</v>
      </c>
      <c r="H1319">
        <v>148</v>
      </c>
      <c r="I1319">
        <v>230</v>
      </c>
      <c r="J1319" s="2">
        <f t="shared" si="48"/>
        <v>756.7</v>
      </c>
      <c r="K1319">
        <v>1318</v>
      </c>
      <c r="L1319" s="3">
        <f>SUM($I$2:$I1319)</f>
        <v>6312440</v>
      </c>
      <c r="M1319" s="3">
        <f>SUM($J$2:$J1319)</f>
        <v>24869916.099999957</v>
      </c>
      <c r="N1319" s="2">
        <f>SUM($D$2:$D1319)</f>
        <v>9316.4399999999914</v>
      </c>
      <c r="O1319" s="2">
        <f t="shared" si="49"/>
        <v>0.55519839240827662</v>
      </c>
      <c r="P1319" s="2" cm="1">
        <f t="array" ref="P1319">SUMPRODUCT((O1319&gt;$T$9:$T$14)*(O1319&lt;=$U$9:$U$14),$S$9:$S$14)</f>
        <v>5</v>
      </c>
    </row>
    <row r="1320" spans="1:16" x14ac:dyDescent="0.25">
      <c r="A1320">
        <v>841</v>
      </c>
      <c r="B1320">
        <v>467</v>
      </c>
      <c r="C1320">
        <v>2252</v>
      </c>
      <c r="D1320">
        <v>3.23</v>
      </c>
      <c r="E1320">
        <v>19000</v>
      </c>
      <c r="F1320">
        <v>0</v>
      </c>
      <c r="G1320">
        <v>19000000</v>
      </c>
      <c r="H1320" t="s">
        <v>6</v>
      </c>
      <c r="I1320">
        <v>230</v>
      </c>
      <c r="J1320" s="2">
        <f t="shared" si="48"/>
        <v>742.9</v>
      </c>
      <c r="K1320">
        <v>1319</v>
      </c>
      <c r="L1320" s="3">
        <f>SUM($I$2:$I1320)</f>
        <v>6312670</v>
      </c>
      <c r="M1320" s="3">
        <f>SUM($J$2:$J1320)</f>
        <v>24870658.999999955</v>
      </c>
      <c r="N1320" s="2">
        <f>SUM($D$2:$D1320)</f>
        <v>9319.669999999991</v>
      </c>
      <c r="O1320" s="2">
        <f t="shared" si="49"/>
        <v>0.55539087911000806</v>
      </c>
      <c r="P1320" s="2" cm="1">
        <f t="array" ref="P1320">SUMPRODUCT((O1320&gt;$T$9:$T$14)*(O1320&lt;=$U$9:$U$14),$S$9:$S$14)</f>
        <v>5</v>
      </c>
    </row>
    <row r="1321" spans="1:16" x14ac:dyDescent="0.25">
      <c r="A1321">
        <v>840</v>
      </c>
      <c r="B1321">
        <v>466</v>
      </c>
      <c r="C1321">
        <v>81</v>
      </c>
      <c r="D1321">
        <v>0.04</v>
      </c>
      <c r="E1321">
        <v>19000</v>
      </c>
      <c r="F1321">
        <v>0</v>
      </c>
      <c r="G1321">
        <v>19000000</v>
      </c>
      <c r="H1321" t="s">
        <v>6</v>
      </c>
      <c r="I1321">
        <v>230</v>
      </c>
      <c r="J1321" s="2">
        <f t="shared" si="48"/>
        <v>9.2000000000000011</v>
      </c>
      <c r="K1321">
        <v>1320</v>
      </c>
      <c r="L1321" s="3">
        <f>SUM($I$2:$I1321)</f>
        <v>6312900</v>
      </c>
      <c r="M1321" s="3">
        <f>SUM($J$2:$J1321)</f>
        <v>24870668.199999955</v>
      </c>
      <c r="N1321" s="2">
        <f>SUM($D$2:$D1321)</f>
        <v>9319.7099999999919</v>
      </c>
      <c r="O1321" s="2">
        <f t="shared" si="49"/>
        <v>0.55539326284625246</v>
      </c>
      <c r="P1321" s="2" cm="1">
        <f t="array" ref="P1321">SUMPRODUCT((O1321&gt;$T$9:$T$14)*(O1321&lt;=$U$9:$U$14),$S$9:$S$14)</f>
        <v>5</v>
      </c>
    </row>
    <row r="1322" spans="1:16" x14ac:dyDescent="0.25">
      <c r="A1322">
        <v>1336</v>
      </c>
      <c r="B1322">
        <v>168</v>
      </c>
      <c r="C1322">
        <v>1263</v>
      </c>
      <c r="D1322">
        <v>68.2</v>
      </c>
      <c r="E1322">
        <v>41070</v>
      </c>
      <c r="F1322">
        <v>0</v>
      </c>
      <c r="G1322">
        <v>41070000</v>
      </c>
      <c r="H1322">
        <v>105</v>
      </c>
      <c r="I1322">
        <v>220</v>
      </c>
      <c r="J1322" s="2">
        <f t="shared" si="48"/>
        <v>15004</v>
      </c>
      <c r="K1322">
        <v>1321</v>
      </c>
      <c r="L1322" s="3">
        <f>SUM($I$2:$I1322)</f>
        <v>6313120</v>
      </c>
      <c r="M1322" s="3">
        <f>SUM($J$2:$J1322)</f>
        <v>24885672.199999955</v>
      </c>
      <c r="N1322" s="2">
        <f>SUM($D$2:$D1322)</f>
        <v>9387.9099999999926</v>
      </c>
      <c r="O1322" s="2">
        <f t="shared" si="49"/>
        <v>0.55945753314287272</v>
      </c>
      <c r="P1322" s="2" cm="1">
        <f t="array" ref="P1322">SUMPRODUCT((O1322&gt;$T$9:$T$14)*(O1322&lt;=$U$9:$U$14),$S$9:$S$14)</f>
        <v>5</v>
      </c>
    </row>
    <row r="1323" spans="1:16" x14ac:dyDescent="0.25">
      <c r="A1323">
        <v>1286</v>
      </c>
      <c r="B1323">
        <v>118</v>
      </c>
      <c r="C1323">
        <v>1202</v>
      </c>
      <c r="D1323">
        <v>35.380000000000003</v>
      </c>
      <c r="E1323">
        <v>36080</v>
      </c>
      <c r="F1323">
        <v>0</v>
      </c>
      <c r="G1323">
        <v>36080000</v>
      </c>
      <c r="H1323">
        <v>71</v>
      </c>
      <c r="I1323">
        <v>220</v>
      </c>
      <c r="J1323" s="2">
        <f t="shared" si="48"/>
        <v>7783.6</v>
      </c>
      <c r="K1323">
        <v>1322</v>
      </c>
      <c r="L1323" s="3">
        <f>SUM($I$2:$I1323)</f>
        <v>6313340</v>
      </c>
      <c r="M1323" s="3">
        <f>SUM($J$2:$J1323)</f>
        <v>24893455.799999956</v>
      </c>
      <c r="N1323" s="2">
        <f>SUM($D$2:$D1323)</f>
        <v>9423.2899999999918</v>
      </c>
      <c r="O1323" s="2">
        <f t="shared" si="49"/>
        <v>0.561565947851002</v>
      </c>
      <c r="P1323" s="2" cm="1">
        <f t="array" ref="P1323">SUMPRODUCT((O1323&gt;$T$9:$T$14)*(O1323&lt;=$U$9:$U$14),$S$9:$S$14)</f>
        <v>5</v>
      </c>
    </row>
    <row r="1324" spans="1:16" x14ac:dyDescent="0.25">
      <c r="A1324">
        <v>1470</v>
      </c>
      <c r="B1324">
        <v>302</v>
      </c>
      <c r="C1324">
        <v>1432</v>
      </c>
      <c r="D1324">
        <v>17.25</v>
      </c>
      <c r="E1324">
        <v>45790</v>
      </c>
      <c r="F1324">
        <v>0</v>
      </c>
      <c r="G1324">
        <v>45790000</v>
      </c>
      <c r="H1324">
        <v>141</v>
      </c>
      <c r="I1324">
        <v>220</v>
      </c>
      <c r="J1324" s="2">
        <f t="shared" si="48"/>
        <v>3795</v>
      </c>
      <c r="K1324">
        <v>1323</v>
      </c>
      <c r="L1324" s="3">
        <f>SUM($I$2:$I1324)</f>
        <v>6313560</v>
      </c>
      <c r="M1324" s="3">
        <f>SUM($J$2:$J1324)</f>
        <v>24897250.799999956</v>
      </c>
      <c r="N1324" s="2">
        <f>SUM($D$2:$D1324)</f>
        <v>9440.5399999999918</v>
      </c>
      <c r="O1324" s="2">
        <f t="shared" si="49"/>
        <v>0.56259393410637881</v>
      </c>
      <c r="P1324" s="2" cm="1">
        <f t="array" ref="P1324">SUMPRODUCT((O1324&gt;$T$9:$T$14)*(O1324&lt;=$U$9:$U$14),$S$9:$S$14)</f>
        <v>5</v>
      </c>
    </row>
    <row r="1325" spans="1:16" x14ac:dyDescent="0.25">
      <c r="A1325">
        <v>1031</v>
      </c>
      <c r="B1325">
        <v>657</v>
      </c>
      <c r="C1325">
        <v>340</v>
      </c>
      <c r="D1325">
        <v>15.3</v>
      </c>
      <c r="E1325">
        <v>24170</v>
      </c>
      <c r="F1325">
        <v>5.9</v>
      </c>
      <c r="G1325">
        <v>24170059</v>
      </c>
      <c r="H1325">
        <v>21</v>
      </c>
      <c r="I1325">
        <v>220</v>
      </c>
      <c r="J1325" s="2">
        <f t="shared" si="48"/>
        <v>3366</v>
      </c>
      <c r="K1325">
        <v>1324</v>
      </c>
      <c r="L1325" s="3">
        <f>SUM($I$2:$I1325)</f>
        <v>6313780</v>
      </c>
      <c r="M1325" s="3">
        <f>SUM($J$2:$J1325)</f>
        <v>24900616.799999956</v>
      </c>
      <c r="N1325" s="2">
        <f>SUM($D$2:$D1325)</f>
        <v>9455.8399999999911</v>
      </c>
      <c r="O1325" s="2">
        <f t="shared" si="49"/>
        <v>0.56350571321984344</v>
      </c>
      <c r="P1325" s="2" cm="1">
        <f t="array" ref="P1325">SUMPRODUCT((O1325&gt;$T$9:$T$14)*(O1325&lt;=$U$9:$U$14),$S$9:$S$14)</f>
        <v>5</v>
      </c>
    </row>
    <row r="1326" spans="1:16" x14ac:dyDescent="0.25">
      <c r="A1326">
        <v>1472</v>
      </c>
      <c r="B1326">
        <v>304</v>
      </c>
      <c r="C1326">
        <v>1435</v>
      </c>
      <c r="D1326">
        <v>9.91</v>
      </c>
      <c r="E1326">
        <v>45760</v>
      </c>
      <c r="F1326">
        <v>0</v>
      </c>
      <c r="G1326">
        <v>45760000</v>
      </c>
      <c r="H1326">
        <v>141</v>
      </c>
      <c r="I1326">
        <v>220</v>
      </c>
      <c r="J1326" s="2">
        <f t="shared" si="48"/>
        <v>2180.1999999999998</v>
      </c>
      <c r="K1326">
        <v>1325</v>
      </c>
      <c r="L1326" s="3">
        <f>SUM($I$2:$I1326)</f>
        <v>6314000</v>
      </c>
      <c r="M1326" s="3">
        <f>SUM($J$2:$J1326)</f>
        <v>24902796.999999955</v>
      </c>
      <c r="N1326" s="2">
        <f>SUM($D$2:$D1326)</f>
        <v>9465.7499999999909</v>
      </c>
      <c r="O1326" s="2">
        <f t="shared" si="49"/>
        <v>0.56409628387438171</v>
      </c>
      <c r="P1326" s="2" cm="1">
        <f t="array" ref="P1326">SUMPRODUCT((O1326&gt;$T$9:$T$14)*(O1326&lt;=$U$9:$U$14),$S$9:$S$14)</f>
        <v>5</v>
      </c>
    </row>
    <row r="1327" spans="1:16" x14ac:dyDescent="0.25">
      <c r="A1327">
        <v>1274</v>
      </c>
      <c r="B1327">
        <v>106</v>
      </c>
      <c r="C1327">
        <v>1184</v>
      </c>
      <c r="D1327">
        <v>6.52</v>
      </c>
      <c r="E1327">
        <v>34750</v>
      </c>
      <c r="F1327">
        <v>2.5</v>
      </c>
      <c r="G1327">
        <v>34750025</v>
      </c>
      <c r="H1327">
        <v>66</v>
      </c>
      <c r="I1327">
        <v>220</v>
      </c>
      <c r="J1327" s="2">
        <f t="shared" si="48"/>
        <v>1434.3999999999999</v>
      </c>
      <c r="K1327">
        <v>1326</v>
      </c>
      <c r="L1327" s="3">
        <f>SUM($I$2:$I1327)</f>
        <v>6314220</v>
      </c>
      <c r="M1327" s="3">
        <f>SUM($J$2:$J1327)</f>
        <v>24904231.399999954</v>
      </c>
      <c r="N1327" s="2">
        <f>SUM($D$2:$D1327)</f>
        <v>9472.2699999999913</v>
      </c>
      <c r="O1327" s="2">
        <f t="shared" si="49"/>
        <v>0.56448483288221107</v>
      </c>
      <c r="P1327" s="2" cm="1">
        <f t="array" ref="P1327">SUMPRODUCT((O1327&gt;$T$9:$T$14)*(O1327&lt;=$U$9:$U$14),$S$9:$S$14)</f>
        <v>5</v>
      </c>
    </row>
    <row r="1328" spans="1:16" x14ac:dyDescent="0.25">
      <c r="A1328">
        <v>1730</v>
      </c>
      <c r="B1328">
        <v>1730</v>
      </c>
      <c r="C1328">
        <v>2236</v>
      </c>
      <c r="D1328">
        <v>5.43</v>
      </c>
      <c r="E1328">
        <v>54050</v>
      </c>
      <c r="F1328">
        <v>0</v>
      </c>
      <c r="G1328">
        <v>54050000</v>
      </c>
      <c r="H1328">
        <v>527</v>
      </c>
      <c r="I1328">
        <v>220</v>
      </c>
      <c r="J1328" s="2">
        <f t="shared" si="48"/>
        <v>1194.5999999999999</v>
      </c>
      <c r="K1328">
        <v>1327</v>
      </c>
      <c r="L1328" s="3">
        <f>SUM($I$2:$I1328)</f>
        <v>6314440</v>
      </c>
      <c r="M1328" s="3">
        <f>SUM($J$2:$J1328)</f>
        <v>24905425.999999955</v>
      </c>
      <c r="N1328" s="2">
        <f>SUM($D$2:$D1328)</f>
        <v>9477.6999999999916</v>
      </c>
      <c r="O1328" s="2">
        <f t="shared" si="49"/>
        <v>0.56480842507738183</v>
      </c>
      <c r="P1328" s="2" cm="1">
        <f t="array" ref="P1328">SUMPRODUCT((O1328&gt;$T$9:$T$14)*(O1328&lt;=$U$9:$U$14),$S$9:$S$14)</f>
        <v>5</v>
      </c>
    </row>
    <row r="1329" spans="1:16" x14ac:dyDescent="0.25">
      <c r="A1329">
        <v>1356</v>
      </c>
      <c r="B1329">
        <v>188</v>
      </c>
      <c r="C1329">
        <v>1290</v>
      </c>
      <c r="D1329">
        <v>3.93</v>
      </c>
      <c r="E1329">
        <v>41500</v>
      </c>
      <c r="F1329">
        <v>20.7</v>
      </c>
      <c r="G1329">
        <v>41500207</v>
      </c>
      <c r="H1329">
        <v>108</v>
      </c>
      <c r="I1329">
        <v>220</v>
      </c>
      <c r="J1329" s="2">
        <f t="shared" si="48"/>
        <v>864.6</v>
      </c>
      <c r="K1329">
        <v>1328</v>
      </c>
      <c r="L1329" s="3">
        <f>SUM($I$2:$I1329)</f>
        <v>6314660</v>
      </c>
      <c r="M1329" s="3">
        <f>SUM($J$2:$J1329)</f>
        <v>24906290.599999957</v>
      </c>
      <c r="N1329" s="2">
        <f>SUM($D$2:$D1329)</f>
        <v>9481.6299999999919</v>
      </c>
      <c r="O1329" s="2">
        <f t="shared" si="49"/>
        <v>0.56504262716338949</v>
      </c>
      <c r="P1329" s="2" cm="1">
        <f t="array" ref="P1329">SUMPRODUCT((O1329&gt;$T$9:$T$14)*(O1329&lt;=$U$9:$U$14),$S$9:$S$14)</f>
        <v>5</v>
      </c>
    </row>
    <row r="1330" spans="1:16" x14ac:dyDescent="0.25">
      <c r="A1330">
        <v>1503</v>
      </c>
      <c r="B1330">
        <v>335</v>
      </c>
      <c r="C1330">
        <v>1474</v>
      </c>
      <c r="D1330">
        <v>3.54</v>
      </c>
      <c r="E1330">
        <v>43800</v>
      </c>
      <c r="F1330">
        <v>0</v>
      </c>
      <c r="G1330">
        <v>43800000</v>
      </c>
      <c r="H1330">
        <v>125</v>
      </c>
      <c r="I1330">
        <v>220</v>
      </c>
      <c r="J1330" s="2">
        <f t="shared" si="48"/>
        <v>778.8</v>
      </c>
      <c r="K1330">
        <v>1329</v>
      </c>
      <c r="L1330" s="3">
        <f>SUM($I$2:$I1330)</f>
        <v>6314880</v>
      </c>
      <c r="M1330" s="3">
        <f>SUM($J$2:$J1330)</f>
        <v>24907069.399999958</v>
      </c>
      <c r="N1330" s="2">
        <f>SUM($D$2:$D1330)</f>
        <v>9485.1699999999928</v>
      </c>
      <c r="O1330" s="2">
        <f t="shared" si="49"/>
        <v>0.56525358782101465</v>
      </c>
      <c r="P1330" s="2" cm="1">
        <f t="array" ref="P1330">SUMPRODUCT((O1330&gt;$T$9:$T$14)*(O1330&lt;=$U$9:$U$14),$S$9:$S$14)</f>
        <v>5</v>
      </c>
    </row>
    <row r="1331" spans="1:16" x14ac:dyDescent="0.25">
      <c r="A1331">
        <v>1525</v>
      </c>
      <c r="B1331">
        <v>357</v>
      </c>
      <c r="C1331">
        <v>1497</v>
      </c>
      <c r="D1331">
        <v>3.3</v>
      </c>
      <c r="E1331">
        <v>42600</v>
      </c>
      <c r="F1331">
        <v>0</v>
      </c>
      <c r="G1331">
        <v>42600000</v>
      </c>
      <c r="H1331">
        <v>118</v>
      </c>
      <c r="I1331">
        <v>220</v>
      </c>
      <c r="J1331" s="2">
        <f t="shared" si="48"/>
        <v>726</v>
      </c>
      <c r="K1331">
        <v>1330</v>
      </c>
      <c r="L1331" s="3">
        <f>SUM($I$2:$I1331)</f>
        <v>6315100</v>
      </c>
      <c r="M1331" s="3">
        <f>SUM($J$2:$J1331)</f>
        <v>24907795.399999958</v>
      </c>
      <c r="N1331" s="2">
        <f>SUM($D$2:$D1331)</f>
        <v>9488.4699999999921</v>
      </c>
      <c r="O1331" s="2">
        <f t="shared" si="49"/>
        <v>0.56545024606117367</v>
      </c>
      <c r="P1331" s="2" cm="1">
        <f t="array" ref="P1331">SUMPRODUCT((O1331&gt;$T$9:$T$14)*(O1331&lt;=$U$9:$U$14),$S$9:$S$14)</f>
        <v>5</v>
      </c>
    </row>
    <row r="1332" spans="1:16" x14ac:dyDescent="0.25">
      <c r="A1332">
        <v>1278</v>
      </c>
      <c r="B1332">
        <v>110</v>
      </c>
      <c r="C1332">
        <v>1188</v>
      </c>
      <c r="D1332">
        <v>2.83</v>
      </c>
      <c r="E1332">
        <v>85530</v>
      </c>
      <c r="F1332">
        <v>0</v>
      </c>
      <c r="G1332">
        <v>85530000</v>
      </c>
      <c r="H1332">
        <v>7290</v>
      </c>
      <c r="I1332">
        <v>220</v>
      </c>
      <c r="J1332" s="2">
        <f t="shared" si="48"/>
        <v>622.6</v>
      </c>
      <c r="K1332">
        <v>1331</v>
      </c>
      <c r="L1332" s="3">
        <f>SUM($I$2:$I1332)</f>
        <v>6315320</v>
      </c>
      <c r="M1332" s="3">
        <f>SUM($J$2:$J1332)</f>
        <v>24908417.999999959</v>
      </c>
      <c r="N1332" s="2">
        <f>SUM($D$2:$D1332)</f>
        <v>9491.299999999992</v>
      </c>
      <c r="O1332" s="2">
        <f t="shared" si="49"/>
        <v>0.56561889540046162</v>
      </c>
      <c r="P1332" s="2" cm="1">
        <f t="array" ref="P1332">SUMPRODUCT((O1332&gt;$T$9:$T$14)*(O1332&lt;=$U$9:$U$14),$S$9:$S$14)</f>
        <v>5</v>
      </c>
    </row>
    <row r="1333" spans="1:16" x14ac:dyDescent="0.25">
      <c r="A1333">
        <v>880</v>
      </c>
      <c r="B1333">
        <v>506</v>
      </c>
      <c r="C1333">
        <v>140</v>
      </c>
      <c r="D1333">
        <v>1.01</v>
      </c>
      <c r="E1333">
        <v>10460</v>
      </c>
      <c r="F1333">
        <v>0</v>
      </c>
      <c r="G1333">
        <v>10460000</v>
      </c>
      <c r="H1333">
        <v>2</v>
      </c>
      <c r="I1333">
        <v>220</v>
      </c>
      <c r="J1333" s="2">
        <f t="shared" si="48"/>
        <v>222.2</v>
      </c>
      <c r="K1333">
        <v>1332</v>
      </c>
      <c r="L1333" s="3">
        <f>SUM($I$2:$I1333)</f>
        <v>6315540</v>
      </c>
      <c r="M1333" s="3">
        <f>SUM($J$2:$J1333)</f>
        <v>24908640.199999958</v>
      </c>
      <c r="N1333" s="2">
        <f>SUM($D$2:$D1333)</f>
        <v>9492.3099999999922</v>
      </c>
      <c r="O1333" s="2">
        <f t="shared" si="49"/>
        <v>0.56567908474063144</v>
      </c>
      <c r="P1333" s="2" cm="1">
        <f t="array" ref="P1333">SUMPRODUCT((O1333&gt;$T$9:$T$14)*(O1333&lt;=$U$9:$U$14),$S$9:$S$14)</f>
        <v>5</v>
      </c>
    </row>
    <row r="1334" spans="1:16" x14ac:dyDescent="0.25">
      <c r="A1334">
        <v>675</v>
      </c>
      <c r="B1334">
        <v>1462</v>
      </c>
      <c r="C1334">
        <v>911</v>
      </c>
      <c r="D1334">
        <v>0.62</v>
      </c>
      <c r="E1334">
        <v>20210</v>
      </c>
      <c r="F1334">
        <v>0</v>
      </c>
      <c r="G1334">
        <v>20210000</v>
      </c>
      <c r="H1334">
        <v>16</v>
      </c>
      <c r="I1334">
        <v>220</v>
      </c>
      <c r="J1334" s="2">
        <f t="shared" si="48"/>
        <v>136.4</v>
      </c>
      <c r="K1334">
        <v>1333</v>
      </c>
      <c r="L1334" s="3">
        <f>SUM($I$2:$I1334)</f>
        <v>6315760</v>
      </c>
      <c r="M1334" s="3">
        <f>SUM($J$2:$J1334)</f>
        <v>24908776.599999957</v>
      </c>
      <c r="N1334" s="2">
        <f>SUM($D$2:$D1334)</f>
        <v>9492.929999999993</v>
      </c>
      <c r="O1334" s="2">
        <f t="shared" si="49"/>
        <v>0.56571603265241899</v>
      </c>
      <c r="P1334" s="2" cm="1">
        <f t="array" ref="P1334">SUMPRODUCT((O1334&gt;$T$9:$T$14)*(O1334&lt;=$U$9:$U$14),$S$9:$S$14)</f>
        <v>5</v>
      </c>
    </row>
    <row r="1335" spans="1:16" x14ac:dyDescent="0.25">
      <c r="A1335">
        <v>167</v>
      </c>
      <c r="B1335">
        <v>963</v>
      </c>
      <c r="C1335">
        <v>1741</v>
      </c>
      <c r="D1335">
        <v>42.01</v>
      </c>
      <c r="E1335">
        <v>58640</v>
      </c>
      <c r="F1335">
        <v>0</v>
      </c>
      <c r="G1335">
        <v>58640000</v>
      </c>
      <c r="H1335">
        <v>560</v>
      </c>
      <c r="I1335">
        <v>210</v>
      </c>
      <c r="J1335" s="2">
        <f t="shared" si="48"/>
        <v>8822.1</v>
      </c>
      <c r="K1335">
        <v>1334</v>
      </c>
      <c r="L1335" s="3">
        <f>SUM($I$2:$I1335)</f>
        <v>6315970</v>
      </c>
      <c r="M1335" s="3">
        <f>SUM($J$2:$J1335)</f>
        <v>24917598.699999958</v>
      </c>
      <c r="N1335" s="2">
        <f>SUM($D$2:$D1335)</f>
        <v>9534.9399999999932</v>
      </c>
      <c r="O1335" s="2">
        <f t="shared" si="49"/>
        <v>0.56821955164304971</v>
      </c>
      <c r="P1335" s="2" cm="1">
        <f t="array" ref="P1335">SUMPRODUCT((O1335&gt;$T$9:$T$14)*(O1335&lt;=$U$9:$U$14),$S$9:$S$14)</f>
        <v>5</v>
      </c>
    </row>
    <row r="1336" spans="1:16" x14ac:dyDescent="0.25">
      <c r="A1336">
        <v>1344</v>
      </c>
      <c r="B1336">
        <v>176</v>
      </c>
      <c r="C1336">
        <v>1271</v>
      </c>
      <c r="D1336">
        <v>36.18</v>
      </c>
      <c r="E1336">
        <v>40210</v>
      </c>
      <c r="F1336">
        <v>0</v>
      </c>
      <c r="G1336">
        <v>40210000</v>
      </c>
      <c r="H1336">
        <v>101</v>
      </c>
      <c r="I1336">
        <v>210</v>
      </c>
      <c r="J1336" s="2">
        <f t="shared" si="48"/>
        <v>7597.8</v>
      </c>
      <c r="K1336">
        <v>1335</v>
      </c>
      <c r="L1336" s="3">
        <f>SUM($I$2:$I1336)</f>
        <v>6316180</v>
      </c>
      <c r="M1336" s="3">
        <f>SUM($J$2:$J1336)</f>
        <v>24925196.499999959</v>
      </c>
      <c r="N1336" s="2">
        <f>SUM($D$2:$D1336)</f>
        <v>9571.1199999999935</v>
      </c>
      <c r="O1336" s="2">
        <f t="shared" si="49"/>
        <v>0.5703756410760662</v>
      </c>
      <c r="P1336" s="2" cm="1">
        <f t="array" ref="P1336">SUMPRODUCT((O1336&gt;$T$9:$T$14)*(O1336&lt;=$U$9:$U$14),$S$9:$S$14)</f>
        <v>5</v>
      </c>
    </row>
    <row r="1337" spans="1:16" x14ac:dyDescent="0.25">
      <c r="A1337">
        <v>1076</v>
      </c>
      <c r="B1337">
        <v>702</v>
      </c>
      <c r="C1337">
        <v>397</v>
      </c>
      <c r="D1337">
        <v>26.81</v>
      </c>
      <c r="E1337">
        <v>16280</v>
      </c>
      <c r="F1337">
        <v>0</v>
      </c>
      <c r="G1337">
        <v>16280000</v>
      </c>
      <c r="H1337">
        <v>9</v>
      </c>
      <c r="I1337">
        <v>210</v>
      </c>
      <c r="J1337" s="2">
        <f t="shared" si="48"/>
        <v>5630.0999999999995</v>
      </c>
      <c r="K1337">
        <v>1336</v>
      </c>
      <c r="L1337" s="3">
        <f>SUM($I$2:$I1337)</f>
        <v>6316390</v>
      </c>
      <c r="M1337" s="3">
        <f>SUM($J$2:$J1337)</f>
        <v>24930826.599999961</v>
      </c>
      <c r="N1337" s="2">
        <f>SUM($D$2:$D1337)</f>
        <v>9597.929999999993</v>
      </c>
      <c r="O1337" s="2">
        <f t="shared" si="49"/>
        <v>0.57197334029384306</v>
      </c>
      <c r="P1337" s="2" cm="1">
        <f t="array" ref="P1337">SUMPRODUCT((O1337&gt;$T$9:$T$14)*(O1337&lt;=$U$9:$U$14),$S$9:$S$14)</f>
        <v>5</v>
      </c>
    </row>
    <row r="1338" spans="1:16" x14ac:dyDescent="0.25">
      <c r="A1338">
        <v>1514</v>
      </c>
      <c r="B1338">
        <v>346</v>
      </c>
      <c r="C1338">
        <v>1485</v>
      </c>
      <c r="D1338">
        <v>23.13</v>
      </c>
      <c r="E1338">
        <v>42720</v>
      </c>
      <c r="F1338">
        <v>0</v>
      </c>
      <c r="G1338">
        <v>42720000</v>
      </c>
      <c r="H1338">
        <v>118</v>
      </c>
      <c r="I1338">
        <v>210</v>
      </c>
      <c r="J1338" s="2">
        <f t="shared" si="48"/>
        <v>4857.3</v>
      </c>
      <c r="K1338">
        <v>1337</v>
      </c>
      <c r="L1338" s="3">
        <f>SUM($I$2:$I1338)</f>
        <v>6316600</v>
      </c>
      <c r="M1338" s="3">
        <f>SUM($J$2:$J1338)</f>
        <v>24935683.899999961</v>
      </c>
      <c r="N1338" s="2">
        <f>SUM($D$2:$D1338)</f>
        <v>9621.0599999999922</v>
      </c>
      <c r="O1338" s="2">
        <f t="shared" si="49"/>
        <v>0.5733517357771396</v>
      </c>
      <c r="P1338" s="2" cm="1">
        <f t="array" ref="P1338">SUMPRODUCT((O1338&gt;$T$9:$T$14)*(O1338&lt;=$U$9:$U$14),$S$9:$S$14)</f>
        <v>5</v>
      </c>
    </row>
    <row r="1339" spans="1:16" x14ac:dyDescent="0.25">
      <c r="A1339">
        <v>1219</v>
      </c>
      <c r="B1339">
        <v>51</v>
      </c>
      <c r="C1339">
        <v>1111</v>
      </c>
      <c r="D1339">
        <v>10.96</v>
      </c>
      <c r="E1339">
        <v>27980</v>
      </c>
      <c r="F1339">
        <v>0</v>
      </c>
      <c r="G1339">
        <v>27980000</v>
      </c>
      <c r="H1339">
        <v>35</v>
      </c>
      <c r="I1339">
        <v>210</v>
      </c>
      <c r="J1339" s="2">
        <f t="shared" si="48"/>
        <v>2301.6000000000004</v>
      </c>
      <c r="K1339">
        <v>1338</v>
      </c>
      <c r="L1339" s="3">
        <f>SUM($I$2:$I1339)</f>
        <v>6316810</v>
      </c>
      <c r="M1339" s="3">
        <f>SUM($J$2:$J1339)</f>
        <v>24937985.499999963</v>
      </c>
      <c r="N1339" s="2">
        <f>SUM($D$2:$D1339)</f>
        <v>9632.0199999999913</v>
      </c>
      <c r="O1339" s="2">
        <f t="shared" si="49"/>
        <v>0.57400487950809198</v>
      </c>
      <c r="P1339" s="2" cm="1">
        <f t="array" ref="P1339">SUMPRODUCT((O1339&gt;$T$9:$T$14)*(O1339&lt;=$U$9:$U$14),$S$9:$S$14)</f>
        <v>5</v>
      </c>
    </row>
    <row r="1340" spans="1:16" x14ac:dyDescent="0.25">
      <c r="A1340">
        <v>235</v>
      </c>
      <c r="B1340">
        <v>1030</v>
      </c>
      <c r="C1340">
        <v>1844</v>
      </c>
      <c r="D1340">
        <v>5.74</v>
      </c>
      <c r="E1340">
        <v>62320</v>
      </c>
      <c r="F1340">
        <v>0</v>
      </c>
      <c r="G1340">
        <v>62320000</v>
      </c>
      <c r="H1340">
        <v>590</v>
      </c>
      <c r="I1340">
        <v>210</v>
      </c>
      <c r="J1340" s="2">
        <f t="shared" si="48"/>
        <v>1205.4000000000001</v>
      </c>
      <c r="K1340">
        <v>1339</v>
      </c>
      <c r="L1340" s="3">
        <f>SUM($I$2:$I1340)</f>
        <v>6317020</v>
      </c>
      <c r="M1340" s="3">
        <f>SUM($J$2:$J1340)</f>
        <v>24939190.899999961</v>
      </c>
      <c r="N1340" s="2">
        <f>SUM($D$2:$D1340)</f>
        <v>9637.7599999999911</v>
      </c>
      <c r="O1340" s="2">
        <f t="shared" si="49"/>
        <v>0.57434694565915656</v>
      </c>
      <c r="P1340" s="2" cm="1">
        <f t="array" ref="P1340">SUMPRODUCT((O1340&gt;$T$9:$T$14)*(O1340&lt;=$U$9:$U$14),$S$9:$S$14)</f>
        <v>5</v>
      </c>
    </row>
    <row r="1341" spans="1:16" x14ac:dyDescent="0.25">
      <c r="A1341">
        <v>1313</v>
      </c>
      <c r="B1341">
        <v>145</v>
      </c>
      <c r="C1341">
        <v>1234</v>
      </c>
      <c r="D1341">
        <v>5.4</v>
      </c>
      <c r="E1341">
        <v>34725</v>
      </c>
      <c r="F1341">
        <v>7.2</v>
      </c>
      <c r="G1341">
        <v>34725072</v>
      </c>
      <c r="H1341">
        <v>66</v>
      </c>
      <c r="I1341">
        <v>210</v>
      </c>
      <c r="J1341" s="2">
        <f t="shared" si="48"/>
        <v>1134</v>
      </c>
      <c r="K1341">
        <v>1340</v>
      </c>
      <c r="L1341" s="3">
        <f>SUM($I$2:$I1341)</f>
        <v>6317230</v>
      </c>
      <c r="M1341" s="3">
        <f>SUM($J$2:$J1341)</f>
        <v>24940324.899999961</v>
      </c>
      <c r="N1341" s="2">
        <f>SUM($D$2:$D1341)</f>
        <v>9643.1599999999908</v>
      </c>
      <c r="O1341" s="2">
        <f t="shared" si="49"/>
        <v>0.57466875005214402</v>
      </c>
      <c r="P1341" s="2" cm="1">
        <f t="array" ref="P1341">SUMPRODUCT((O1341&gt;$T$9:$T$14)*(O1341&lt;=$U$9:$U$14),$S$9:$S$14)</f>
        <v>5</v>
      </c>
    </row>
    <row r="1342" spans="1:16" x14ac:dyDescent="0.25">
      <c r="A1342">
        <v>136</v>
      </c>
      <c r="B1342">
        <v>932</v>
      </c>
      <c r="C1342">
        <v>1694</v>
      </c>
      <c r="D1342">
        <v>2.54</v>
      </c>
      <c r="E1342">
        <v>53020</v>
      </c>
      <c r="F1342">
        <v>0</v>
      </c>
      <c r="G1342">
        <v>53020000</v>
      </c>
      <c r="H1342">
        <v>518</v>
      </c>
      <c r="I1342">
        <v>210</v>
      </c>
      <c r="J1342" s="2">
        <f t="shared" si="48"/>
        <v>533.4</v>
      </c>
      <c r="K1342">
        <v>1341</v>
      </c>
      <c r="L1342" s="3">
        <f>SUM($I$2:$I1342)</f>
        <v>6317440</v>
      </c>
      <c r="M1342" s="3">
        <f>SUM($J$2:$J1342)</f>
        <v>24940858.29999996</v>
      </c>
      <c r="N1342" s="2">
        <f>SUM($D$2:$D1342)</f>
        <v>9645.6999999999916</v>
      </c>
      <c r="O1342" s="2">
        <f t="shared" si="49"/>
        <v>0.57482011730366045</v>
      </c>
      <c r="P1342" s="2" cm="1">
        <f t="array" ref="P1342">SUMPRODUCT((O1342&gt;$T$9:$T$14)*(O1342&lt;=$U$9:$U$14),$S$9:$S$14)</f>
        <v>5</v>
      </c>
    </row>
    <row r="1343" spans="1:16" x14ac:dyDescent="0.25">
      <c r="A1343">
        <v>1340</v>
      </c>
      <c r="B1343">
        <v>172</v>
      </c>
      <c r="C1343">
        <v>1267</v>
      </c>
      <c r="D1343">
        <v>2.4300000000000002</v>
      </c>
      <c r="E1343">
        <v>34750</v>
      </c>
      <c r="F1343">
        <v>0</v>
      </c>
      <c r="G1343">
        <v>34750000</v>
      </c>
      <c r="H1343">
        <v>66</v>
      </c>
      <c r="I1343">
        <v>210</v>
      </c>
      <c r="J1343" s="2">
        <f t="shared" si="48"/>
        <v>510.3</v>
      </c>
      <c r="K1343">
        <v>1342</v>
      </c>
      <c r="L1343" s="3">
        <f>SUM($I$2:$I1343)</f>
        <v>6317650</v>
      </c>
      <c r="M1343" s="3">
        <f>SUM($J$2:$J1343)</f>
        <v>24941368.599999961</v>
      </c>
      <c r="N1343" s="2">
        <f>SUM($D$2:$D1343)</f>
        <v>9648.1299999999919</v>
      </c>
      <c r="O1343" s="2">
        <f t="shared" si="49"/>
        <v>0.5749649292805048</v>
      </c>
      <c r="P1343" s="2" cm="1">
        <f t="array" ref="P1343">SUMPRODUCT((O1343&gt;$T$9:$T$14)*(O1343&lt;=$U$9:$U$14),$S$9:$S$14)</f>
        <v>5</v>
      </c>
    </row>
    <row r="1344" spans="1:16" x14ac:dyDescent="0.25">
      <c r="A1344">
        <v>1169</v>
      </c>
      <c r="B1344">
        <v>795</v>
      </c>
      <c r="C1344">
        <v>517</v>
      </c>
      <c r="D1344">
        <v>1.97</v>
      </c>
      <c r="E1344">
        <v>27370</v>
      </c>
      <c r="F1344">
        <v>1.6</v>
      </c>
      <c r="G1344">
        <v>27370016</v>
      </c>
      <c r="H1344">
        <v>33</v>
      </c>
      <c r="I1344">
        <v>210</v>
      </c>
      <c r="J1344" s="2">
        <f t="shared" si="48"/>
        <v>413.7</v>
      </c>
      <c r="K1344">
        <v>1343</v>
      </c>
      <c r="L1344" s="3">
        <f>SUM($I$2:$I1344)</f>
        <v>6317860</v>
      </c>
      <c r="M1344" s="3">
        <f>SUM($J$2:$J1344)</f>
        <v>24941782.29999996</v>
      </c>
      <c r="N1344" s="2">
        <f>SUM($D$2:$D1344)</f>
        <v>9650.0999999999913</v>
      </c>
      <c r="O1344" s="2">
        <f t="shared" si="49"/>
        <v>0.57508232829053918</v>
      </c>
      <c r="P1344" s="2" cm="1">
        <f t="array" ref="P1344">SUMPRODUCT((O1344&gt;$T$9:$T$14)*(O1344&lt;=$U$9:$U$14),$S$9:$S$14)</f>
        <v>5</v>
      </c>
    </row>
    <row r="1345" spans="1:16" x14ac:dyDescent="0.25">
      <c r="A1345">
        <v>238</v>
      </c>
      <c r="B1345">
        <v>1033</v>
      </c>
      <c r="C1345">
        <v>1847</v>
      </c>
      <c r="D1345">
        <v>1.6</v>
      </c>
      <c r="E1345">
        <v>62200</v>
      </c>
      <c r="F1345">
        <v>10</v>
      </c>
      <c r="G1345">
        <v>62200100</v>
      </c>
      <c r="H1345">
        <v>589</v>
      </c>
      <c r="I1345">
        <v>210</v>
      </c>
      <c r="J1345" s="2">
        <f t="shared" si="48"/>
        <v>336</v>
      </c>
      <c r="K1345">
        <v>1344</v>
      </c>
      <c r="L1345" s="3">
        <f>SUM($I$2:$I1345)</f>
        <v>6318070</v>
      </c>
      <c r="M1345" s="3">
        <f>SUM($J$2:$J1345)</f>
        <v>24942118.29999996</v>
      </c>
      <c r="N1345" s="2">
        <f>SUM($D$2:$D1345)</f>
        <v>9651.6999999999916</v>
      </c>
      <c r="O1345" s="2">
        <f t="shared" si="49"/>
        <v>0.57517767774031325</v>
      </c>
      <c r="P1345" s="2" cm="1">
        <f t="array" ref="P1345">SUMPRODUCT((O1345&gt;$T$9:$T$14)*(O1345&lt;=$U$9:$U$14),$S$9:$S$14)</f>
        <v>5</v>
      </c>
    </row>
    <row r="1346" spans="1:16" x14ac:dyDescent="0.25">
      <c r="A1346">
        <v>1190</v>
      </c>
      <c r="B1346">
        <v>22</v>
      </c>
      <c r="C1346">
        <v>1074</v>
      </c>
      <c r="D1346">
        <v>32.729999999999997</v>
      </c>
      <c r="E1346">
        <v>29590</v>
      </c>
      <c r="F1346">
        <v>0</v>
      </c>
      <c r="G1346">
        <v>29590000</v>
      </c>
      <c r="H1346">
        <v>41</v>
      </c>
      <c r="I1346">
        <v>200</v>
      </c>
      <c r="J1346" s="2">
        <f t="shared" ref="J1346:J1409" si="50">I1346*D1346</f>
        <v>6545.9999999999991</v>
      </c>
      <c r="K1346">
        <v>1345</v>
      </c>
      <c r="L1346" s="3">
        <f>SUM($I$2:$I1346)</f>
        <v>6318270</v>
      </c>
      <c r="M1346" s="3">
        <f>SUM($J$2:$J1346)</f>
        <v>24948664.29999996</v>
      </c>
      <c r="N1346" s="2">
        <f>SUM($D$2:$D1346)</f>
        <v>9684.4299999999912</v>
      </c>
      <c r="O1346" s="2">
        <f t="shared" ref="O1346:O1409" si="51">N1346/$T$4</f>
        <v>0.57712816992225424</v>
      </c>
      <c r="P1346" s="2" cm="1">
        <f t="array" ref="P1346">SUMPRODUCT((O1346&gt;$T$9:$T$14)*(O1346&lt;=$U$9:$U$14),$S$9:$S$14)</f>
        <v>5</v>
      </c>
    </row>
    <row r="1347" spans="1:16" x14ac:dyDescent="0.25">
      <c r="A1347">
        <v>748</v>
      </c>
      <c r="B1347">
        <v>1535</v>
      </c>
      <c r="C1347">
        <v>998</v>
      </c>
      <c r="D1347">
        <v>18.829999999999998</v>
      </c>
      <c r="E1347">
        <v>33280</v>
      </c>
      <c r="F1347">
        <v>0</v>
      </c>
      <c r="G1347">
        <v>33280000</v>
      </c>
      <c r="H1347">
        <v>60</v>
      </c>
      <c r="I1347">
        <v>200</v>
      </c>
      <c r="J1347" s="2">
        <f t="shared" si="50"/>
        <v>3765.9999999999995</v>
      </c>
      <c r="K1347">
        <v>1346</v>
      </c>
      <c r="L1347" s="3">
        <f>SUM($I$2:$I1347)</f>
        <v>6318470</v>
      </c>
      <c r="M1347" s="3">
        <f>SUM($J$2:$J1347)</f>
        <v>24952430.29999996</v>
      </c>
      <c r="N1347" s="2">
        <f>SUM($D$2:$D1347)</f>
        <v>9703.2599999999911</v>
      </c>
      <c r="O1347" s="2">
        <f t="shared" si="51"/>
        <v>0.57825031375928293</v>
      </c>
      <c r="P1347" s="2" cm="1">
        <f t="array" ref="P1347">SUMPRODUCT((O1347&gt;$T$9:$T$14)*(O1347&lt;=$U$9:$U$14),$S$9:$S$14)</f>
        <v>5</v>
      </c>
    </row>
    <row r="1348" spans="1:16" x14ac:dyDescent="0.25">
      <c r="A1348">
        <v>1471</v>
      </c>
      <c r="B1348">
        <v>303</v>
      </c>
      <c r="C1348">
        <v>1434</v>
      </c>
      <c r="D1348">
        <v>14.62</v>
      </c>
      <c r="E1348">
        <v>45770</v>
      </c>
      <c r="F1348">
        <v>0</v>
      </c>
      <c r="G1348">
        <v>45770000</v>
      </c>
      <c r="H1348">
        <v>141</v>
      </c>
      <c r="I1348">
        <v>200</v>
      </c>
      <c r="J1348" s="2">
        <f t="shared" si="50"/>
        <v>2924</v>
      </c>
      <c r="K1348">
        <v>1347</v>
      </c>
      <c r="L1348" s="3">
        <f>SUM($I$2:$I1348)</f>
        <v>6318670</v>
      </c>
      <c r="M1348" s="3">
        <f>SUM($J$2:$J1348)</f>
        <v>24955354.29999996</v>
      </c>
      <c r="N1348" s="2">
        <f>SUM($D$2:$D1348)</f>
        <v>9717.8799999999919</v>
      </c>
      <c r="O1348" s="2">
        <f t="shared" si="51"/>
        <v>0.57912156935659365</v>
      </c>
      <c r="P1348" s="2" cm="1">
        <f t="array" ref="P1348">SUMPRODUCT((O1348&gt;$T$9:$T$14)*(O1348&lt;=$U$9:$U$14),$S$9:$S$14)</f>
        <v>5</v>
      </c>
    </row>
    <row r="1349" spans="1:16" x14ac:dyDescent="0.25">
      <c r="A1349">
        <v>1189</v>
      </c>
      <c r="B1349">
        <v>21</v>
      </c>
      <c r="C1349">
        <v>1073</v>
      </c>
      <c r="D1349">
        <v>12.18</v>
      </c>
      <c r="E1349">
        <v>29620</v>
      </c>
      <c r="F1349">
        <v>0</v>
      </c>
      <c r="G1349">
        <v>29620000</v>
      </c>
      <c r="H1349">
        <v>41</v>
      </c>
      <c r="I1349">
        <v>200</v>
      </c>
      <c r="J1349" s="2">
        <f t="shared" si="50"/>
        <v>2436</v>
      </c>
      <c r="K1349">
        <v>1348</v>
      </c>
      <c r="L1349" s="3">
        <f>SUM($I$2:$I1349)</f>
        <v>6318870</v>
      </c>
      <c r="M1349" s="3">
        <f>SUM($J$2:$J1349)</f>
        <v>24957790.29999996</v>
      </c>
      <c r="N1349" s="2">
        <f>SUM($D$2:$D1349)</f>
        <v>9730.0599999999922</v>
      </c>
      <c r="O1349" s="2">
        <f t="shared" si="51"/>
        <v>0.57984741704299891</v>
      </c>
      <c r="P1349" s="2" cm="1">
        <f t="array" ref="P1349">SUMPRODUCT((O1349&gt;$T$9:$T$14)*(O1349&lt;=$U$9:$U$14),$S$9:$S$14)</f>
        <v>5</v>
      </c>
    </row>
    <row r="1350" spans="1:16" x14ac:dyDescent="0.25">
      <c r="A1350">
        <v>1186</v>
      </c>
      <c r="B1350">
        <v>18</v>
      </c>
      <c r="C1350">
        <v>1070</v>
      </c>
      <c r="D1350">
        <v>10.15</v>
      </c>
      <c r="E1350">
        <v>29660</v>
      </c>
      <c r="F1350">
        <v>0</v>
      </c>
      <c r="G1350">
        <v>29660000</v>
      </c>
      <c r="H1350">
        <v>41</v>
      </c>
      <c r="I1350">
        <v>200</v>
      </c>
      <c r="J1350" s="2">
        <f t="shared" si="50"/>
        <v>2030</v>
      </c>
      <c r="K1350">
        <v>1349</v>
      </c>
      <c r="L1350" s="3">
        <f>SUM($I$2:$I1350)</f>
        <v>6319070</v>
      </c>
      <c r="M1350" s="3">
        <f>SUM($J$2:$J1350)</f>
        <v>24959820.29999996</v>
      </c>
      <c r="N1350" s="2">
        <f>SUM($D$2:$D1350)</f>
        <v>9740.2099999999919</v>
      </c>
      <c r="O1350" s="2">
        <f t="shared" si="51"/>
        <v>0.58045229011500321</v>
      </c>
      <c r="P1350" s="2" cm="1">
        <f t="array" ref="P1350">SUMPRODUCT((O1350&gt;$T$9:$T$14)*(O1350&lt;=$U$9:$U$14),$S$9:$S$14)</f>
        <v>5</v>
      </c>
    </row>
    <row r="1351" spans="1:16" x14ac:dyDescent="0.25">
      <c r="A1351">
        <v>171</v>
      </c>
      <c r="B1351">
        <v>967</v>
      </c>
      <c r="C1351">
        <v>1747</v>
      </c>
      <c r="D1351">
        <v>7.77</v>
      </c>
      <c r="E1351">
        <v>58509</v>
      </c>
      <c r="F1351">
        <v>0</v>
      </c>
      <c r="G1351">
        <v>58509000</v>
      </c>
      <c r="H1351">
        <v>559</v>
      </c>
      <c r="I1351">
        <v>200</v>
      </c>
      <c r="J1351" s="2">
        <f t="shared" si="50"/>
        <v>1554</v>
      </c>
      <c r="K1351">
        <v>1350</v>
      </c>
      <c r="L1351" s="3">
        <f>SUM($I$2:$I1351)</f>
        <v>6319270</v>
      </c>
      <c r="M1351" s="3">
        <f>SUM($J$2:$J1351)</f>
        <v>24961374.29999996</v>
      </c>
      <c r="N1351" s="2">
        <f>SUM($D$2:$D1351)</f>
        <v>9747.9799999999923</v>
      </c>
      <c r="O1351" s="2">
        <f t="shared" si="51"/>
        <v>0.58091533088046865</v>
      </c>
      <c r="P1351" s="2" cm="1">
        <f t="array" ref="P1351">SUMPRODUCT((O1351&gt;$T$9:$T$14)*(O1351&lt;=$U$9:$U$14),$S$9:$S$14)</f>
        <v>5</v>
      </c>
    </row>
    <row r="1352" spans="1:16" x14ac:dyDescent="0.25">
      <c r="A1352">
        <v>1519</v>
      </c>
      <c r="B1352">
        <v>351</v>
      </c>
      <c r="C1352">
        <v>1491</v>
      </c>
      <c r="D1352">
        <v>6.54</v>
      </c>
      <c r="E1352">
        <v>42660</v>
      </c>
      <c r="F1352">
        <v>0</v>
      </c>
      <c r="G1352">
        <v>42660000</v>
      </c>
      <c r="H1352">
        <v>118</v>
      </c>
      <c r="I1352">
        <v>200</v>
      </c>
      <c r="J1352" s="2">
        <f t="shared" si="50"/>
        <v>1308</v>
      </c>
      <c r="K1352">
        <v>1351</v>
      </c>
      <c r="L1352" s="3">
        <f>SUM($I$2:$I1352)</f>
        <v>6319470</v>
      </c>
      <c r="M1352" s="3">
        <f>SUM($J$2:$J1352)</f>
        <v>24962682.29999996</v>
      </c>
      <c r="N1352" s="2">
        <f>SUM($D$2:$D1352)</f>
        <v>9754.5199999999932</v>
      </c>
      <c r="O1352" s="2">
        <f t="shared" si="51"/>
        <v>0.58130507175642021</v>
      </c>
      <c r="P1352" s="2" cm="1">
        <f t="array" ref="P1352">SUMPRODUCT((O1352&gt;$T$9:$T$14)*(O1352&lt;=$U$9:$U$14),$S$9:$S$14)</f>
        <v>5</v>
      </c>
    </row>
    <row r="1353" spans="1:16" x14ac:dyDescent="0.25">
      <c r="A1353">
        <v>1353</v>
      </c>
      <c r="B1353">
        <v>185</v>
      </c>
      <c r="C1353">
        <v>1284</v>
      </c>
      <c r="D1353">
        <v>5.18</v>
      </c>
      <c r="E1353">
        <v>85510</v>
      </c>
      <c r="F1353">
        <v>0</v>
      </c>
      <c r="G1353">
        <v>85510000</v>
      </c>
      <c r="H1353">
        <v>7289</v>
      </c>
      <c r="I1353">
        <v>200</v>
      </c>
      <c r="J1353" s="2">
        <f t="shared" si="50"/>
        <v>1036</v>
      </c>
      <c r="K1353">
        <v>1352</v>
      </c>
      <c r="L1353" s="3">
        <f>SUM($I$2:$I1353)</f>
        <v>6319670</v>
      </c>
      <c r="M1353" s="3">
        <f>SUM($J$2:$J1353)</f>
        <v>24963718.29999996</v>
      </c>
      <c r="N1353" s="2">
        <f>SUM($D$2:$D1353)</f>
        <v>9759.6999999999935</v>
      </c>
      <c r="O1353" s="2">
        <f t="shared" si="51"/>
        <v>0.58161376560006384</v>
      </c>
      <c r="P1353" s="2" cm="1">
        <f t="array" ref="P1353">SUMPRODUCT((O1353&gt;$T$9:$T$14)*(O1353&lt;=$U$9:$U$14),$S$9:$S$14)</f>
        <v>5</v>
      </c>
    </row>
    <row r="1354" spans="1:16" x14ac:dyDescent="0.25">
      <c r="A1354">
        <v>1315</v>
      </c>
      <c r="B1354">
        <v>147</v>
      </c>
      <c r="C1354">
        <v>1236</v>
      </c>
      <c r="D1354">
        <v>5.15</v>
      </c>
      <c r="E1354">
        <v>34300</v>
      </c>
      <c r="F1354">
        <v>0</v>
      </c>
      <c r="G1354">
        <v>34300000</v>
      </c>
      <c r="H1354">
        <v>64</v>
      </c>
      <c r="I1354">
        <v>200</v>
      </c>
      <c r="J1354" s="2">
        <f t="shared" si="50"/>
        <v>1030</v>
      </c>
      <c r="K1354">
        <v>1353</v>
      </c>
      <c r="L1354" s="3">
        <f>SUM($I$2:$I1354)</f>
        <v>6319870</v>
      </c>
      <c r="M1354" s="3">
        <f>SUM($J$2:$J1354)</f>
        <v>24964748.29999996</v>
      </c>
      <c r="N1354" s="2">
        <f>SUM($D$2:$D1354)</f>
        <v>9764.8499999999931</v>
      </c>
      <c r="O1354" s="2">
        <f t="shared" si="51"/>
        <v>0.58192067164152417</v>
      </c>
      <c r="P1354" s="2" cm="1">
        <f t="array" ref="P1354">SUMPRODUCT((O1354&gt;$T$9:$T$14)*(O1354&lt;=$U$9:$U$14),$S$9:$S$14)</f>
        <v>5</v>
      </c>
    </row>
    <row r="1355" spans="1:16" x14ac:dyDescent="0.25">
      <c r="A1355">
        <v>1321</v>
      </c>
      <c r="B1355">
        <v>153</v>
      </c>
      <c r="C1355">
        <v>1245</v>
      </c>
      <c r="D1355">
        <v>3.89</v>
      </c>
      <c r="E1355">
        <v>85515</v>
      </c>
      <c r="F1355">
        <v>0</v>
      </c>
      <c r="G1355">
        <v>85515000</v>
      </c>
      <c r="H1355">
        <v>7289</v>
      </c>
      <c r="I1355">
        <v>200</v>
      </c>
      <c r="J1355" s="2">
        <f t="shared" si="50"/>
        <v>778</v>
      </c>
      <c r="K1355">
        <v>1354</v>
      </c>
      <c r="L1355" s="3">
        <f>SUM($I$2:$I1355)</f>
        <v>6320070</v>
      </c>
      <c r="M1355" s="3">
        <f>SUM($J$2:$J1355)</f>
        <v>24965526.29999996</v>
      </c>
      <c r="N1355" s="2">
        <f>SUM($D$2:$D1355)</f>
        <v>9768.7399999999925</v>
      </c>
      <c r="O1355" s="2">
        <f t="shared" si="51"/>
        <v>0.58215248999128733</v>
      </c>
      <c r="P1355" s="2" cm="1">
        <f t="array" ref="P1355">SUMPRODUCT((O1355&gt;$T$9:$T$14)*(O1355&lt;=$U$9:$U$14),$S$9:$S$14)</f>
        <v>5</v>
      </c>
    </row>
    <row r="1356" spans="1:16" x14ac:dyDescent="0.25">
      <c r="A1356">
        <v>1070</v>
      </c>
      <c r="B1356">
        <v>696</v>
      </c>
      <c r="C1356">
        <v>388</v>
      </c>
      <c r="D1356">
        <v>1.68</v>
      </c>
      <c r="E1356">
        <v>27330</v>
      </c>
      <c r="F1356">
        <v>0</v>
      </c>
      <c r="G1356">
        <v>27330000</v>
      </c>
      <c r="H1356">
        <v>33</v>
      </c>
      <c r="I1356">
        <v>200</v>
      </c>
      <c r="J1356" s="2">
        <f t="shared" si="50"/>
        <v>336</v>
      </c>
      <c r="K1356">
        <v>1355</v>
      </c>
      <c r="L1356" s="3">
        <f>SUM($I$2:$I1356)</f>
        <v>6320270</v>
      </c>
      <c r="M1356" s="3">
        <f>SUM($J$2:$J1356)</f>
        <v>24965862.29999996</v>
      </c>
      <c r="N1356" s="2">
        <f>SUM($D$2:$D1356)</f>
        <v>9770.4199999999928</v>
      </c>
      <c r="O1356" s="2">
        <f t="shared" si="51"/>
        <v>0.58225260691355019</v>
      </c>
      <c r="P1356" s="2" cm="1">
        <f t="array" ref="P1356">SUMPRODUCT((O1356&gt;$T$9:$T$14)*(O1356&lt;=$U$9:$U$14),$S$9:$S$14)</f>
        <v>5</v>
      </c>
    </row>
    <row r="1357" spans="1:16" x14ac:dyDescent="0.25">
      <c r="A1357">
        <v>1122</v>
      </c>
      <c r="B1357">
        <v>748</v>
      </c>
      <c r="C1357">
        <v>462</v>
      </c>
      <c r="D1357">
        <v>0.26</v>
      </c>
      <c r="E1357">
        <v>22165</v>
      </c>
      <c r="F1357">
        <v>0</v>
      </c>
      <c r="G1357">
        <v>22165000</v>
      </c>
      <c r="H1357">
        <v>17</v>
      </c>
      <c r="I1357">
        <v>200</v>
      </c>
      <c r="J1357" s="2">
        <f t="shared" si="50"/>
        <v>52</v>
      </c>
      <c r="K1357">
        <v>1356</v>
      </c>
      <c r="L1357" s="3">
        <f>SUM($I$2:$I1357)</f>
        <v>6320470</v>
      </c>
      <c r="M1357" s="3">
        <f>SUM($J$2:$J1357)</f>
        <v>24965914.29999996</v>
      </c>
      <c r="N1357" s="2">
        <f>SUM($D$2:$D1357)</f>
        <v>9770.679999999993</v>
      </c>
      <c r="O1357" s="2">
        <f t="shared" si="51"/>
        <v>0.58226810119913841</v>
      </c>
      <c r="P1357" s="2" cm="1">
        <f t="array" ref="P1357">SUMPRODUCT((O1357&gt;$T$9:$T$14)*(O1357&lt;=$U$9:$U$14),$S$9:$S$14)</f>
        <v>5</v>
      </c>
    </row>
    <row r="1358" spans="1:16" x14ac:dyDescent="0.25">
      <c r="A1358">
        <v>575</v>
      </c>
      <c r="B1358">
        <v>1362</v>
      </c>
      <c r="C1358">
        <v>785</v>
      </c>
      <c r="D1358">
        <v>0.18</v>
      </c>
      <c r="E1358">
        <v>19010</v>
      </c>
      <c r="F1358">
        <v>0</v>
      </c>
      <c r="G1358">
        <v>19010000</v>
      </c>
      <c r="H1358" t="s">
        <v>6</v>
      </c>
      <c r="I1358">
        <v>200</v>
      </c>
      <c r="J1358" s="2">
        <f t="shared" si="50"/>
        <v>36</v>
      </c>
      <c r="K1358">
        <v>1357</v>
      </c>
      <c r="L1358" s="3">
        <f>SUM($I$2:$I1358)</f>
        <v>6320670</v>
      </c>
      <c r="M1358" s="3">
        <f>SUM($J$2:$J1358)</f>
        <v>24965950.29999996</v>
      </c>
      <c r="N1358" s="2">
        <f>SUM($D$2:$D1358)</f>
        <v>9770.8599999999933</v>
      </c>
      <c r="O1358" s="2">
        <f t="shared" si="51"/>
        <v>0.58227882801223807</v>
      </c>
      <c r="P1358" s="2" cm="1">
        <f t="array" ref="P1358">SUMPRODUCT((O1358&gt;$T$9:$T$14)*(O1358&lt;=$U$9:$U$14),$S$9:$S$14)</f>
        <v>5</v>
      </c>
    </row>
    <row r="1359" spans="1:16" x14ac:dyDescent="0.25">
      <c r="A1359">
        <v>1381</v>
      </c>
      <c r="B1359">
        <v>213</v>
      </c>
      <c r="C1359">
        <v>1324</v>
      </c>
      <c r="D1359">
        <v>22.75</v>
      </c>
      <c r="E1359">
        <v>40200</v>
      </c>
      <c r="F1359">
        <v>0</v>
      </c>
      <c r="G1359">
        <v>40200000</v>
      </c>
      <c r="H1359">
        <v>101</v>
      </c>
      <c r="I1359">
        <v>190</v>
      </c>
      <c r="J1359" s="2">
        <f t="shared" si="50"/>
        <v>4322.5</v>
      </c>
      <c r="K1359">
        <v>1358</v>
      </c>
      <c r="L1359" s="3">
        <f>SUM($I$2:$I1359)</f>
        <v>6320860</v>
      </c>
      <c r="M1359" s="3">
        <f>SUM($J$2:$J1359)</f>
        <v>24970272.79999996</v>
      </c>
      <c r="N1359" s="2">
        <f>SUM($D$2:$D1359)</f>
        <v>9793.6099999999933</v>
      </c>
      <c r="O1359" s="2">
        <f t="shared" si="51"/>
        <v>0.58363457800121332</v>
      </c>
      <c r="P1359" s="2" cm="1">
        <f t="array" ref="P1359">SUMPRODUCT((O1359&gt;$T$9:$T$14)*(O1359&lt;=$U$9:$U$14),$S$9:$S$14)</f>
        <v>5</v>
      </c>
    </row>
    <row r="1360" spans="1:16" x14ac:dyDescent="0.25">
      <c r="A1360">
        <v>1271</v>
      </c>
      <c r="B1360">
        <v>103</v>
      </c>
      <c r="C1360">
        <v>1179</v>
      </c>
      <c r="D1360">
        <v>20.329999999999998</v>
      </c>
      <c r="E1360">
        <v>41500</v>
      </c>
      <c r="F1360">
        <v>0</v>
      </c>
      <c r="G1360">
        <v>41500000</v>
      </c>
      <c r="H1360">
        <v>108</v>
      </c>
      <c r="I1360">
        <v>190</v>
      </c>
      <c r="J1360" s="2">
        <f t="shared" si="50"/>
        <v>3862.7</v>
      </c>
      <c r="K1360">
        <v>1359</v>
      </c>
      <c r="L1360" s="3">
        <f>SUM($I$2:$I1360)</f>
        <v>6321050</v>
      </c>
      <c r="M1360" s="3">
        <f>SUM($J$2:$J1360)</f>
        <v>24974135.499999959</v>
      </c>
      <c r="N1360" s="2">
        <f>SUM($D$2:$D1360)</f>
        <v>9813.9399999999932</v>
      </c>
      <c r="O1360" s="2">
        <f t="shared" si="51"/>
        <v>0.58484611194740521</v>
      </c>
      <c r="P1360" s="2" cm="1">
        <f t="array" ref="P1360">SUMPRODUCT((O1360&gt;$T$9:$T$14)*(O1360&lt;=$U$9:$U$14),$S$9:$S$14)</f>
        <v>5</v>
      </c>
    </row>
    <row r="1361" spans="1:16" x14ac:dyDescent="0.25">
      <c r="A1361">
        <v>234</v>
      </c>
      <c r="B1361">
        <v>1029</v>
      </c>
      <c r="C1361">
        <v>1843</v>
      </c>
      <c r="D1361">
        <v>18.100000000000001</v>
      </c>
      <c r="E1361">
        <v>62330</v>
      </c>
      <c r="F1361">
        <v>0</v>
      </c>
      <c r="G1361">
        <v>62330000</v>
      </c>
      <c r="H1361">
        <v>590</v>
      </c>
      <c r="I1361">
        <v>190</v>
      </c>
      <c r="J1361" s="2">
        <f t="shared" si="50"/>
        <v>3439.0000000000005</v>
      </c>
      <c r="K1361">
        <v>1360</v>
      </c>
      <c r="L1361" s="3">
        <f>SUM($I$2:$I1361)</f>
        <v>6321240</v>
      </c>
      <c r="M1361" s="3">
        <f>SUM($J$2:$J1361)</f>
        <v>24977574.499999959</v>
      </c>
      <c r="N1361" s="2">
        <f>SUM($D$2:$D1361)</f>
        <v>9832.0399999999936</v>
      </c>
      <c r="O1361" s="2">
        <f t="shared" si="51"/>
        <v>0.5859247525979745</v>
      </c>
      <c r="P1361" s="2" cm="1">
        <f t="array" ref="P1361">SUMPRODUCT((O1361&gt;$T$9:$T$14)*(O1361&lt;=$U$9:$U$14),$S$9:$S$14)</f>
        <v>5</v>
      </c>
    </row>
    <row r="1362" spans="1:16" x14ac:dyDescent="0.25">
      <c r="A1362">
        <v>527</v>
      </c>
      <c r="B1362">
        <v>1314</v>
      </c>
      <c r="C1362">
        <v>729</v>
      </c>
      <c r="D1362">
        <v>11.7</v>
      </c>
      <c r="E1362">
        <v>26340</v>
      </c>
      <c r="F1362">
        <v>0</v>
      </c>
      <c r="G1362">
        <v>26340000</v>
      </c>
      <c r="H1362">
        <v>28</v>
      </c>
      <c r="I1362">
        <v>190</v>
      </c>
      <c r="J1362" s="2">
        <f t="shared" si="50"/>
        <v>2223</v>
      </c>
      <c r="K1362">
        <v>1361</v>
      </c>
      <c r="L1362" s="3">
        <f>SUM($I$2:$I1362)</f>
        <v>6321430</v>
      </c>
      <c r="M1362" s="3">
        <f>SUM($J$2:$J1362)</f>
        <v>24979797.499999959</v>
      </c>
      <c r="N1362" s="2">
        <f>SUM($D$2:$D1362)</f>
        <v>9843.7399999999943</v>
      </c>
      <c r="O1362" s="2">
        <f t="shared" si="51"/>
        <v>0.58662199544944749</v>
      </c>
      <c r="P1362" s="2" cm="1">
        <f t="array" ref="P1362">SUMPRODUCT((O1362&gt;$T$9:$T$14)*(O1362&lt;=$U$9:$U$14),$S$9:$S$14)</f>
        <v>5</v>
      </c>
    </row>
    <row r="1363" spans="1:16" x14ac:dyDescent="0.25">
      <c r="A1363">
        <v>911</v>
      </c>
      <c r="B1363">
        <v>537</v>
      </c>
      <c r="C1363">
        <v>181</v>
      </c>
      <c r="D1363">
        <v>10.19</v>
      </c>
      <c r="E1363">
        <v>24110</v>
      </c>
      <c r="F1363">
        <v>0</v>
      </c>
      <c r="G1363">
        <v>24110000</v>
      </c>
      <c r="H1363">
        <v>21</v>
      </c>
      <c r="I1363">
        <v>190</v>
      </c>
      <c r="J1363" s="2">
        <f t="shared" si="50"/>
        <v>1936.1</v>
      </c>
      <c r="K1363">
        <v>1362</v>
      </c>
      <c r="L1363" s="3">
        <f>SUM($I$2:$I1363)</f>
        <v>6321620</v>
      </c>
      <c r="M1363" s="3">
        <f>SUM($J$2:$J1363)</f>
        <v>24981733.599999961</v>
      </c>
      <c r="N1363" s="2">
        <f>SUM($D$2:$D1363)</f>
        <v>9853.9299999999948</v>
      </c>
      <c r="O1363" s="2">
        <f t="shared" si="51"/>
        <v>0.58722925225769618</v>
      </c>
      <c r="P1363" s="2" cm="1">
        <f t="array" ref="P1363">SUMPRODUCT((O1363&gt;$T$9:$T$14)*(O1363&lt;=$U$9:$U$14),$S$9:$S$14)</f>
        <v>5</v>
      </c>
    </row>
    <row r="1364" spans="1:16" x14ac:dyDescent="0.25">
      <c r="A1364">
        <v>1225</v>
      </c>
      <c r="B1364">
        <v>57</v>
      </c>
      <c r="C1364">
        <v>1117</v>
      </c>
      <c r="D1364">
        <v>7.81</v>
      </c>
      <c r="E1364">
        <v>27945</v>
      </c>
      <c r="F1364">
        <v>0</v>
      </c>
      <c r="G1364">
        <v>27945000</v>
      </c>
      <c r="H1364">
        <v>35</v>
      </c>
      <c r="I1364">
        <v>190</v>
      </c>
      <c r="J1364" s="2">
        <f t="shared" si="50"/>
        <v>1483.8999999999999</v>
      </c>
      <c r="K1364">
        <v>1363</v>
      </c>
      <c r="L1364" s="3">
        <f>SUM($I$2:$I1364)</f>
        <v>6321810</v>
      </c>
      <c r="M1364" s="3">
        <f>SUM($J$2:$J1364)</f>
        <v>24983217.499999959</v>
      </c>
      <c r="N1364" s="2">
        <f>SUM($D$2:$D1364)</f>
        <v>9861.7399999999943</v>
      </c>
      <c r="O1364" s="2">
        <f t="shared" si="51"/>
        <v>0.5876946767594059</v>
      </c>
      <c r="P1364" s="2" cm="1">
        <f t="array" ref="P1364">SUMPRODUCT((O1364&gt;$T$9:$T$14)*(O1364&lt;=$U$9:$U$14),$S$9:$S$14)</f>
        <v>5</v>
      </c>
    </row>
    <row r="1365" spans="1:16" x14ac:dyDescent="0.25">
      <c r="A1365">
        <v>292</v>
      </c>
      <c r="B1365">
        <v>1087</v>
      </c>
      <c r="C1365">
        <v>1919</v>
      </c>
      <c r="D1365">
        <v>4.13</v>
      </c>
      <c r="E1365">
        <v>67000</v>
      </c>
      <c r="F1365">
        <v>0</v>
      </c>
      <c r="G1365">
        <v>67000000</v>
      </c>
      <c r="H1365">
        <v>622</v>
      </c>
      <c r="I1365">
        <v>190</v>
      </c>
      <c r="J1365" s="2">
        <f t="shared" si="50"/>
        <v>784.69999999999993</v>
      </c>
      <c r="K1365">
        <v>1364</v>
      </c>
      <c r="L1365" s="3">
        <f>SUM($I$2:$I1365)</f>
        <v>6322000</v>
      </c>
      <c r="M1365" s="3">
        <f>SUM($J$2:$J1365)</f>
        <v>24984002.199999958</v>
      </c>
      <c r="N1365" s="2">
        <f>SUM($D$2:$D1365)</f>
        <v>9865.8699999999935</v>
      </c>
      <c r="O1365" s="2">
        <f t="shared" si="51"/>
        <v>0.58794079752663519</v>
      </c>
      <c r="P1365" s="2" cm="1">
        <f t="array" ref="P1365">SUMPRODUCT((O1365&gt;$T$9:$T$14)*(O1365&lt;=$U$9:$U$14),$S$9:$S$14)</f>
        <v>5</v>
      </c>
    </row>
    <row r="1366" spans="1:16" x14ac:dyDescent="0.25">
      <c r="A1366">
        <v>395</v>
      </c>
      <c r="B1366">
        <v>1190</v>
      </c>
      <c r="C1366">
        <v>559</v>
      </c>
      <c r="D1366">
        <v>3.1</v>
      </c>
      <c r="E1366">
        <v>20654</v>
      </c>
      <c r="F1366">
        <v>0</v>
      </c>
      <c r="G1366">
        <v>20654000</v>
      </c>
      <c r="H1366">
        <v>17</v>
      </c>
      <c r="I1366">
        <v>190</v>
      </c>
      <c r="J1366" s="2">
        <f t="shared" si="50"/>
        <v>589</v>
      </c>
      <c r="K1366">
        <v>1365</v>
      </c>
      <c r="L1366" s="3">
        <f>SUM($I$2:$I1366)</f>
        <v>6322190</v>
      </c>
      <c r="M1366" s="3">
        <f>SUM($J$2:$J1366)</f>
        <v>24984591.199999958</v>
      </c>
      <c r="N1366" s="2">
        <f>SUM($D$2:$D1366)</f>
        <v>9868.9699999999939</v>
      </c>
      <c r="O1366" s="2">
        <f t="shared" si="51"/>
        <v>0.58812553708557258</v>
      </c>
      <c r="P1366" s="2" cm="1">
        <f t="array" ref="P1366">SUMPRODUCT((O1366&gt;$T$9:$T$14)*(O1366&lt;=$U$9:$U$14),$S$9:$S$14)</f>
        <v>5</v>
      </c>
    </row>
    <row r="1367" spans="1:16" x14ac:dyDescent="0.25">
      <c r="A1367">
        <v>1523</v>
      </c>
      <c r="B1367">
        <v>355</v>
      </c>
      <c r="C1367">
        <v>1495</v>
      </c>
      <c r="D1367">
        <v>1.79</v>
      </c>
      <c r="E1367">
        <v>42620</v>
      </c>
      <c r="F1367">
        <v>0</v>
      </c>
      <c r="G1367">
        <v>42620000</v>
      </c>
      <c r="H1367">
        <v>118</v>
      </c>
      <c r="I1367">
        <v>190</v>
      </c>
      <c r="J1367" s="2">
        <f t="shared" si="50"/>
        <v>340.1</v>
      </c>
      <c r="K1367">
        <v>1366</v>
      </c>
      <c r="L1367" s="3">
        <f>SUM($I$2:$I1367)</f>
        <v>6322380</v>
      </c>
      <c r="M1367" s="3">
        <f>SUM($J$2:$J1367)</f>
        <v>24984931.29999996</v>
      </c>
      <c r="N1367" s="2">
        <f>SUM($D$2:$D1367)</f>
        <v>9870.7599999999948</v>
      </c>
      <c r="O1367" s="2">
        <f t="shared" si="51"/>
        <v>0.5882322092825073</v>
      </c>
      <c r="P1367" s="2" cm="1">
        <f t="array" ref="P1367">SUMPRODUCT((O1367&gt;$T$9:$T$14)*(O1367&lt;=$U$9:$U$14),$S$9:$S$14)</f>
        <v>5</v>
      </c>
    </row>
    <row r="1368" spans="1:16" x14ac:dyDescent="0.25">
      <c r="A1368">
        <v>187</v>
      </c>
      <c r="B1368">
        <v>982</v>
      </c>
      <c r="C1368">
        <v>1770</v>
      </c>
      <c r="D1368">
        <v>1.62</v>
      </c>
      <c r="E1368">
        <v>57410</v>
      </c>
      <c r="F1368">
        <v>7.5</v>
      </c>
      <c r="G1368">
        <v>57410075</v>
      </c>
      <c r="H1368">
        <v>550</v>
      </c>
      <c r="I1368">
        <v>190</v>
      </c>
      <c r="J1368" s="2">
        <f t="shared" si="50"/>
        <v>307.8</v>
      </c>
      <c r="K1368">
        <v>1367</v>
      </c>
      <c r="L1368" s="3">
        <f>SUM($I$2:$I1368)</f>
        <v>6322570</v>
      </c>
      <c r="M1368" s="3">
        <f>SUM($J$2:$J1368)</f>
        <v>24985239.099999961</v>
      </c>
      <c r="N1368" s="2">
        <f>SUM($D$2:$D1368)</f>
        <v>9872.3799999999956</v>
      </c>
      <c r="O1368" s="2">
        <f t="shared" si="51"/>
        <v>0.58832875060040368</v>
      </c>
      <c r="P1368" s="2" cm="1">
        <f t="array" ref="P1368">SUMPRODUCT((O1368&gt;$T$9:$T$14)*(O1368&lt;=$U$9:$U$14),$S$9:$S$14)</f>
        <v>5</v>
      </c>
    </row>
    <row r="1369" spans="1:16" x14ac:dyDescent="0.25">
      <c r="A1369">
        <v>1304</v>
      </c>
      <c r="B1369">
        <v>136</v>
      </c>
      <c r="C1369">
        <v>1225</v>
      </c>
      <c r="D1369">
        <v>14.51</v>
      </c>
      <c r="E1369">
        <v>40230</v>
      </c>
      <c r="F1369">
        <v>0</v>
      </c>
      <c r="G1369">
        <v>40230000</v>
      </c>
      <c r="H1369">
        <v>101</v>
      </c>
      <c r="I1369">
        <v>180</v>
      </c>
      <c r="J1369" s="2">
        <f t="shared" si="50"/>
        <v>2611.8000000000002</v>
      </c>
      <c r="K1369">
        <v>1368</v>
      </c>
      <c r="L1369" s="3">
        <f>SUM($I$2:$I1369)</f>
        <v>6322750</v>
      </c>
      <c r="M1369" s="3">
        <f>SUM($J$2:$J1369)</f>
        <v>24987850.899999961</v>
      </c>
      <c r="N1369" s="2">
        <f>SUM($D$2:$D1369)</f>
        <v>9886.8899999999958</v>
      </c>
      <c r="O1369" s="2">
        <f t="shared" si="51"/>
        <v>0.58919345092304232</v>
      </c>
      <c r="P1369" s="2" cm="1">
        <f t="array" ref="P1369">SUMPRODUCT((O1369&gt;$T$9:$T$14)*(O1369&lt;=$U$9:$U$14),$S$9:$S$14)</f>
        <v>5</v>
      </c>
    </row>
    <row r="1370" spans="1:16" x14ac:dyDescent="0.25">
      <c r="A1370">
        <v>749</v>
      </c>
      <c r="B1370">
        <v>1536</v>
      </c>
      <c r="C1370">
        <v>999</v>
      </c>
      <c r="D1370">
        <v>13.29</v>
      </c>
      <c r="E1370">
        <v>33275</v>
      </c>
      <c r="F1370">
        <v>0</v>
      </c>
      <c r="G1370">
        <v>33275000</v>
      </c>
      <c r="H1370">
        <v>60</v>
      </c>
      <c r="I1370">
        <v>180</v>
      </c>
      <c r="J1370" s="2">
        <f t="shared" si="50"/>
        <v>2392.1999999999998</v>
      </c>
      <c r="K1370">
        <v>1369</v>
      </c>
      <c r="L1370" s="3">
        <f>SUM($I$2:$I1370)</f>
        <v>6322930</v>
      </c>
      <c r="M1370" s="3">
        <f>SUM($J$2:$J1370)</f>
        <v>24990243.099999961</v>
      </c>
      <c r="N1370" s="2">
        <f>SUM($D$2:$D1370)</f>
        <v>9900.1799999999967</v>
      </c>
      <c r="O1370" s="2">
        <f t="shared" si="51"/>
        <v>0.58998544729022839</v>
      </c>
      <c r="P1370" s="2" cm="1">
        <f t="array" ref="P1370">SUMPRODUCT((O1370&gt;$T$9:$T$14)*(O1370&lt;=$U$9:$U$14),$S$9:$S$14)</f>
        <v>5</v>
      </c>
    </row>
    <row r="1371" spans="1:16" x14ac:dyDescent="0.25">
      <c r="A1371">
        <v>1187</v>
      </c>
      <c r="B1371">
        <v>19</v>
      </c>
      <c r="C1371">
        <v>1071</v>
      </c>
      <c r="D1371">
        <v>9.9600000000000009</v>
      </c>
      <c r="E1371">
        <v>29650</v>
      </c>
      <c r="F1371">
        <v>0</v>
      </c>
      <c r="G1371">
        <v>29650000</v>
      </c>
      <c r="H1371">
        <v>41</v>
      </c>
      <c r="I1371">
        <v>180</v>
      </c>
      <c r="J1371" s="2">
        <f t="shared" si="50"/>
        <v>1792.8000000000002</v>
      </c>
      <c r="K1371">
        <v>1370</v>
      </c>
      <c r="L1371" s="3">
        <f>SUM($I$2:$I1371)</f>
        <v>6323110</v>
      </c>
      <c r="M1371" s="3">
        <f>SUM($J$2:$J1371)</f>
        <v>24992035.899999961</v>
      </c>
      <c r="N1371" s="2">
        <f>SUM($D$2:$D1371)</f>
        <v>9910.1399999999958</v>
      </c>
      <c r="O1371" s="2">
        <f t="shared" si="51"/>
        <v>0.59057899761507193</v>
      </c>
      <c r="P1371" s="2" cm="1">
        <f t="array" ref="P1371">SUMPRODUCT((O1371&gt;$T$9:$T$14)*(O1371&lt;=$U$9:$U$14),$S$9:$S$14)</f>
        <v>5</v>
      </c>
    </row>
    <row r="1372" spans="1:16" x14ac:dyDescent="0.25">
      <c r="A1372">
        <v>947</v>
      </c>
      <c r="B1372">
        <v>573</v>
      </c>
      <c r="C1372">
        <v>231</v>
      </c>
      <c r="D1372">
        <v>6.43</v>
      </c>
      <c r="E1372">
        <v>26261</v>
      </c>
      <c r="F1372">
        <v>0</v>
      </c>
      <c r="G1372">
        <v>26261000</v>
      </c>
      <c r="H1372">
        <v>28</v>
      </c>
      <c r="I1372">
        <v>180</v>
      </c>
      <c r="J1372" s="2">
        <f t="shared" si="50"/>
        <v>1157.3999999999999</v>
      </c>
      <c r="K1372">
        <v>1371</v>
      </c>
      <c r="L1372" s="3">
        <f>SUM($I$2:$I1372)</f>
        <v>6323290</v>
      </c>
      <c r="M1372" s="3">
        <f>SUM($J$2:$J1372)</f>
        <v>24993193.29999996</v>
      </c>
      <c r="N1372" s="2">
        <f>SUM($D$2:$D1372)</f>
        <v>9916.5699999999961</v>
      </c>
      <c r="O1372" s="2">
        <f t="shared" si="51"/>
        <v>0.59096218321635163</v>
      </c>
      <c r="P1372" s="2" cm="1">
        <f t="array" ref="P1372">SUMPRODUCT((O1372&gt;$T$9:$T$14)*(O1372&lt;=$U$9:$U$14),$S$9:$S$14)</f>
        <v>5</v>
      </c>
    </row>
    <row r="1373" spans="1:16" x14ac:dyDescent="0.25">
      <c r="A1373">
        <v>751</v>
      </c>
      <c r="B1373">
        <v>1538</v>
      </c>
      <c r="C1373">
        <v>1001</v>
      </c>
      <c r="D1373">
        <v>4.9400000000000004</v>
      </c>
      <c r="E1373">
        <v>33270</v>
      </c>
      <c r="F1373">
        <v>0.5</v>
      </c>
      <c r="G1373">
        <v>33270005</v>
      </c>
      <c r="H1373">
        <v>60</v>
      </c>
      <c r="I1373">
        <v>180</v>
      </c>
      <c r="J1373" s="2">
        <f t="shared" si="50"/>
        <v>889.2</v>
      </c>
      <c r="K1373">
        <v>1372</v>
      </c>
      <c r="L1373" s="3">
        <f>SUM($I$2:$I1373)</f>
        <v>6323470</v>
      </c>
      <c r="M1373" s="3">
        <f>SUM($J$2:$J1373)</f>
        <v>24994082.499999959</v>
      </c>
      <c r="N1373" s="2">
        <f>SUM($D$2:$D1373)</f>
        <v>9921.5099999999966</v>
      </c>
      <c r="O1373" s="2">
        <f t="shared" si="51"/>
        <v>0.59125657464252912</v>
      </c>
      <c r="P1373" s="2" cm="1">
        <f t="array" ref="P1373">SUMPRODUCT((O1373&gt;$T$9:$T$14)*(O1373&lt;=$U$9:$U$14),$S$9:$S$14)</f>
        <v>5</v>
      </c>
    </row>
    <row r="1374" spans="1:16" x14ac:dyDescent="0.25">
      <c r="A1374">
        <v>488</v>
      </c>
      <c r="B1374">
        <v>1275</v>
      </c>
      <c r="C1374">
        <v>672</v>
      </c>
      <c r="D1374">
        <v>4.54</v>
      </c>
      <c r="E1374">
        <v>26385</v>
      </c>
      <c r="F1374">
        <v>0</v>
      </c>
      <c r="G1374">
        <v>26385000</v>
      </c>
      <c r="H1374">
        <v>28</v>
      </c>
      <c r="I1374">
        <v>180</v>
      </c>
      <c r="J1374" s="2">
        <f t="shared" si="50"/>
        <v>817.2</v>
      </c>
      <c r="K1374">
        <v>1373</v>
      </c>
      <c r="L1374" s="3">
        <f>SUM($I$2:$I1374)</f>
        <v>6323650</v>
      </c>
      <c r="M1374" s="3">
        <f>SUM($J$2:$J1374)</f>
        <v>24994899.699999958</v>
      </c>
      <c r="N1374" s="2">
        <f>SUM($D$2:$D1374)</f>
        <v>9926.0499999999975</v>
      </c>
      <c r="O1374" s="2">
        <f t="shared" si="51"/>
        <v>0.59152712870626312</v>
      </c>
      <c r="P1374" s="2" cm="1">
        <f t="array" ref="P1374">SUMPRODUCT((O1374&gt;$T$9:$T$14)*(O1374&lt;=$U$9:$U$14),$S$9:$S$14)</f>
        <v>5</v>
      </c>
    </row>
    <row r="1375" spans="1:16" x14ac:dyDescent="0.25">
      <c r="A1375">
        <v>1295</v>
      </c>
      <c r="B1375">
        <v>127</v>
      </c>
      <c r="C1375">
        <v>1213</v>
      </c>
      <c r="D1375">
        <v>57.19</v>
      </c>
      <c r="E1375">
        <v>40350</v>
      </c>
      <c r="F1375">
        <v>21.3</v>
      </c>
      <c r="G1375">
        <v>40350213</v>
      </c>
      <c r="H1375">
        <v>101</v>
      </c>
      <c r="I1375">
        <v>170</v>
      </c>
      <c r="J1375" s="2">
        <f t="shared" si="50"/>
        <v>9722.2999999999993</v>
      </c>
      <c r="K1375">
        <v>1374</v>
      </c>
      <c r="L1375" s="3">
        <f>SUM($I$2:$I1375)</f>
        <v>6323820</v>
      </c>
      <c r="M1375" s="3">
        <f>SUM($J$2:$J1375)</f>
        <v>25004621.999999959</v>
      </c>
      <c r="N1375" s="2">
        <f>SUM($D$2:$D1375)</f>
        <v>9983.239999999998</v>
      </c>
      <c r="O1375" s="2">
        <f t="shared" si="51"/>
        <v>0.59493527560162551</v>
      </c>
      <c r="P1375" s="2" cm="1">
        <f t="array" ref="P1375">SUMPRODUCT((O1375&gt;$T$9:$T$14)*(O1375&lt;=$U$9:$U$14),$S$9:$S$14)</f>
        <v>5</v>
      </c>
    </row>
    <row r="1376" spans="1:16" x14ac:dyDescent="0.25">
      <c r="A1376">
        <v>1275</v>
      </c>
      <c r="B1376">
        <v>107</v>
      </c>
      <c r="C1376">
        <v>1185</v>
      </c>
      <c r="D1376">
        <v>28.64</v>
      </c>
      <c r="E1376">
        <v>34350</v>
      </c>
      <c r="F1376">
        <v>0</v>
      </c>
      <c r="G1376">
        <v>34350000</v>
      </c>
      <c r="H1376">
        <v>64</v>
      </c>
      <c r="I1376">
        <v>170</v>
      </c>
      <c r="J1376" s="2">
        <f t="shared" si="50"/>
        <v>4868.8</v>
      </c>
      <c r="K1376">
        <v>1375</v>
      </c>
      <c r="L1376" s="3">
        <f>SUM($I$2:$I1376)</f>
        <v>6323990</v>
      </c>
      <c r="M1376" s="3">
        <f>SUM($J$2:$J1376)</f>
        <v>25009490.79999996</v>
      </c>
      <c r="N1376" s="2">
        <f>SUM($D$2:$D1376)</f>
        <v>10011.879999999997</v>
      </c>
      <c r="O1376" s="2">
        <f t="shared" si="51"/>
        <v>0.59664203075258149</v>
      </c>
      <c r="P1376" s="2" cm="1">
        <f t="array" ref="P1376">SUMPRODUCT((O1376&gt;$T$9:$T$14)*(O1376&lt;=$U$9:$U$14),$S$9:$S$14)</f>
        <v>5</v>
      </c>
    </row>
    <row r="1377" spans="1:16" x14ac:dyDescent="0.25">
      <c r="A1377">
        <v>1486</v>
      </c>
      <c r="B1377">
        <v>318</v>
      </c>
      <c r="C1377">
        <v>1452</v>
      </c>
      <c r="D1377">
        <v>24.23</v>
      </c>
      <c r="E1377">
        <v>44700</v>
      </c>
      <c r="F1377">
        <v>5.7</v>
      </c>
      <c r="G1377">
        <v>44700057</v>
      </c>
      <c r="H1377">
        <v>132</v>
      </c>
      <c r="I1377">
        <v>170</v>
      </c>
      <c r="J1377" s="2">
        <f t="shared" si="50"/>
        <v>4119.1000000000004</v>
      </c>
      <c r="K1377">
        <v>1376</v>
      </c>
      <c r="L1377" s="3">
        <f>SUM($I$2:$I1377)</f>
        <v>6324160</v>
      </c>
      <c r="M1377" s="3">
        <f>SUM($J$2:$J1377)</f>
        <v>25013609.899999961</v>
      </c>
      <c r="N1377" s="2">
        <f>SUM($D$2:$D1377)</f>
        <v>10036.109999999997</v>
      </c>
      <c r="O1377" s="2">
        <f t="shared" si="51"/>
        <v>0.59808597898259774</v>
      </c>
      <c r="P1377" s="2" cm="1">
        <f t="array" ref="P1377">SUMPRODUCT((O1377&gt;$T$9:$T$14)*(O1377&lt;=$U$9:$U$14),$S$9:$S$14)</f>
        <v>5</v>
      </c>
    </row>
    <row r="1378" spans="1:16" x14ac:dyDescent="0.25">
      <c r="A1378">
        <v>1374</v>
      </c>
      <c r="B1378">
        <v>206</v>
      </c>
      <c r="C1378">
        <v>1313</v>
      </c>
      <c r="D1378">
        <v>21.22</v>
      </c>
      <c r="E1378">
        <v>40350</v>
      </c>
      <c r="F1378">
        <v>0</v>
      </c>
      <c r="G1378">
        <v>40350000</v>
      </c>
      <c r="H1378">
        <v>101</v>
      </c>
      <c r="I1378">
        <v>170</v>
      </c>
      <c r="J1378" s="2">
        <f t="shared" si="50"/>
        <v>3607.3999999999996</v>
      </c>
      <c r="K1378">
        <v>1377</v>
      </c>
      <c r="L1378" s="3">
        <f>SUM($I$2:$I1378)</f>
        <v>6324330</v>
      </c>
      <c r="M1378" s="3">
        <f>SUM($J$2:$J1378)</f>
        <v>25017217.29999996</v>
      </c>
      <c r="N1378" s="2">
        <f>SUM($D$2:$D1378)</f>
        <v>10057.329999999996</v>
      </c>
      <c r="O1378" s="2">
        <f t="shared" si="51"/>
        <v>0.59935055106022639</v>
      </c>
      <c r="P1378" s="2" cm="1">
        <f t="array" ref="P1378">SUMPRODUCT((O1378&gt;$T$9:$T$14)*(O1378&lt;=$U$9:$U$14),$S$9:$S$14)</f>
        <v>5</v>
      </c>
    </row>
    <row r="1379" spans="1:16" x14ac:dyDescent="0.25">
      <c r="A1379">
        <v>692</v>
      </c>
      <c r="B1379">
        <v>1479</v>
      </c>
      <c r="C1379">
        <v>931</v>
      </c>
      <c r="D1379">
        <v>19.12</v>
      </c>
      <c r="E1379">
        <v>18380</v>
      </c>
      <c r="F1379">
        <v>0</v>
      </c>
      <c r="G1379">
        <v>18380000</v>
      </c>
      <c r="H1379">
        <v>11</v>
      </c>
      <c r="I1379">
        <v>170</v>
      </c>
      <c r="J1379" s="2">
        <f t="shared" si="50"/>
        <v>3250.4</v>
      </c>
      <c r="K1379">
        <v>1378</v>
      </c>
      <c r="L1379" s="3">
        <f>SUM($I$2:$I1379)</f>
        <v>6324500</v>
      </c>
      <c r="M1379" s="3">
        <f>SUM($J$2:$J1379)</f>
        <v>25020467.699999958</v>
      </c>
      <c r="N1379" s="2">
        <f>SUM($D$2:$D1379)</f>
        <v>10076.449999999997</v>
      </c>
      <c r="O1379" s="2">
        <f t="shared" si="51"/>
        <v>0.60048997698502671</v>
      </c>
      <c r="P1379" s="2" cm="1">
        <f t="array" ref="P1379">SUMPRODUCT((O1379&gt;$T$9:$T$14)*(O1379&lt;=$U$9:$U$14),$S$9:$S$14)</f>
        <v>5</v>
      </c>
    </row>
    <row r="1380" spans="1:16" x14ac:dyDescent="0.25">
      <c r="A1380">
        <v>961</v>
      </c>
      <c r="B1380">
        <v>587</v>
      </c>
      <c r="C1380">
        <v>249</v>
      </c>
      <c r="D1380">
        <v>18.32</v>
      </c>
      <c r="E1380">
        <v>26320</v>
      </c>
      <c r="F1380">
        <v>0</v>
      </c>
      <c r="G1380">
        <v>26320000</v>
      </c>
      <c r="H1380">
        <v>28</v>
      </c>
      <c r="I1380">
        <v>170</v>
      </c>
      <c r="J1380" s="2">
        <f t="shared" si="50"/>
        <v>3114.4</v>
      </c>
      <c r="K1380">
        <v>1379</v>
      </c>
      <c r="L1380" s="3">
        <f>SUM($I$2:$I1380)</f>
        <v>6324670</v>
      </c>
      <c r="M1380" s="3">
        <f>SUM($J$2:$J1380)</f>
        <v>25023582.099999957</v>
      </c>
      <c r="N1380" s="2">
        <f>SUM($D$2:$D1380)</f>
        <v>10094.769999999997</v>
      </c>
      <c r="O1380" s="2">
        <f t="shared" si="51"/>
        <v>0.60158172818493993</v>
      </c>
      <c r="P1380" s="2" cm="1">
        <f t="array" ref="P1380">SUMPRODUCT((O1380&gt;$T$9:$T$14)*(O1380&lt;=$U$9:$U$14),$S$9:$S$14)</f>
        <v>5</v>
      </c>
    </row>
    <row r="1381" spans="1:16" x14ac:dyDescent="0.25">
      <c r="A1381">
        <v>145</v>
      </c>
      <c r="B1381">
        <v>941</v>
      </c>
      <c r="C1381">
        <v>1714</v>
      </c>
      <c r="D1381">
        <v>13.89</v>
      </c>
      <c r="E1381">
        <v>60300</v>
      </c>
      <c r="F1381">
        <v>0</v>
      </c>
      <c r="G1381">
        <v>60300000</v>
      </c>
      <c r="H1381">
        <v>575</v>
      </c>
      <c r="I1381">
        <v>170</v>
      </c>
      <c r="J1381" s="2">
        <f t="shared" si="50"/>
        <v>2361.3000000000002</v>
      </c>
      <c r="K1381">
        <v>1380</v>
      </c>
      <c r="L1381" s="3">
        <f>SUM($I$2:$I1381)</f>
        <v>6324840</v>
      </c>
      <c r="M1381" s="3">
        <f>SUM($J$2:$J1381)</f>
        <v>25025943.399999958</v>
      </c>
      <c r="N1381" s="2">
        <f>SUM($D$2:$D1381)</f>
        <v>10108.659999999996</v>
      </c>
      <c r="O1381" s="2">
        <f t="shared" si="51"/>
        <v>0.60240948059579114</v>
      </c>
      <c r="P1381" s="2" cm="1">
        <f t="array" ref="P1381">SUMPRODUCT((O1381&gt;$T$9:$T$14)*(O1381&lt;=$U$9:$U$14),$S$9:$S$14)</f>
        <v>5</v>
      </c>
    </row>
    <row r="1382" spans="1:16" x14ac:dyDescent="0.25">
      <c r="A1382">
        <v>1501</v>
      </c>
      <c r="B1382">
        <v>333</v>
      </c>
      <c r="C1382">
        <v>1472</v>
      </c>
      <c r="D1382">
        <v>13.28</v>
      </c>
      <c r="E1382">
        <v>44000</v>
      </c>
      <c r="F1382">
        <v>0</v>
      </c>
      <c r="G1382">
        <v>44000000</v>
      </c>
      <c r="H1382">
        <v>127</v>
      </c>
      <c r="I1382">
        <v>170</v>
      </c>
      <c r="J1382" s="2">
        <f t="shared" si="50"/>
        <v>2257.6</v>
      </c>
      <c r="K1382">
        <v>1381</v>
      </c>
      <c r="L1382" s="3">
        <f>SUM($I$2:$I1382)</f>
        <v>6325010</v>
      </c>
      <c r="M1382" s="3">
        <f>SUM($J$2:$J1382)</f>
        <v>25028200.999999959</v>
      </c>
      <c r="N1382" s="2">
        <f>SUM($D$2:$D1382)</f>
        <v>10121.939999999997</v>
      </c>
      <c r="O1382" s="2">
        <f t="shared" si="51"/>
        <v>0.60320088102891611</v>
      </c>
      <c r="P1382" s="2" cm="1">
        <f t="array" ref="P1382">SUMPRODUCT((O1382&gt;$T$9:$T$14)*(O1382&lt;=$U$9:$U$14),$S$9:$S$14)</f>
        <v>5</v>
      </c>
    </row>
    <row r="1383" spans="1:16" x14ac:dyDescent="0.25">
      <c r="A1383">
        <v>1535</v>
      </c>
      <c r="B1383">
        <v>367</v>
      </c>
      <c r="C1383">
        <v>1510</v>
      </c>
      <c r="D1383">
        <v>7.29</v>
      </c>
      <c r="E1383">
        <v>41920</v>
      </c>
      <c r="F1383">
        <v>0</v>
      </c>
      <c r="G1383">
        <v>41920000</v>
      </c>
      <c r="H1383">
        <v>112</v>
      </c>
      <c r="I1383">
        <v>170</v>
      </c>
      <c r="J1383" s="2">
        <f t="shared" si="50"/>
        <v>1239.3</v>
      </c>
      <c r="K1383">
        <v>1382</v>
      </c>
      <c r="L1383" s="3">
        <f>SUM($I$2:$I1383)</f>
        <v>6325180</v>
      </c>
      <c r="M1383" s="3">
        <f>SUM($J$2:$J1383)</f>
        <v>25029440.29999996</v>
      </c>
      <c r="N1383" s="2">
        <f>SUM($D$2:$D1383)</f>
        <v>10129.229999999998</v>
      </c>
      <c r="O1383" s="2">
        <f t="shared" si="51"/>
        <v>0.60363531695944928</v>
      </c>
      <c r="P1383" s="2" cm="1">
        <f t="array" ref="P1383">SUMPRODUCT((O1383&gt;$T$9:$T$14)*(O1383&lt;=$U$9:$U$14),$S$9:$S$14)</f>
        <v>5</v>
      </c>
    </row>
    <row r="1384" spans="1:16" x14ac:dyDescent="0.25">
      <c r="A1384">
        <v>1333</v>
      </c>
      <c r="B1384">
        <v>165</v>
      </c>
      <c r="C1384">
        <v>1259</v>
      </c>
      <c r="D1384">
        <v>1.5</v>
      </c>
      <c r="E1384">
        <v>39190</v>
      </c>
      <c r="F1384">
        <v>1.6</v>
      </c>
      <c r="G1384">
        <v>39190016</v>
      </c>
      <c r="H1384">
        <v>94</v>
      </c>
      <c r="I1384">
        <v>170</v>
      </c>
      <c r="J1384" s="2">
        <f t="shared" si="50"/>
        <v>255</v>
      </c>
      <c r="K1384">
        <v>1383</v>
      </c>
      <c r="L1384" s="3">
        <f>SUM($I$2:$I1384)</f>
        <v>6325350</v>
      </c>
      <c r="M1384" s="3">
        <f>SUM($J$2:$J1384)</f>
        <v>25029695.29999996</v>
      </c>
      <c r="N1384" s="2">
        <f>SUM($D$2:$D1384)</f>
        <v>10130.729999999998</v>
      </c>
      <c r="O1384" s="2">
        <f t="shared" si="51"/>
        <v>0.60372470706861248</v>
      </c>
      <c r="P1384" s="2" cm="1">
        <f t="array" ref="P1384">SUMPRODUCT((O1384&gt;$T$9:$T$14)*(O1384&lt;=$U$9:$U$14),$S$9:$S$14)</f>
        <v>5</v>
      </c>
    </row>
    <row r="1385" spans="1:16" x14ac:dyDescent="0.25">
      <c r="A1385">
        <v>1728</v>
      </c>
      <c r="B1385">
        <v>1728</v>
      </c>
      <c r="C1385">
        <v>2234</v>
      </c>
      <c r="D1385">
        <v>29.61</v>
      </c>
      <c r="E1385">
        <v>54070</v>
      </c>
      <c r="F1385">
        <v>0</v>
      </c>
      <c r="G1385">
        <v>54070000</v>
      </c>
      <c r="H1385">
        <v>527</v>
      </c>
      <c r="I1385">
        <v>160</v>
      </c>
      <c r="J1385" s="2">
        <f t="shared" si="50"/>
        <v>4737.6000000000004</v>
      </c>
      <c r="K1385">
        <v>1384</v>
      </c>
      <c r="L1385" s="3">
        <f>SUM($I$2:$I1385)</f>
        <v>6325510</v>
      </c>
      <c r="M1385" s="3">
        <f>SUM($J$2:$J1385)</f>
        <v>25034432.899999961</v>
      </c>
      <c r="N1385" s="2">
        <f>SUM($D$2:$D1385)</f>
        <v>10160.339999999998</v>
      </c>
      <c r="O1385" s="2">
        <f t="shared" si="51"/>
        <v>0.6054892678234941</v>
      </c>
      <c r="P1385" s="2" cm="1">
        <f t="array" ref="P1385">SUMPRODUCT((O1385&gt;$T$9:$T$14)*(O1385&lt;=$U$9:$U$14),$S$9:$S$14)</f>
        <v>5</v>
      </c>
    </row>
    <row r="1386" spans="1:16" x14ac:dyDescent="0.25">
      <c r="A1386">
        <v>10</v>
      </c>
      <c r="B1386">
        <v>807</v>
      </c>
      <c r="C1386">
        <v>539</v>
      </c>
      <c r="D1386">
        <v>24.38</v>
      </c>
      <c r="E1386">
        <v>13850</v>
      </c>
      <c r="F1386">
        <v>0</v>
      </c>
      <c r="G1386">
        <v>13850000</v>
      </c>
      <c r="H1386">
        <v>6</v>
      </c>
      <c r="I1386">
        <v>160</v>
      </c>
      <c r="J1386" s="2">
        <f t="shared" si="50"/>
        <v>3900.7999999999997</v>
      </c>
      <c r="K1386">
        <v>1385</v>
      </c>
      <c r="L1386" s="3">
        <f>SUM($I$2:$I1386)</f>
        <v>6325670</v>
      </c>
      <c r="M1386" s="3">
        <f>SUM($J$2:$J1386)</f>
        <v>25038333.699999962</v>
      </c>
      <c r="N1386" s="2">
        <f>SUM($D$2:$D1386)</f>
        <v>10184.719999999998</v>
      </c>
      <c r="O1386" s="2">
        <f t="shared" si="51"/>
        <v>0.60694215506442661</v>
      </c>
      <c r="P1386" s="2" cm="1">
        <f t="array" ref="P1386">SUMPRODUCT((O1386&gt;$T$9:$T$14)*(O1386&lt;=$U$9:$U$14),$S$9:$S$14)</f>
        <v>5</v>
      </c>
    </row>
    <row r="1387" spans="1:16" x14ac:dyDescent="0.25">
      <c r="A1387">
        <v>1370</v>
      </c>
      <c r="B1387">
        <v>202</v>
      </c>
      <c r="C1387">
        <v>1308</v>
      </c>
      <c r="D1387">
        <v>19.97</v>
      </c>
      <c r="E1387">
        <v>34540</v>
      </c>
      <c r="F1387">
        <v>6.4</v>
      </c>
      <c r="G1387">
        <v>34540064</v>
      </c>
      <c r="H1387">
        <v>65</v>
      </c>
      <c r="I1387">
        <v>160</v>
      </c>
      <c r="J1387" s="2">
        <f t="shared" si="50"/>
        <v>3195.2</v>
      </c>
      <c r="K1387">
        <v>1386</v>
      </c>
      <c r="L1387" s="3">
        <f>SUM($I$2:$I1387)</f>
        <v>6325830</v>
      </c>
      <c r="M1387" s="3">
        <f>SUM($J$2:$J1387)</f>
        <v>25041528.899999961</v>
      </c>
      <c r="N1387" s="2">
        <f>SUM($D$2:$D1387)</f>
        <v>10204.689999999997</v>
      </c>
      <c r="O1387" s="2">
        <f t="shared" si="51"/>
        <v>0.60813223538441941</v>
      </c>
      <c r="P1387" s="2" cm="1">
        <f t="array" ref="P1387">SUMPRODUCT((O1387&gt;$T$9:$T$14)*(O1387&lt;=$U$9:$U$14),$S$9:$S$14)</f>
        <v>5</v>
      </c>
    </row>
    <row r="1388" spans="1:16" x14ac:dyDescent="0.25">
      <c r="A1388">
        <v>1507</v>
      </c>
      <c r="B1388">
        <v>339</v>
      </c>
      <c r="C1388">
        <v>1478</v>
      </c>
      <c r="D1388">
        <v>18.329999999999998</v>
      </c>
      <c r="E1388">
        <v>43710</v>
      </c>
      <c r="F1388">
        <v>0</v>
      </c>
      <c r="G1388">
        <v>43710000</v>
      </c>
      <c r="H1388">
        <v>124</v>
      </c>
      <c r="I1388">
        <v>160</v>
      </c>
      <c r="J1388" s="2">
        <f t="shared" si="50"/>
        <v>2932.7999999999997</v>
      </c>
      <c r="K1388">
        <v>1387</v>
      </c>
      <c r="L1388" s="3">
        <f>SUM($I$2:$I1388)</f>
        <v>6325990</v>
      </c>
      <c r="M1388" s="3">
        <f>SUM($J$2:$J1388)</f>
        <v>25044461.699999962</v>
      </c>
      <c r="N1388" s="2">
        <f>SUM($D$2:$D1388)</f>
        <v>10223.019999999997</v>
      </c>
      <c r="O1388" s="2">
        <f t="shared" si="51"/>
        <v>0.60922458251839362</v>
      </c>
      <c r="P1388" s="2" cm="1">
        <f t="array" ref="P1388">SUMPRODUCT((O1388&gt;$T$9:$T$14)*(O1388&lt;=$U$9:$U$14),$S$9:$S$14)</f>
        <v>5</v>
      </c>
    </row>
    <row r="1389" spans="1:16" x14ac:dyDescent="0.25">
      <c r="A1389">
        <v>1765</v>
      </c>
      <c r="B1389">
        <v>1765</v>
      </c>
      <c r="C1389">
        <v>0</v>
      </c>
      <c r="D1389">
        <v>15.93</v>
      </c>
      <c r="E1389">
        <v>23010</v>
      </c>
      <c r="F1389">
        <v>0</v>
      </c>
      <c r="G1389">
        <v>23010000</v>
      </c>
      <c r="H1389" t="s">
        <v>16</v>
      </c>
      <c r="I1389">
        <v>160</v>
      </c>
      <c r="J1389" s="2">
        <f t="shared" si="50"/>
        <v>2548.8000000000002</v>
      </c>
      <c r="K1389">
        <v>1388</v>
      </c>
      <c r="L1389" s="3">
        <f>SUM($I$2:$I1389)</f>
        <v>6326150</v>
      </c>
      <c r="M1389" s="3">
        <f>SUM($J$2:$J1389)</f>
        <v>25047010.499999963</v>
      </c>
      <c r="N1389" s="2">
        <f>SUM($D$2:$D1389)</f>
        <v>10238.949999999997</v>
      </c>
      <c r="O1389" s="2">
        <f t="shared" si="51"/>
        <v>0.61017390547770689</v>
      </c>
      <c r="P1389" s="2" cm="1">
        <f t="array" ref="P1389">SUMPRODUCT((O1389&gt;$T$9:$T$14)*(O1389&lt;=$U$9:$U$14),$S$9:$S$14)</f>
        <v>5</v>
      </c>
    </row>
    <row r="1390" spans="1:16" x14ac:dyDescent="0.25">
      <c r="A1390">
        <v>344</v>
      </c>
      <c r="B1390">
        <v>1139</v>
      </c>
      <c r="C1390">
        <v>1983</v>
      </c>
      <c r="D1390">
        <v>12.47</v>
      </c>
      <c r="E1390">
        <v>70790</v>
      </c>
      <c r="F1390">
        <v>2.2999999999999998</v>
      </c>
      <c r="G1390">
        <v>70790023</v>
      </c>
      <c r="H1390">
        <v>652</v>
      </c>
      <c r="I1390">
        <v>160</v>
      </c>
      <c r="J1390" s="2">
        <f t="shared" si="50"/>
        <v>1995.2</v>
      </c>
      <c r="K1390">
        <v>1389</v>
      </c>
      <c r="L1390" s="3">
        <f>SUM($I$2:$I1390)</f>
        <v>6326310</v>
      </c>
      <c r="M1390" s="3">
        <f>SUM($J$2:$J1390)</f>
        <v>25049005.699999962</v>
      </c>
      <c r="N1390" s="2">
        <f>SUM($D$2:$D1390)</f>
        <v>10251.419999999996</v>
      </c>
      <c r="O1390" s="2">
        <f t="shared" si="51"/>
        <v>0.61091703525188357</v>
      </c>
      <c r="P1390" s="2" cm="1">
        <f t="array" ref="P1390">SUMPRODUCT((O1390&gt;$T$9:$T$14)*(O1390&lt;=$U$9:$U$14),$S$9:$S$14)</f>
        <v>5</v>
      </c>
    </row>
    <row r="1391" spans="1:16" x14ac:dyDescent="0.25">
      <c r="A1391">
        <v>170</v>
      </c>
      <c r="B1391">
        <v>966</v>
      </c>
      <c r="C1391">
        <v>1746</v>
      </c>
      <c r="D1391">
        <v>8.83</v>
      </c>
      <c r="E1391">
        <v>58509</v>
      </c>
      <c r="F1391">
        <v>8.1</v>
      </c>
      <c r="G1391">
        <v>58509081</v>
      </c>
      <c r="H1391">
        <v>559</v>
      </c>
      <c r="I1391">
        <v>160</v>
      </c>
      <c r="J1391" s="2">
        <f t="shared" si="50"/>
        <v>1412.8</v>
      </c>
      <c r="K1391">
        <v>1390</v>
      </c>
      <c r="L1391" s="3">
        <f>SUM($I$2:$I1391)</f>
        <v>6326470</v>
      </c>
      <c r="M1391" s="3">
        <f>SUM($J$2:$J1391)</f>
        <v>25050418.499999963</v>
      </c>
      <c r="N1391" s="2">
        <f>SUM($D$2:$D1391)</f>
        <v>10260.249999999996</v>
      </c>
      <c r="O1391" s="2">
        <f t="shared" si="51"/>
        <v>0.61144324502782432</v>
      </c>
      <c r="P1391" s="2" cm="1">
        <f t="array" ref="P1391">SUMPRODUCT((O1391&gt;$T$9:$T$14)*(O1391&lt;=$U$9:$U$14),$S$9:$S$14)</f>
        <v>5</v>
      </c>
    </row>
    <row r="1392" spans="1:16" x14ac:dyDescent="0.25">
      <c r="A1392">
        <v>718</v>
      </c>
      <c r="B1392">
        <v>1505</v>
      </c>
      <c r="C1392">
        <v>964</v>
      </c>
      <c r="D1392">
        <v>5.86</v>
      </c>
      <c r="E1392">
        <v>20120</v>
      </c>
      <c r="F1392">
        <v>1.1000000000000001</v>
      </c>
      <c r="G1392">
        <v>20120011</v>
      </c>
      <c r="H1392">
        <v>15</v>
      </c>
      <c r="I1392">
        <v>160</v>
      </c>
      <c r="J1392" s="2">
        <f t="shared" si="50"/>
        <v>937.6</v>
      </c>
      <c r="K1392">
        <v>1391</v>
      </c>
      <c r="L1392" s="3">
        <f>SUM($I$2:$I1392)</f>
        <v>6326630</v>
      </c>
      <c r="M1392" s="3">
        <f>SUM($J$2:$J1392)</f>
        <v>25051356.099999964</v>
      </c>
      <c r="N1392" s="2">
        <f>SUM($D$2:$D1392)</f>
        <v>10266.109999999997</v>
      </c>
      <c r="O1392" s="2">
        <f t="shared" si="51"/>
        <v>0.61179246238762186</v>
      </c>
      <c r="P1392" s="2" cm="1">
        <f t="array" ref="P1392">SUMPRODUCT((O1392&gt;$T$9:$T$14)*(O1392&lt;=$U$9:$U$14),$S$9:$S$14)</f>
        <v>5</v>
      </c>
    </row>
    <row r="1393" spans="1:16" x14ac:dyDescent="0.25">
      <c r="A1393">
        <v>192</v>
      </c>
      <c r="B1393">
        <v>987</v>
      </c>
      <c r="C1393">
        <v>1782</v>
      </c>
      <c r="D1393">
        <v>5.38</v>
      </c>
      <c r="E1393">
        <v>57100</v>
      </c>
      <c r="F1393">
        <v>0</v>
      </c>
      <c r="G1393">
        <v>57100000</v>
      </c>
      <c r="H1393">
        <v>548</v>
      </c>
      <c r="I1393">
        <v>160</v>
      </c>
      <c r="J1393" s="2">
        <f t="shared" si="50"/>
        <v>860.8</v>
      </c>
      <c r="K1393">
        <v>1392</v>
      </c>
      <c r="L1393" s="3">
        <f>SUM($I$2:$I1393)</f>
        <v>6326790</v>
      </c>
      <c r="M1393" s="3">
        <f>SUM($J$2:$J1393)</f>
        <v>25052216.899999965</v>
      </c>
      <c r="N1393" s="2">
        <f>SUM($D$2:$D1393)</f>
        <v>10271.489999999996</v>
      </c>
      <c r="O1393" s="2">
        <f t="shared" si="51"/>
        <v>0.61211307491248723</v>
      </c>
      <c r="P1393" s="2" cm="1">
        <f t="array" ref="P1393">SUMPRODUCT((O1393&gt;$T$9:$T$14)*(O1393&lt;=$U$9:$U$14),$S$9:$S$14)</f>
        <v>5</v>
      </c>
    </row>
    <row r="1394" spans="1:16" x14ac:dyDescent="0.25">
      <c r="A1394">
        <v>1764</v>
      </c>
      <c r="B1394">
        <v>1764</v>
      </c>
      <c r="C1394">
        <v>0</v>
      </c>
      <c r="D1394">
        <v>4.8899999999999997</v>
      </c>
      <c r="E1394">
        <v>23000</v>
      </c>
      <c r="F1394">
        <v>0</v>
      </c>
      <c r="G1394">
        <v>23000000</v>
      </c>
      <c r="H1394" t="s">
        <v>16</v>
      </c>
      <c r="I1394">
        <v>160</v>
      </c>
      <c r="J1394" s="2">
        <f t="shared" si="50"/>
        <v>782.4</v>
      </c>
      <c r="K1394">
        <v>1393</v>
      </c>
      <c r="L1394" s="3">
        <f>SUM($I$2:$I1394)</f>
        <v>6326950</v>
      </c>
      <c r="M1394" s="3">
        <f>SUM($J$2:$J1394)</f>
        <v>25052999.299999963</v>
      </c>
      <c r="N1394" s="2">
        <f>SUM($D$2:$D1394)</f>
        <v>10276.379999999996</v>
      </c>
      <c r="O1394" s="2">
        <f t="shared" si="51"/>
        <v>0.61240448666835923</v>
      </c>
      <c r="P1394" s="2" cm="1">
        <f t="array" ref="P1394">SUMPRODUCT((O1394&gt;$T$9:$T$14)*(O1394&lt;=$U$9:$U$14),$S$9:$S$14)</f>
        <v>5</v>
      </c>
    </row>
    <row r="1395" spans="1:16" x14ac:dyDescent="0.25">
      <c r="A1395">
        <v>1696</v>
      </c>
      <c r="B1395">
        <v>1696</v>
      </c>
      <c r="C1395">
        <v>2198</v>
      </c>
      <c r="D1395">
        <v>1.23</v>
      </c>
      <c r="E1395">
        <v>55740</v>
      </c>
      <c r="F1395">
        <v>0</v>
      </c>
      <c r="G1395">
        <v>55740000</v>
      </c>
      <c r="H1395">
        <v>540</v>
      </c>
      <c r="I1395">
        <v>160</v>
      </c>
      <c r="J1395" s="2">
        <f t="shared" si="50"/>
        <v>196.8</v>
      </c>
      <c r="K1395">
        <v>1394</v>
      </c>
      <c r="L1395" s="3">
        <f>SUM($I$2:$I1395)</f>
        <v>6327110</v>
      </c>
      <c r="M1395" s="3">
        <f>SUM($J$2:$J1395)</f>
        <v>25053196.099999964</v>
      </c>
      <c r="N1395" s="2">
        <f>SUM($D$2:$D1395)</f>
        <v>10277.609999999995</v>
      </c>
      <c r="O1395" s="2">
        <f t="shared" si="51"/>
        <v>0.61247778655787299</v>
      </c>
      <c r="P1395" s="2" cm="1">
        <f t="array" ref="P1395">SUMPRODUCT((O1395&gt;$T$9:$T$14)*(O1395&lt;=$U$9:$U$14),$S$9:$S$14)</f>
        <v>5</v>
      </c>
    </row>
    <row r="1396" spans="1:16" x14ac:dyDescent="0.25">
      <c r="A1396">
        <v>1790</v>
      </c>
      <c r="B1396">
        <v>1790</v>
      </c>
      <c r="C1396">
        <v>0</v>
      </c>
      <c r="D1396">
        <v>0.6</v>
      </c>
      <c r="E1396">
        <v>85555</v>
      </c>
      <c r="F1396">
        <v>0</v>
      </c>
      <c r="G1396">
        <v>85555000</v>
      </c>
      <c r="H1396">
        <v>7292</v>
      </c>
      <c r="I1396">
        <v>160</v>
      </c>
      <c r="J1396" s="2">
        <f t="shared" si="50"/>
        <v>96</v>
      </c>
      <c r="K1396">
        <v>1395</v>
      </c>
      <c r="L1396" s="3">
        <f>SUM($I$2:$I1396)</f>
        <v>6327270</v>
      </c>
      <c r="M1396" s="3">
        <f>SUM($J$2:$J1396)</f>
        <v>25053292.099999964</v>
      </c>
      <c r="N1396" s="2">
        <f>SUM($D$2:$D1396)</f>
        <v>10278.209999999995</v>
      </c>
      <c r="O1396" s="2">
        <f t="shared" si="51"/>
        <v>0.61251354260153834</v>
      </c>
      <c r="P1396" s="2" cm="1">
        <f t="array" ref="P1396">SUMPRODUCT((O1396&gt;$T$9:$T$14)*(O1396&lt;=$U$9:$U$14),$S$9:$S$14)</f>
        <v>5</v>
      </c>
    </row>
    <row r="1397" spans="1:16" x14ac:dyDescent="0.25">
      <c r="A1397">
        <v>1217</v>
      </c>
      <c r="B1397">
        <v>49</v>
      </c>
      <c r="C1397">
        <v>1109</v>
      </c>
      <c r="D1397">
        <v>17.809999999999999</v>
      </c>
      <c r="E1397">
        <v>28010</v>
      </c>
      <c r="F1397">
        <v>0</v>
      </c>
      <c r="G1397">
        <v>28010000</v>
      </c>
      <c r="H1397">
        <v>35</v>
      </c>
      <c r="I1397">
        <v>150</v>
      </c>
      <c r="J1397" s="2">
        <f t="shared" si="50"/>
        <v>2671.5</v>
      </c>
      <c r="K1397">
        <v>1396</v>
      </c>
      <c r="L1397" s="3">
        <f>SUM($I$2:$I1397)</f>
        <v>6327420</v>
      </c>
      <c r="M1397" s="3">
        <f>SUM($J$2:$J1397)</f>
        <v>25055963.599999964</v>
      </c>
      <c r="N1397" s="2">
        <f>SUM($D$2:$D1397)</f>
        <v>10296.019999999995</v>
      </c>
      <c r="O1397" s="2">
        <f t="shared" si="51"/>
        <v>0.613574901164336</v>
      </c>
      <c r="P1397" s="2" cm="1">
        <f t="array" ref="P1397">SUMPRODUCT((O1397&gt;$T$9:$T$14)*(O1397&lt;=$U$9:$U$14),$S$9:$S$14)</f>
        <v>5</v>
      </c>
    </row>
    <row r="1398" spans="1:16" x14ac:dyDescent="0.25">
      <c r="A1398">
        <v>1697</v>
      </c>
      <c r="B1398">
        <v>1697</v>
      </c>
      <c r="C1398">
        <v>2199</v>
      </c>
      <c r="D1398">
        <v>16.02</v>
      </c>
      <c r="E1398">
        <v>55730</v>
      </c>
      <c r="F1398">
        <v>0</v>
      </c>
      <c r="G1398">
        <v>55730000</v>
      </c>
      <c r="H1398">
        <v>540</v>
      </c>
      <c r="I1398">
        <v>150</v>
      </c>
      <c r="J1398" s="2">
        <f t="shared" si="50"/>
        <v>2403</v>
      </c>
      <c r="K1398">
        <v>1397</v>
      </c>
      <c r="L1398" s="3">
        <f>SUM($I$2:$I1398)</f>
        <v>6327570</v>
      </c>
      <c r="M1398" s="3">
        <f>SUM($J$2:$J1398)</f>
        <v>25058366.599999964</v>
      </c>
      <c r="N1398" s="2">
        <f>SUM($D$2:$D1398)</f>
        <v>10312.039999999995</v>
      </c>
      <c r="O1398" s="2">
        <f t="shared" si="51"/>
        <v>0.61452958753019904</v>
      </c>
      <c r="P1398" s="2" cm="1">
        <f t="array" ref="P1398">SUMPRODUCT((O1398&gt;$T$9:$T$14)*(O1398&lt;=$U$9:$U$14),$S$9:$S$14)</f>
        <v>5</v>
      </c>
    </row>
    <row r="1399" spans="1:16" x14ac:dyDescent="0.25">
      <c r="A1399">
        <v>750</v>
      </c>
      <c r="B1399">
        <v>1537</v>
      </c>
      <c r="C1399">
        <v>1000</v>
      </c>
      <c r="D1399">
        <v>9.4700000000000006</v>
      </c>
      <c r="E1399">
        <v>33270</v>
      </c>
      <c r="F1399">
        <v>5.4</v>
      </c>
      <c r="G1399">
        <v>33270054</v>
      </c>
      <c r="H1399">
        <v>60</v>
      </c>
      <c r="I1399">
        <v>150</v>
      </c>
      <c r="J1399" s="2">
        <f t="shared" si="50"/>
        <v>1420.5</v>
      </c>
      <c r="K1399">
        <v>1398</v>
      </c>
      <c r="L1399" s="3">
        <f>SUM($I$2:$I1399)</f>
        <v>6327720</v>
      </c>
      <c r="M1399" s="3">
        <f>SUM($J$2:$J1399)</f>
        <v>25059787.099999964</v>
      </c>
      <c r="N1399" s="2">
        <f>SUM($D$2:$D1399)</f>
        <v>10321.509999999995</v>
      </c>
      <c r="O1399" s="2">
        <f t="shared" si="51"/>
        <v>0.61509393708604931</v>
      </c>
      <c r="P1399" s="2" cm="1">
        <f t="array" ref="P1399">SUMPRODUCT((O1399&gt;$T$9:$T$14)*(O1399&lt;=$U$9:$U$14),$S$9:$S$14)</f>
        <v>5</v>
      </c>
    </row>
    <row r="1400" spans="1:16" x14ac:dyDescent="0.25">
      <c r="A1400">
        <v>1227</v>
      </c>
      <c r="B1400">
        <v>59</v>
      </c>
      <c r="C1400">
        <v>1119</v>
      </c>
      <c r="D1400">
        <v>7.65</v>
      </c>
      <c r="E1400">
        <v>27930</v>
      </c>
      <c r="F1400">
        <v>0</v>
      </c>
      <c r="G1400">
        <v>27930000</v>
      </c>
      <c r="H1400">
        <v>35</v>
      </c>
      <c r="I1400">
        <v>150</v>
      </c>
      <c r="J1400" s="2">
        <f t="shared" si="50"/>
        <v>1147.5</v>
      </c>
      <c r="K1400">
        <v>1399</v>
      </c>
      <c r="L1400" s="3">
        <f>SUM($I$2:$I1400)</f>
        <v>6327870</v>
      </c>
      <c r="M1400" s="3">
        <f>SUM($J$2:$J1400)</f>
        <v>25060934.599999964</v>
      </c>
      <c r="N1400" s="2">
        <f>SUM($D$2:$D1400)</f>
        <v>10329.159999999994</v>
      </c>
      <c r="O1400" s="2">
        <f t="shared" si="51"/>
        <v>0.61554982664278168</v>
      </c>
      <c r="P1400" s="2" cm="1">
        <f t="array" ref="P1400">SUMPRODUCT((O1400&gt;$T$9:$T$14)*(O1400&lt;=$U$9:$U$14),$S$9:$S$14)</f>
        <v>5</v>
      </c>
    </row>
    <row r="1401" spans="1:16" x14ac:dyDescent="0.25">
      <c r="A1401">
        <v>1284</v>
      </c>
      <c r="B1401">
        <v>116</v>
      </c>
      <c r="C1401">
        <v>1200</v>
      </c>
      <c r="D1401">
        <v>7.2</v>
      </c>
      <c r="E1401">
        <v>34725</v>
      </c>
      <c r="F1401">
        <v>0</v>
      </c>
      <c r="G1401">
        <v>34725000</v>
      </c>
      <c r="H1401">
        <v>66</v>
      </c>
      <c r="I1401">
        <v>150</v>
      </c>
      <c r="J1401" s="2">
        <f t="shared" si="50"/>
        <v>1080</v>
      </c>
      <c r="K1401">
        <v>1400</v>
      </c>
      <c r="L1401" s="3">
        <f>SUM($I$2:$I1401)</f>
        <v>6328020</v>
      </c>
      <c r="M1401" s="3">
        <f>SUM($J$2:$J1401)</f>
        <v>25062014.599999964</v>
      </c>
      <c r="N1401" s="2">
        <f>SUM($D$2:$D1401)</f>
        <v>10336.359999999995</v>
      </c>
      <c r="O1401" s="2">
        <f t="shared" si="51"/>
        <v>0.61597889916676507</v>
      </c>
      <c r="P1401" s="2" cm="1">
        <f t="array" ref="P1401">SUMPRODUCT((O1401&gt;$T$9:$T$14)*(O1401&lt;=$U$9:$U$14),$S$9:$S$14)</f>
        <v>5</v>
      </c>
    </row>
    <row r="1402" spans="1:16" x14ac:dyDescent="0.25">
      <c r="A1402">
        <v>1490</v>
      </c>
      <c r="B1402">
        <v>322</v>
      </c>
      <c r="C1402">
        <v>1457</v>
      </c>
      <c r="D1402">
        <v>6.32</v>
      </c>
      <c r="E1402">
        <v>44400</v>
      </c>
      <c r="F1402">
        <v>5.0999999999999996</v>
      </c>
      <c r="G1402">
        <v>44400051</v>
      </c>
      <c r="H1402">
        <v>130</v>
      </c>
      <c r="I1402">
        <v>150</v>
      </c>
      <c r="J1402" s="2">
        <f t="shared" si="50"/>
        <v>948</v>
      </c>
      <c r="K1402">
        <v>1401</v>
      </c>
      <c r="L1402" s="3">
        <f>SUM($I$2:$I1402)</f>
        <v>6328170</v>
      </c>
      <c r="M1402" s="3">
        <f>SUM($J$2:$J1402)</f>
        <v>25062962.599999964</v>
      </c>
      <c r="N1402" s="2">
        <f>SUM($D$2:$D1402)</f>
        <v>10342.679999999995</v>
      </c>
      <c r="O1402" s="2">
        <f t="shared" si="51"/>
        <v>0.61635552949337269</v>
      </c>
      <c r="P1402" s="2" cm="1">
        <f t="array" ref="P1402">SUMPRODUCT((O1402&gt;$T$9:$T$14)*(O1402&lt;=$U$9:$U$14),$S$9:$S$14)</f>
        <v>5</v>
      </c>
    </row>
    <row r="1403" spans="1:16" x14ac:dyDescent="0.25">
      <c r="A1403">
        <v>459</v>
      </c>
      <c r="B1403">
        <v>1246</v>
      </c>
      <c r="C1403">
        <v>2255</v>
      </c>
      <c r="D1403">
        <v>5.53</v>
      </c>
      <c r="E1403">
        <v>18900</v>
      </c>
      <c r="F1403">
        <v>0</v>
      </c>
      <c r="G1403">
        <v>18900000</v>
      </c>
      <c r="H1403" t="s">
        <v>6</v>
      </c>
      <c r="I1403">
        <v>150</v>
      </c>
      <c r="J1403" s="2">
        <f t="shared" si="50"/>
        <v>829.5</v>
      </c>
      <c r="K1403">
        <v>1402</v>
      </c>
      <c r="L1403" s="3">
        <f>SUM($I$2:$I1403)</f>
        <v>6328320</v>
      </c>
      <c r="M1403" s="3">
        <f>SUM($J$2:$J1403)</f>
        <v>25063792.099999964</v>
      </c>
      <c r="N1403" s="2">
        <f>SUM($D$2:$D1403)</f>
        <v>10348.209999999995</v>
      </c>
      <c r="O1403" s="2">
        <f t="shared" si="51"/>
        <v>0.61668508102915442</v>
      </c>
      <c r="P1403" s="2" cm="1">
        <f t="array" ref="P1403">SUMPRODUCT((O1403&gt;$T$9:$T$14)*(O1403&lt;=$U$9:$U$14),$S$9:$S$14)</f>
        <v>5</v>
      </c>
    </row>
    <row r="1404" spans="1:16" x14ac:dyDescent="0.25">
      <c r="A1404">
        <v>277</v>
      </c>
      <c r="B1404">
        <v>1072</v>
      </c>
      <c r="C1404">
        <v>1897</v>
      </c>
      <c r="D1404">
        <v>0.6</v>
      </c>
      <c r="E1404">
        <v>68200</v>
      </c>
      <c r="F1404">
        <v>10.3</v>
      </c>
      <c r="G1404">
        <v>68200103</v>
      </c>
      <c r="H1404">
        <v>632</v>
      </c>
      <c r="I1404">
        <v>150</v>
      </c>
      <c r="J1404" s="2">
        <f t="shared" si="50"/>
        <v>90</v>
      </c>
      <c r="K1404">
        <v>1403</v>
      </c>
      <c r="L1404" s="3">
        <f>SUM($I$2:$I1404)</f>
        <v>6328470</v>
      </c>
      <c r="M1404" s="3">
        <f>SUM($J$2:$J1404)</f>
        <v>25063882.099999964</v>
      </c>
      <c r="N1404" s="2">
        <f>SUM($D$2:$D1404)</f>
        <v>10348.809999999996</v>
      </c>
      <c r="O1404" s="2">
        <f t="shared" si="51"/>
        <v>0.61672083707281966</v>
      </c>
      <c r="P1404" s="2" cm="1">
        <f t="array" ref="P1404">SUMPRODUCT((O1404&gt;$T$9:$T$14)*(O1404&lt;=$U$9:$U$14),$S$9:$S$14)</f>
        <v>5</v>
      </c>
    </row>
    <row r="1405" spans="1:16" x14ac:dyDescent="0.25">
      <c r="A1405">
        <v>458</v>
      </c>
      <c r="B1405">
        <v>1245</v>
      </c>
      <c r="C1405">
        <v>634</v>
      </c>
      <c r="D1405">
        <v>0.01</v>
      </c>
      <c r="E1405">
        <v>18900</v>
      </c>
      <c r="F1405">
        <v>0</v>
      </c>
      <c r="G1405">
        <v>18900000</v>
      </c>
      <c r="H1405" t="s">
        <v>6</v>
      </c>
      <c r="I1405">
        <v>150</v>
      </c>
      <c r="J1405" s="2">
        <f t="shared" si="50"/>
        <v>1.5</v>
      </c>
      <c r="K1405">
        <v>1404</v>
      </c>
      <c r="L1405" s="3">
        <f>SUM($I$2:$I1405)</f>
        <v>6328620</v>
      </c>
      <c r="M1405" s="3">
        <f>SUM($J$2:$J1405)</f>
        <v>25063883.599999964</v>
      </c>
      <c r="N1405" s="2">
        <f>SUM($D$2:$D1405)</f>
        <v>10348.819999999996</v>
      </c>
      <c r="O1405" s="2">
        <f t="shared" si="51"/>
        <v>0.61672143300688076</v>
      </c>
      <c r="P1405" s="2" cm="1">
        <f t="array" ref="P1405">SUMPRODUCT((O1405&gt;$T$9:$T$14)*(O1405&lt;=$U$9:$U$14),$S$9:$S$14)</f>
        <v>5</v>
      </c>
    </row>
    <row r="1406" spans="1:16" x14ac:dyDescent="0.25">
      <c r="A1406">
        <v>1583</v>
      </c>
      <c r="B1406">
        <v>1583</v>
      </c>
      <c r="C1406">
        <v>2072</v>
      </c>
      <c r="D1406">
        <v>93.1</v>
      </c>
      <c r="E1406">
        <v>50858</v>
      </c>
      <c r="F1406">
        <v>0</v>
      </c>
      <c r="G1406">
        <v>50858000</v>
      </c>
      <c r="H1406">
        <v>502</v>
      </c>
      <c r="I1406">
        <v>140</v>
      </c>
      <c r="J1406" s="2">
        <f t="shared" si="50"/>
        <v>13034</v>
      </c>
      <c r="K1406">
        <v>1405</v>
      </c>
      <c r="L1406" s="3">
        <f>SUM($I$2:$I1406)</f>
        <v>6328760</v>
      </c>
      <c r="M1406" s="3">
        <f>SUM($J$2:$J1406)</f>
        <v>25076917.599999964</v>
      </c>
      <c r="N1406" s="2">
        <f>SUM($D$2:$D1406)</f>
        <v>10441.919999999996</v>
      </c>
      <c r="O1406" s="2">
        <f t="shared" si="51"/>
        <v>0.62226957911561021</v>
      </c>
      <c r="P1406" s="2" cm="1">
        <f t="array" ref="P1406">SUMPRODUCT((O1406&gt;$T$9:$T$14)*(O1406&lt;=$U$9:$U$14),$S$9:$S$14)</f>
        <v>5</v>
      </c>
    </row>
    <row r="1407" spans="1:16" x14ac:dyDescent="0.25">
      <c r="A1407">
        <v>660</v>
      </c>
      <c r="B1407">
        <v>1447</v>
      </c>
      <c r="C1407">
        <v>893</v>
      </c>
      <c r="D1407">
        <v>60.45</v>
      </c>
      <c r="E1407">
        <v>13830</v>
      </c>
      <c r="F1407">
        <v>0</v>
      </c>
      <c r="G1407">
        <v>13830000</v>
      </c>
      <c r="H1407">
        <v>6</v>
      </c>
      <c r="I1407">
        <v>140</v>
      </c>
      <c r="J1407" s="2">
        <f t="shared" si="50"/>
        <v>8463</v>
      </c>
      <c r="K1407">
        <v>1406</v>
      </c>
      <c r="L1407" s="3">
        <f>SUM($I$2:$I1407)</f>
        <v>6328900</v>
      </c>
      <c r="M1407" s="3">
        <f>SUM($J$2:$J1407)</f>
        <v>25085380.599999964</v>
      </c>
      <c r="N1407" s="2">
        <f>SUM($D$2:$D1407)</f>
        <v>10502.369999999997</v>
      </c>
      <c r="O1407" s="2">
        <f t="shared" si="51"/>
        <v>0.62587200051488723</v>
      </c>
      <c r="P1407" s="2" cm="1">
        <f t="array" ref="P1407">SUMPRODUCT((O1407&gt;$T$9:$T$14)*(O1407&lt;=$U$9:$U$14),$S$9:$S$14)</f>
        <v>5</v>
      </c>
    </row>
    <row r="1408" spans="1:16" x14ac:dyDescent="0.25">
      <c r="A1408">
        <v>319</v>
      </c>
      <c r="B1408">
        <v>1114</v>
      </c>
      <c r="C1408">
        <v>1956</v>
      </c>
      <c r="D1408">
        <v>37.11</v>
      </c>
      <c r="E1408">
        <v>72150</v>
      </c>
      <c r="F1408">
        <v>0</v>
      </c>
      <c r="G1408">
        <v>72150000</v>
      </c>
      <c r="H1408">
        <v>671</v>
      </c>
      <c r="I1408">
        <v>140</v>
      </c>
      <c r="J1408" s="2">
        <f t="shared" si="50"/>
        <v>5195.3999999999996</v>
      </c>
      <c r="K1408">
        <v>1407</v>
      </c>
      <c r="L1408" s="3">
        <f>SUM($I$2:$I1408)</f>
        <v>6329040</v>
      </c>
      <c r="M1408" s="3">
        <f>SUM($J$2:$J1408)</f>
        <v>25090575.999999963</v>
      </c>
      <c r="N1408" s="2">
        <f>SUM($D$2:$D1408)</f>
        <v>10539.479999999998</v>
      </c>
      <c r="O1408" s="2">
        <f t="shared" si="51"/>
        <v>0.62808351181558486</v>
      </c>
      <c r="P1408" s="2" cm="1">
        <f t="array" ref="P1408">SUMPRODUCT((O1408&gt;$T$9:$T$14)*(O1408&lt;=$U$9:$U$14),$S$9:$S$14)</f>
        <v>5</v>
      </c>
    </row>
    <row r="1409" spans="1:16" x14ac:dyDescent="0.25">
      <c r="A1409">
        <v>158</v>
      </c>
      <c r="B1409">
        <v>954</v>
      </c>
      <c r="C1409">
        <v>1727</v>
      </c>
      <c r="D1409">
        <v>35.1</v>
      </c>
      <c r="E1409">
        <v>59400</v>
      </c>
      <c r="F1409">
        <v>3.7</v>
      </c>
      <c r="G1409">
        <v>59400037</v>
      </c>
      <c r="H1409">
        <v>567</v>
      </c>
      <c r="I1409">
        <v>140</v>
      </c>
      <c r="J1409" s="2">
        <f t="shared" si="50"/>
        <v>4914</v>
      </c>
      <c r="K1409">
        <v>1408</v>
      </c>
      <c r="L1409" s="3">
        <f>SUM($I$2:$I1409)</f>
        <v>6329180</v>
      </c>
      <c r="M1409" s="3">
        <f>SUM($J$2:$J1409)</f>
        <v>25095489.999999963</v>
      </c>
      <c r="N1409" s="2">
        <f>SUM($D$2:$D1409)</f>
        <v>10574.579999999998</v>
      </c>
      <c r="O1409" s="2">
        <f t="shared" si="51"/>
        <v>0.63017524037000383</v>
      </c>
      <c r="P1409" s="2" cm="1">
        <f t="array" ref="P1409">SUMPRODUCT((O1409&gt;$T$9:$T$14)*(O1409&lt;=$U$9:$U$14),$S$9:$S$14)</f>
        <v>5</v>
      </c>
    </row>
    <row r="1410" spans="1:16" x14ac:dyDescent="0.25">
      <c r="A1410">
        <v>1262</v>
      </c>
      <c r="B1410">
        <v>94</v>
      </c>
      <c r="C1410">
        <v>1166</v>
      </c>
      <c r="D1410">
        <v>20.149999999999999</v>
      </c>
      <c r="E1410">
        <v>34380</v>
      </c>
      <c r="F1410">
        <v>1.8</v>
      </c>
      <c r="G1410">
        <v>34380018</v>
      </c>
      <c r="H1410">
        <v>64</v>
      </c>
      <c r="I1410">
        <v>140</v>
      </c>
      <c r="J1410" s="2">
        <f t="shared" ref="J1410:J1473" si="52">I1410*D1410</f>
        <v>2821</v>
      </c>
      <c r="K1410">
        <v>1409</v>
      </c>
      <c r="L1410" s="3">
        <f>SUM($I$2:$I1410)</f>
        <v>6329320</v>
      </c>
      <c r="M1410" s="3">
        <f>SUM($J$2:$J1410)</f>
        <v>25098310.999999963</v>
      </c>
      <c r="N1410" s="2">
        <f>SUM($D$2:$D1410)</f>
        <v>10594.729999999998</v>
      </c>
      <c r="O1410" s="2">
        <f t="shared" ref="O1410:O1473" si="53">N1410/$T$4</f>
        <v>0.63137604750309606</v>
      </c>
      <c r="P1410" s="2" cm="1">
        <f t="array" ref="P1410">SUMPRODUCT((O1410&gt;$T$9:$T$14)*(O1410&lt;=$U$9:$U$14),$S$9:$S$14)</f>
        <v>5</v>
      </c>
    </row>
    <row r="1411" spans="1:16" x14ac:dyDescent="0.25">
      <c r="A1411">
        <v>4</v>
      </c>
      <c r="B1411">
        <v>803</v>
      </c>
      <c r="C1411">
        <v>530</v>
      </c>
      <c r="D1411">
        <v>15.89</v>
      </c>
      <c r="E1411">
        <v>26385</v>
      </c>
      <c r="F1411">
        <v>4.5999999999999996</v>
      </c>
      <c r="G1411">
        <v>26385046</v>
      </c>
      <c r="H1411">
        <v>28</v>
      </c>
      <c r="I1411">
        <v>140</v>
      </c>
      <c r="J1411" s="2">
        <f t="shared" si="52"/>
        <v>2224.6</v>
      </c>
      <c r="K1411">
        <v>1410</v>
      </c>
      <c r="L1411" s="3">
        <f>SUM($I$2:$I1411)</f>
        <v>6329460</v>
      </c>
      <c r="M1411" s="3">
        <f>SUM($J$2:$J1411)</f>
        <v>25100535.599999964</v>
      </c>
      <c r="N1411" s="2">
        <f>SUM($D$2:$D1411)</f>
        <v>10610.619999999997</v>
      </c>
      <c r="O1411" s="2">
        <f t="shared" si="53"/>
        <v>0.63232298672616494</v>
      </c>
      <c r="P1411" s="2" cm="1">
        <f t="array" ref="P1411">SUMPRODUCT((O1411&gt;$T$9:$T$14)*(O1411&lt;=$U$9:$U$14),$S$9:$S$14)</f>
        <v>5</v>
      </c>
    </row>
    <row r="1412" spans="1:16" x14ac:dyDescent="0.25">
      <c r="A1412">
        <v>1698</v>
      </c>
      <c r="B1412">
        <v>1698</v>
      </c>
      <c r="C1412">
        <v>2200</v>
      </c>
      <c r="D1412">
        <v>14.4</v>
      </c>
      <c r="E1412">
        <v>55720</v>
      </c>
      <c r="F1412">
        <v>0</v>
      </c>
      <c r="G1412">
        <v>55720000</v>
      </c>
      <c r="H1412">
        <v>540</v>
      </c>
      <c r="I1412">
        <v>140</v>
      </c>
      <c r="J1412" s="2">
        <f t="shared" si="52"/>
        <v>2016</v>
      </c>
      <c r="K1412">
        <v>1411</v>
      </c>
      <c r="L1412" s="3">
        <f>SUM($I$2:$I1412)</f>
        <v>6329600</v>
      </c>
      <c r="M1412" s="3">
        <f>SUM($J$2:$J1412)</f>
        <v>25102551.599999964</v>
      </c>
      <c r="N1412" s="2">
        <f>SUM($D$2:$D1412)</f>
        <v>10625.019999999997</v>
      </c>
      <c r="O1412" s="2">
        <f t="shared" si="53"/>
        <v>0.6331811317741316</v>
      </c>
      <c r="P1412" s="2" cm="1">
        <f t="array" ref="P1412">SUMPRODUCT((O1412&gt;$T$9:$T$14)*(O1412&lt;=$U$9:$U$14),$S$9:$S$14)</f>
        <v>5</v>
      </c>
    </row>
    <row r="1413" spans="1:16" x14ac:dyDescent="0.25">
      <c r="A1413">
        <v>339</v>
      </c>
      <c r="B1413">
        <v>1134</v>
      </c>
      <c r="C1413">
        <v>1978</v>
      </c>
      <c r="D1413">
        <v>12.19</v>
      </c>
      <c r="E1413">
        <v>71000</v>
      </c>
      <c r="F1413">
        <v>0</v>
      </c>
      <c r="G1413">
        <v>71000000</v>
      </c>
      <c r="H1413">
        <v>654</v>
      </c>
      <c r="I1413">
        <v>140</v>
      </c>
      <c r="J1413" s="2">
        <f t="shared" si="52"/>
        <v>1706.6</v>
      </c>
      <c r="K1413">
        <v>1412</v>
      </c>
      <c r="L1413" s="3">
        <f>SUM($I$2:$I1413)</f>
        <v>6329740</v>
      </c>
      <c r="M1413" s="3">
        <f>SUM($J$2:$J1413)</f>
        <v>25104258.199999966</v>
      </c>
      <c r="N1413" s="2">
        <f>SUM($D$2:$D1413)</f>
        <v>10637.209999999997</v>
      </c>
      <c r="O1413" s="2">
        <f t="shared" si="53"/>
        <v>0.63390757539459797</v>
      </c>
      <c r="P1413" s="2" cm="1">
        <f t="array" ref="P1413">SUMPRODUCT((O1413&gt;$T$9:$T$14)*(O1413&lt;=$U$9:$U$14),$S$9:$S$14)</f>
        <v>5</v>
      </c>
    </row>
    <row r="1414" spans="1:16" x14ac:dyDescent="0.25">
      <c r="A1414">
        <v>1320</v>
      </c>
      <c r="B1414">
        <v>152</v>
      </c>
      <c r="C1414">
        <v>1244</v>
      </c>
      <c r="D1414">
        <v>11.5</v>
      </c>
      <c r="E1414">
        <v>40500</v>
      </c>
      <c r="F1414">
        <v>6.7</v>
      </c>
      <c r="G1414">
        <v>40500067</v>
      </c>
      <c r="H1414">
        <v>101</v>
      </c>
      <c r="I1414">
        <v>140</v>
      </c>
      <c r="J1414" s="2">
        <f t="shared" si="52"/>
        <v>1610</v>
      </c>
      <c r="K1414">
        <v>1413</v>
      </c>
      <c r="L1414" s="3">
        <f>SUM($I$2:$I1414)</f>
        <v>6329880</v>
      </c>
      <c r="M1414" s="3">
        <f>SUM($J$2:$J1414)</f>
        <v>25105868.199999966</v>
      </c>
      <c r="N1414" s="2">
        <f>SUM($D$2:$D1414)</f>
        <v>10648.709999999997</v>
      </c>
      <c r="O1414" s="2">
        <f t="shared" si="53"/>
        <v>0.63459289956484921</v>
      </c>
      <c r="P1414" s="2" cm="1">
        <f t="array" ref="P1414">SUMPRODUCT((O1414&gt;$T$9:$T$14)*(O1414&lt;=$U$9:$U$14),$S$9:$S$14)</f>
        <v>5</v>
      </c>
    </row>
    <row r="1415" spans="1:16" x14ac:dyDescent="0.25">
      <c r="A1415">
        <v>1088</v>
      </c>
      <c r="B1415">
        <v>714</v>
      </c>
      <c r="C1415">
        <v>416</v>
      </c>
      <c r="D1415">
        <v>9.8800000000000008</v>
      </c>
      <c r="E1415">
        <v>20660</v>
      </c>
      <c r="F1415">
        <v>0</v>
      </c>
      <c r="G1415">
        <v>20660000</v>
      </c>
      <c r="H1415">
        <v>17</v>
      </c>
      <c r="I1415">
        <v>140</v>
      </c>
      <c r="J1415" s="2">
        <f t="shared" si="52"/>
        <v>1383.2</v>
      </c>
      <c r="K1415">
        <v>1414</v>
      </c>
      <c r="L1415" s="3">
        <f>SUM($I$2:$I1415)</f>
        <v>6330020</v>
      </c>
      <c r="M1415" s="3">
        <f>SUM($J$2:$J1415)</f>
        <v>25107251.399999965</v>
      </c>
      <c r="N1415" s="2">
        <f>SUM($D$2:$D1415)</f>
        <v>10658.589999999997</v>
      </c>
      <c r="O1415" s="2">
        <f t="shared" si="53"/>
        <v>0.63518168241720407</v>
      </c>
      <c r="P1415" s="2" cm="1">
        <f t="array" ref="P1415">SUMPRODUCT((O1415&gt;$T$9:$T$14)*(O1415&lt;=$U$9:$U$14),$S$9:$S$14)</f>
        <v>5</v>
      </c>
    </row>
    <row r="1416" spans="1:16" x14ac:dyDescent="0.25">
      <c r="A1416">
        <v>1524</v>
      </c>
      <c r="B1416">
        <v>356</v>
      </c>
      <c r="C1416">
        <v>1496</v>
      </c>
      <c r="D1416">
        <v>8.08</v>
      </c>
      <c r="E1416">
        <v>42610</v>
      </c>
      <c r="F1416">
        <v>0</v>
      </c>
      <c r="G1416">
        <v>42610000</v>
      </c>
      <c r="H1416">
        <v>118</v>
      </c>
      <c r="I1416">
        <v>140</v>
      </c>
      <c r="J1416" s="2">
        <f t="shared" si="52"/>
        <v>1131.2</v>
      </c>
      <c r="K1416">
        <v>1415</v>
      </c>
      <c r="L1416" s="3">
        <f>SUM($I$2:$I1416)</f>
        <v>6330160</v>
      </c>
      <c r="M1416" s="3">
        <f>SUM($J$2:$J1416)</f>
        <v>25108382.599999964</v>
      </c>
      <c r="N1416" s="2">
        <f>SUM($D$2:$D1416)</f>
        <v>10666.669999999996</v>
      </c>
      <c r="O1416" s="2">
        <f t="shared" si="53"/>
        <v>0.63566319713856323</v>
      </c>
      <c r="P1416" s="2" cm="1">
        <f t="array" ref="P1416">SUMPRODUCT((O1416&gt;$T$9:$T$14)*(O1416&lt;=$U$9:$U$14),$S$9:$S$14)</f>
        <v>5</v>
      </c>
    </row>
    <row r="1417" spans="1:16" x14ac:dyDescent="0.25">
      <c r="A1417">
        <v>1303</v>
      </c>
      <c r="B1417">
        <v>135</v>
      </c>
      <c r="C1417">
        <v>1224</v>
      </c>
      <c r="D1417">
        <v>3.24</v>
      </c>
      <c r="E1417">
        <v>34320</v>
      </c>
      <c r="F1417">
        <v>0</v>
      </c>
      <c r="G1417">
        <v>34320000</v>
      </c>
      <c r="H1417">
        <v>64</v>
      </c>
      <c r="I1417">
        <v>140</v>
      </c>
      <c r="J1417" s="2">
        <f t="shared" si="52"/>
        <v>453.6</v>
      </c>
      <c r="K1417">
        <v>1416</v>
      </c>
      <c r="L1417" s="3">
        <f>SUM($I$2:$I1417)</f>
        <v>6330300</v>
      </c>
      <c r="M1417" s="3">
        <f>SUM($J$2:$J1417)</f>
        <v>25108836.199999966</v>
      </c>
      <c r="N1417" s="2">
        <f>SUM($D$2:$D1417)</f>
        <v>10669.909999999996</v>
      </c>
      <c r="O1417" s="2">
        <f t="shared" si="53"/>
        <v>0.63585627977435566</v>
      </c>
      <c r="P1417" s="2" cm="1">
        <f t="array" ref="P1417">SUMPRODUCT((O1417&gt;$T$9:$T$14)*(O1417&lt;=$U$9:$U$14),$S$9:$S$14)</f>
        <v>5</v>
      </c>
    </row>
    <row r="1418" spans="1:16" x14ac:dyDescent="0.25">
      <c r="A1418">
        <v>727</v>
      </c>
      <c r="B1418">
        <v>1514</v>
      </c>
      <c r="C1418">
        <v>976</v>
      </c>
      <c r="D1418">
        <v>3.06</v>
      </c>
      <c r="E1418">
        <v>33650</v>
      </c>
      <c r="F1418">
        <v>5.3</v>
      </c>
      <c r="G1418">
        <v>33650053</v>
      </c>
      <c r="H1418">
        <v>62</v>
      </c>
      <c r="I1418">
        <v>140</v>
      </c>
      <c r="J1418" s="2">
        <f t="shared" si="52"/>
        <v>428.40000000000003</v>
      </c>
      <c r="K1418">
        <v>1417</v>
      </c>
      <c r="L1418" s="3">
        <f>SUM($I$2:$I1418)</f>
        <v>6330440</v>
      </c>
      <c r="M1418" s="3">
        <f>SUM($J$2:$J1418)</f>
        <v>25109264.599999964</v>
      </c>
      <c r="N1418" s="2">
        <f>SUM($D$2:$D1418)</f>
        <v>10672.969999999996</v>
      </c>
      <c r="O1418" s="2">
        <f t="shared" si="53"/>
        <v>0.63603863559704854</v>
      </c>
      <c r="P1418" s="2" cm="1">
        <f t="array" ref="P1418">SUMPRODUCT((O1418&gt;$T$9:$T$14)*(O1418&lt;=$U$9:$U$14),$S$9:$S$14)</f>
        <v>5</v>
      </c>
    </row>
    <row r="1419" spans="1:16" x14ac:dyDescent="0.25">
      <c r="A1419">
        <v>1089</v>
      </c>
      <c r="B1419">
        <v>715</v>
      </c>
      <c r="C1419">
        <v>2253</v>
      </c>
      <c r="D1419">
        <v>0.49</v>
      </c>
      <c r="E1419">
        <v>20660</v>
      </c>
      <c r="F1419">
        <v>0</v>
      </c>
      <c r="G1419">
        <v>20660000</v>
      </c>
      <c r="H1419">
        <v>17</v>
      </c>
      <c r="I1419">
        <v>140</v>
      </c>
      <c r="J1419" s="2">
        <f t="shared" si="52"/>
        <v>68.599999999999994</v>
      </c>
      <c r="K1419">
        <v>1418</v>
      </c>
      <c r="L1419" s="3">
        <f>SUM($I$2:$I1419)</f>
        <v>6330580</v>
      </c>
      <c r="M1419" s="3">
        <f>SUM($J$2:$J1419)</f>
        <v>25109333.199999966</v>
      </c>
      <c r="N1419" s="2">
        <f>SUM($D$2:$D1419)</f>
        <v>10673.459999999995</v>
      </c>
      <c r="O1419" s="2">
        <f t="shared" si="53"/>
        <v>0.63606783636604192</v>
      </c>
      <c r="P1419" s="2" cm="1">
        <f t="array" ref="P1419">SUMPRODUCT((O1419&gt;$T$9:$T$14)*(O1419&lt;=$U$9:$U$14),$S$9:$S$14)</f>
        <v>5</v>
      </c>
    </row>
    <row r="1420" spans="1:16" x14ac:dyDescent="0.25">
      <c r="A1420">
        <v>1346</v>
      </c>
      <c r="B1420">
        <v>178</v>
      </c>
      <c r="C1420">
        <v>1275</v>
      </c>
      <c r="D1420">
        <v>37.67</v>
      </c>
      <c r="E1420">
        <v>34560</v>
      </c>
      <c r="F1420">
        <v>0</v>
      </c>
      <c r="G1420">
        <v>34560000</v>
      </c>
      <c r="H1420">
        <v>65</v>
      </c>
      <c r="I1420">
        <v>130</v>
      </c>
      <c r="J1420" s="2">
        <f t="shared" si="52"/>
        <v>4897.1000000000004</v>
      </c>
      <c r="K1420">
        <v>1419</v>
      </c>
      <c r="L1420" s="3">
        <f>SUM($I$2:$I1420)</f>
        <v>6330710</v>
      </c>
      <c r="M1420" s="3">
        <f>SUM($J$2:$J1420)</f>
        <v>25114230.299999967</v>
      </c>
      <c r="N1420" s="2">
        <f>SUM($D$2:$D1420)</f>
        <v>10711.129999999996</v>
      </c>
      <c r="O1420" s="2">
        <f t="shared" si="53"/>
        <v>0.63831271997416039</v>
      </c>
      <c r="P1420" s="2" cm="1">
        <f t="array" ref="P1420">SUMPRODUCT((O1420&gt;$T$9:$T$14)*(O1420&lt;=$U$9:$U$14),$S$9:$S$14)</f>
        <v>5</v>
      </c>
    </row>
    <row r="1421" spans="1:16" x14ac:dyDescent="0.25">
      <c r="A1421">
        <v>130</v>
      </c>
      <c r="B1421">
        <v>926</v>
      </c>
      <c r="C1421">
        <v>1687</v>
      </c>
      <c r="D1421">
        <v>30.54</v>
      </c>
      <c r="E1421">
        <v>53100</v>
      </c>
      <c r="F1421">
        <v>0</v>
      </c>
      <c r="G1421">
        <v>53100000</v>
      </c>
      <c r="H1421">
        <v>519</v>
      </c>
      <c r="I1421">
        <v>130</v>
      </c>
      <c r="J1421" s="2">
        <f t="shared" si="52"/>
        <v>3970.2</v>
      </c>
      <c r="K1421">
        <v>1420</v>
      </c>
      <c r="L1421" s="3">
        <f>SUM($I$2:$I1421)</f>
        <v>6330840</v>
      </c>
      <c r="M1421" s="3">
        <f>SUM($J$2:$J1421)</f>
        <v>25118200.499999966</v>
      </c>
      <c r="N1421" s="2">
        <f>SUM($D$2:$D1421)</f>
        <v>10741.669999999996</v>
      </c>
      <c r="O1421" s="2">
        <f t="shared" si="53"/>
        <v>0.64013270259672328</v>
      </c>
      <c r="P1421" s="2" cm="1">
        <f t="array" ref="P1421">SUMPRODUCT((O1421&gt;$T$9:$T$14)*(O1421&lt;=$U$9:$U$14),$S$9:$S$14)</f>
        <v>5</v>
      </c>
    </row>
    <row r="1422" spans="1:16" x14ac:dyDescent="0.25">
      <c r="A1422">
        <v>325</v>
      </c>
      <c r="B1422">
        <v>1120</v>
      </c>
      <c r="C1422">
        <v>1962</v>
      </c>
      <c r="D1422">
        <v>17.2</v>
      </c>
      <c r="E1422">
        <v>72020</v>
      </c>
      <c r="F1422">
        <v>0</v>
      </c>
      <c r="G1422">
        <v>72020000</v>
      </c>
      <c r="H1422">
        <v>664</v>
      </c>
      <c r="I1422">
        <v>130</v>
      </c>
      <c r="J1422" s="2">
        <f t="shared" si="52"/>
        <v>2236</v>
      </c>
      <c r="K1422">
        <v>1421</v>
      </c>
      <c r="L1422" s="3">
        <f>SUM($I$2:$I1422)</f>
        <v>6330970</v>
      </c>
      <c r="M1422" s="3">
        <f>SUM($J$2:$J1422)</f>
        <v>25120436.499999966</v>
      </c>
      <c r="N1422" s="2">
        <f>SUM($D$2:$D1422)</f>
        <v>10758.869999999997</v>
      </c>
      <c r="O1422" s="2">
        <f t="shared" si="53"/>
        <v>0.64115770918179471</v>
      </c>
      <c r="P1422" s="2" cm="1">
        <f t="array" ref="P1422">SUMPRODUCT((O1422&gt;$T$9:$T$14)*(O1422&lt;=$U$9:$U$14),$S$9:$S$14)</f>
        <v>5</v>
      </c>
    </row>
    <row r="1423" spans="1:16" x14ac:dyDescent="0.25">
      <c r="A1423">
        <v>535</v>
      </c>
      <c r="B1423">
        <v>1322</v>
      </c>
      <c r="C1423">
        <v>740</v>
      </c>
      <c r="D1423">
        <v>16.98</v>
      </c>
      <c r="E1423">
        <v>13840</v>
      </c>
      <c r="F1423">
        <v>0</v>
      </c>
      <c r="G1423">
        <v>13840000</v>
      </c>
      <c r="H1423">
        <v>6</v>
      </c>
      <c r="I1423">
        <v>130</v>
      </c>
      <c r="J1423" s="2">
        <f t="shared" si="52"/>
        <v>2207.4</v>
      </c>
      <c r="K1423">
        <v>1422</v>
      </c>
      <c r="L1423" s="3">
        <f>SUM($I$2:$I1423)</f>
        <v>6331100</v>
      </c>
      <c r="M1423" s="3">
        <f>SUM($J$2:$J1423)</f>
        <v>25122643.899999965</v>
      </c>
      <c r="N1423" s="2">
        <f>SUM($D$2:$D1423)</f>
        <v>10775.849999999997</v>
      </c>
      <c r="O1423" s="2">
        <f t="shared" si="53"/>
        <v>0.64216960521752209</v>
      </c>
      <c r="P1423" s="2" cm="1">
        <f t="array" ref="P1423">SUMPRODUCT((O1423&gt;$T$9:$T$14)*(O1423&lt;=$U$9:$U$14),$S$9:$S$14)</f>
        <v>5</v>
      </c>
    </row>
    <row r="1424" spans="1:16" x14ac:dyDescent="0.25">
      <c r="A1424">
        <v>1361</v>
      </c>
      <c r="B1424">
        <v>193</v>
      </c>
      <c r="C1424">
        <v>1297</v>
      </c>
      <c r="D1424">
        <v>15.77</v>
      </c>
      <c r="E1424">
        <v>33740</v>
      </c>
      <c r="F1424">
        <v>0</v>
      </c>
      <c r="G1424">
        <v>33740000</v>
      </c>
      <c r="H1424">
        <v>62</v>
      </c>
      <c r="I1424">
        <v>130</v>
      </c>
      <c r="J1424" s="2">
        <f t="shared" si="52"/>
        <v>2050.1</v>
      </c>
      <c r="K1424">
        <v>1423</v>
      </c>
      <c r="L1424" s="3">
        <f>SUM($I$2:$I1424)</f>
        <v>6331230</v>
      </c>
      <c r="M1424" s="3">
        <f>SUM($J$2:$J1424)</f>
        <v>25124693.999999966</v>
      </c>
      <c r="N1424" s="2">
        <f>SUM($D$2:$D1424)</f>
        <v>10791.619999999997</v>
      </c>
      <c r="O1424" s="2">
        <f t="shared" si="53"/>
        <v>0.6431093932318579</v>
      </c>
      <c r="P1424" s="2" cm="1">
        <f t="array" ref="P1424">SUMPRODUCT((O1424&gt;$T$9:$T$14)*(O1424&lt;=$U$9:$U$14),$S$9:$S$14)</f>
        <v>5</v>
      </c>
    </row>
    <row r="1425" spans="1:16" x14ac:dyDescent="0.25">
      <c r="A1425">
        <v>1014</v>
      </c>
      <c r="B1425">
        <v>640</v>
      </c>
      <c r="C1425">
        <v>316</v>
      </c>
      <c r="D1425">
        <v>4.87</v>
      </c>
      <c r="E1425">
        <v>22166</v>
      </c>
      <c r="F1425">
        <v>0.1</v>
      </c>
      <c r="G1425">
        <v>22166001</v>
      </c>
      <c r="H1425">
        <v>17</v>
      </c>
      <c r="I1425">
        <v>130</v>
      </c>
      <c r="J1425" s="2">
        <f t="shared" si="52"/>
        <v>633.1</v>
      </c>
      <c r="K1425">
        <v>1424</v>
      </c>
      <c r="L1425" s="3">
        <f>SUM($I$2:$I1425)</f>
        <v>6331360</v>
      </c>
      <c r="M1425" s="3">
        <f>SUM($J$2:$J1425)</f>
        <v>25125327.099999968</v>
      </c>
      <c r="N1425" s="2">
        <f>SUM($D$2:$D1425)</f>
        <v>10796.489999999998</v>
      </c>
      <c r="O1425" s="2">
        <f t="shared" si="53"/>
        <v>0.6433996131196078</v>
      </c>
      <c r="P1425" s="2" cm="1">
        <f t="array" ref="P1425">SUMPRODUCT((O1425&gt;$T$9:$T$14)*(O1425&lt;=$U$9:$U$14),$S$9:$S$14)</f>
        <v>5</v>
      </c>
    </row>
    <row r="1426" spans="1:16" x14ac:dyDescent="0.25">
      <c r="A1426">
        <v>1735</v>
      </c>
      <c r="B1426">
        <v>1735</v>
      </c>
      <c r="C1426">
        <v>2243</v>
      </c>
      <c r="D1426">
        <v>0.99</v>
      </c>
      <c r="E1426">
        <v>53660</v>
      </c>
      <c r="F1426">
        <v>18.2</v>
      </c>
      <c r="G1426">
        <v>53660182</v>
      </c>
      <c r="H1426">
        <v>522</v>
      </c>
      <c r="I1426">
        <v>130</v>
      </c>
      <c r="J1426" s="2">
        <f t="shared" si="52"/>
        <v>128.69999999999999</v>
      </c>
      <c r="K1426">
        <v>1425</v>
      </c>
      <c r="L1426" s="3">
        <f>SUM($I$2:$I1426)</f>
        <v>6331490</v>
      </c>
      <c r="M1426" s="3">
        <f>SUM($J$2:$J1426)</f>
        <v>25125455.799999967</v>
      </c>
      <c r="N1426" s="2">
        <f>SUM($D$2:$D1426)</f>
        <v>10797.479999999998</v>
      </c>
      <c r="O1426" s="2">
        <f t="shared" si="53"/>
        <v>0.64345861059165554</v>
      </c>
      <c r="P1426" s="2" cm="1">
        <f t="array" ref="P1426">SUMPRODUCT((O1426&gt;$T$9:$T$14)*(O1426&lt;=$U$9:$U$14),$S$9:$S$14)</f>
        <v>5</v>
      </c>
    </row>
    <row r="1427" spans="1:16" x14ac:dyDescent="0.25">
      <c r="A1427">
        <v>1057</v>
      </c>
      <c r="B1427">
        <v>683</v>
      </c>
      <c r="C1427">
        <v>371</v>
      </c>
      <c r="D1427">
        <v>62.47</v>
      </c>
      <c r="E1427">
        <v>18260</v>
      </c>
      <c r="F1427">
        <v>0</v>
      </c>
      <c r="G1427">
        <v>18260000</v>
      </c>
      <c r="H1427">
        <v>11</v>
      </c>
      <c r="I1427">
        <v>120</v>
      </c>
      <c r="J1427" s="2">
        <f t="shared" si="52"/>
        <v>7496.4</v>
      </c>
      <c r="K1427">
        <v>1426</v>
      </c>
      <c r="L1427" s="3">
        <f>SUM($I$2:$I1427)</f>
        <v>6331610</v>
      </c>
      <c r="M1427" s="3">
        <f>SUM($J$2:$J1427)</f>
        <v>25132952.199999966</v>
      </c>
      <c r="N1427" s="2">
        <f>SUM($D$2:$D1427)</f>
        <v>10859.949999999997</v>
      </c>
      <c r="O1427" s="2">
        <f t="shared" si="53"/>
        <v>0.64718141067127222</v>
      </c>
      <c r="P1427" s="2" cm="1">
        <f t="array" ref="P1427">SUMPRODUCT((O1427&gt;$T$9:$T$14)*(O1427&lt;=$U$9:$U$14),$S$9:$S$14)</f>
        <v>5</v>
      </c>
    </row>
    <row r="1428" spans="1:16" x14ac:dyDescent="0.25">
      <c r="A1428">
        <v>220</v>
      </c>
      <c r="B1428">
        <v>1015</v>
      </c>
      <c r="C1428">
        <v>1821</v>
      </c>
      <c r="D1428">
        <v>60.09</v>
      </c>
      <c r="E1428">
        <v>63500</v>
      </c>
      <c r="F1428">
        <v>0</v>
      </c>
      <c r="G1428">
        <v>63500000</v>
      </c>
      <c r="H1428">
        <v>599</v>
      </c>
      <c r="I1428">
        <v>120</v>
      </c>
      <c r="J1428" s="2">
        <f t="shared" si="52"/>
        <v>7210.8</v>
      </c>
      <c r="K1428">
        <v>1427</v>
      </c>
      <c r="L1428" s="3">
        <f>SUM($I$2:$I1428)</f>
        <v>6331730</v>
      </c>
      <c r="M1428" s="3">
        <f>SUM($J$2:$J1428)</f>
        <v>25140162.999999966</v>
      </c>
      <c r="N1428" s="2">
        <f>SUM($D$2:$D1428)</f>
        <v>10920.039999999997</v>
      </c>
      <c r="O1428" s="2">
        <f t="shared" si="53"/>
        <v>0.65076237844435014</v>
      </c>
      <c r="P1428" s="2" cm="1">
        <f t="array" ref="P1428">SUMPRODUCT((O1428&gt;$T$9:$T$14)*(O1428&lt;=$U$9:$U$14),$S$9:$S$14)</f>
        <v>5</v>
      </c>
    </row>
    <row r="1429" spans="1:16" x14ac:dyDescent="0.25">
      <c r="A1429">
        <v>219</v>
      </c>
      <c r="B1429">
        <v>1014</v>
      </c>
      <c r="C1429">
        <v>1820</v>
      </c>
      <c r="D1429">
        <v>47.33</v>
      </c>
      <c r="E1429">
        <v>63530</v>
      </c>
      <c r="F1429">
        <v>0</v>
      </c>
      <c r="G1429">
        <v>63530000</v>
      </c>
      <c r="H1429">
        <v>599</v>
      </c>
      <c r="I1429">
        <v>120</v>
      </c>
      <c r="J1429" s="2">
        <f t="shared" si="52"/>
        <v>5679.5999999999995</v>
      </c>
      <c r="K1429">
        <v>1428</v>
      </c>
      <c r="L1429" s="3">
        <f>SUM($I$2:$I1429)</f>
        <v>6331850</v>
      </c>
      <c r="M1429" s="3">
        <f>SUM($J$2:$J1429)</f>
        <v>25145842.599999968</v>
      </c>
      <c r="N1429" s="2">
        <f>SUM($D$2:$D1429)</f>
        <v>10967.369999999997</v>
      </c>
      <c r="O1429" s="2">
        <f t="shared" si="53"/>
        <v>0.65358293435547965</v>
      </c>
      <c r="P1429" s="2" cm="1">
        <f t="array" ref="P1429">SUMPRODUCT((O1429&gt;$T$9:$T$14)*(O1429&lt;=$U$9:$U$14),$S$9:$S$14)</f>
        <v>5</v>
      </c>
    </row>
    <row r="1430" spans="1:16" x14ac:dyDescent="0.25">
      <c r="A1430">
        <v>1218</v>
      </c>
      <c r="B1430">
        <v>50</v>
      </c>
      <c r="C1430">
        <v>1110</v>
      </c>
      <c r="D1430">
        <v>23.41</v>
      </c>
      <c r="E1430">
        <v>27990</v>
      </c>
      <c r="F1430">
        <v>0</v>
      </c>
      <c r="G1430">
        <v>27990000</v>
      </c>
      <c r="H1430">
        <v>35</v>
      </c>
      <c r="I1430">
        <v>120</v>
      </c>
      <c r="J1430" s="2">
        <f t="shared" si="52"/>
        <v>2809.2</v>
      </c>
      <c r="K1430">
        <v>1429</v>
      </c>
      <c r="L1430" s="3">
        <f>SUM($I$2:$I1430)</f>
        <v>6331970</v>
      </c>
      <c r="M1430" s="3">
        <f>SUM($J$2:$J1430)</f>
        <v>25148651.799999967</v>
      </c>
      <c r="N1430" s="2">
        <f>SUM($D$2:$D1430)</f>
        <v>10990.779999999997</v>
      </c>
      <c r="O1430" s="2">
        <f t="shared" si="53"/>
        <v>0.65497801599248662</v>
      </c>
      <c r="P1430" s="2" cm="1">
        <f t="array" ref="P1430">SUMPRODUCT((O1430&gt;$T$9:$T$14)*(O1430&lt;=$U$9:$U$14),$S$9:$S$14)</f>
        <v>5</v>
      </c>
    </row>
    <row r="1431" spans="1:16" x14ac:dyDescent="0.25">
      <c r="A1431">
        <v>1253</v>
      </c>
      <c r="B1431">
        <v>85</v>
      </c>
      <c r="C1431">
        <v>1150</v>
      </c>
      <c r="D1431">
        <v>12.35</v>
      </c>
      <c r="E1431">
        <v>41900</v>
      </c>
      <c r="F1431">
        <v>0</v>
      </c>
      <c r="G1431">
        <v>41900000</v>
      </c>
      <c r="H1431">
        <v>112</v>
      </c>
      <c r="I1431">
        <v>120</v>
      </c>
      <c r="J1431" s="2">
        <f t="shared" si="52"/>
        <v>1482</v>
      </c>
      <c r="K1431">
        <v>1430</v>
      </c>
      <c r="L1431" s="3">
        <f>SUM($I$2:$I1431)</f>
        <v>6332090</v>
      </c>
      <c r="M1431" s="3">
        <f>SUM($J$2:$J1431)</f>
        <v>25150133.799999967</v>
      </c>
      <c r="N1431" s="2">
        <f>SUM($D$2:$D1431)</f>
        <v>11003.129999999997</v>
      </c>
      <c r="O1431" s="2">
        <f t="shared" si="53"/>
        <v>0.65571399455793034</v>
      </c>
      <c r="P1431" s="2" cm="1">
        <f t="array" ref="P1431">SUMPRODUCT((O1431&gt;$T$9:$T$14)*(O1431&lt;=$U$9:$U$14),$S$9:$S$14)</f>
        <v>5</v>
      </c>
    </row>
    <row r="1432" spans="1:16" x14ac:dyDescent="0.25">
      <c r="A1432">
        <v>1520</v>
      </c>
      <c r="B1432">
        <v>352</v>
      </c>
      <c r="C1432">
        <v>1492</v>
      </c>
      <c r="D1432">
        <v>8.98</v>
      </c>
      <c r="E1432">
        <v>42650</v>
      </c>
      <c r="F1432">
        <v>0</v>
      </c>
      <c r="G1432">
        <v>42650000</v>
      </c>
      <c r="H1432">
        <v>118</v>
      </c>
      <c r="I1432">
        <v>120</v>
      </c>
      <c r="J1432" s="2">
        <f t="shared" si="52"/>
        <v>1077.6000000000001</v>
      </c>
      <c r="K1432">
        <v>1431</v>
      </c>
      <c r="L1432" s="3">
        <f>SUM($I$2:$I1432)</f>
        <v>6332210</v>
      </c>
      <c r="M1432" s="3">
        <f>SUM($J$2:$J1432)</f>
        <v>25151211.399999969</v>
      </c>
      <c r="N1432" s="2">
        <f>SUM($D$2:$D1432)</f>
        <v>11012.109999999997</v>
      </c>
      <c r="O1432" s="2">
        <f t="shared" si="53"/>
        <v>0.65624914334478734</v>
      </c>
      <c r="P1432" s="2" cm="1">
        <f t="array" ref="P1432">SUMPRODUCT((O1432&gt;$T$9:$T$14)*(O1432&lt;=$U$9:$U$14),$S$9:$S$14)</f>
        <v>5</v>
      </c>
    </row>
    <row r="1433" spans="1:16" x14ac:dyDescent="0.25">
      <c r="A1433">
        <v>224</v>
      </c>
      <c r="B1433">
        <v>1019</v>
      </c>
      <c r="C1433">
        <v>1826</v>
      </c>
      <c r="D1433">
        <v>8.7899999999999991</v>
      </c>
      <c r="E1433">
        <v>63105</v>
      </c>
      <c r="F1433">
        <v>0</v>
      </c>
      <c r="G1433">
        <v>63105000</v>
      </c>
      <c r="H1433">
        <v>596</v>
      </c>
      <c r="I1433">
        <v>120</v>
      </c>
      <c r="J1433" s="2">
        <f t="shared" si="52"/>
        <v>1054.8</v>
      </c>
      <c r="K1433">
        <v>1432</v>
      </c>
      <c r="L1433" s="3">
        <f>SUM($I$2:$I1433)</f>
        <v>6332330</v>
      </c>
      <c r="M1433" s="3">
        <f>SUM($J$2:$J1433)</f>
        <v>25152266.199999969</v>
      </c>
      <c r="N1433" s="2">
        <f>SUM($D$2:$D1433)</f>
        <v>11020.899999999998</v>
      </c>
      <c r="O1433" s="2">
        <f t="shared" si="53"/>
        <v>0.65677296938448382</v>
      </c>
      <c r="P1433" s="2" cm="1">
        <f t="array" ref="P1433">SUMPRODUCT((O1433&gt;$T$9:$T$14)*(O1433&lt;=$U$9:$U$14),$S$9:$S$14)</f>
        <v>5</v>
      </c>
    </row>
    <row r="1434" spans="1:16" x14ac:dyDescent="0.25">
      <c r="A1434">
        <v>345</v>
      </c>
      <c r="B1434">
        <v>1140</v>
      </c>
      <c r="C1434">
        <v>1993</v>
      </c>
      <c r="D1434">
        <v>2.31</v>
      </c>
      <c r="E1434">
        <v>85480</v>
      </c>
      <c r="F1434">
        <v>0</v>
      </c>
      <c r="G1434">
        <v>85480000</v>
      </c>
      <c r="H1434">
        <v>7287</v>
      </c>
      <c r="I1434">
        <v>120</v>
      </c>
      <c r="J1434" s="2">
        <f t="shared" si="52"/>
        <v>277.2</v>
      </c>
      <c r="K1434">
        <v>1433</v>
      </c>
      <c r="L1434" s="3">
        <f>SUM($I$2:$I1434)</f>
        <v>6332450</v>
      </c>
      <c r="M1434" s="3">
        <f>SUM($J$2:$J1434)</f>
        <v>25152543.399999969</v>
      </c>
      <c r="N1434" s="2">
        <f>SUM($D$2:$D1434)</f>
        <v>11023.209999999997</v>
      </c>
      <c r="O1434" s="2">
        <f t="shared" si="53"/>
        <v>0.6569106301525951</v>
      </c>
      <c r="P1434" s="2" cm="1">
        <f t="array" ref="P1434">SUMPRODUCT((O1434&gt;$T$9:$T$14)*(O1434&lt;=$U$9:$U$14),$S$9:$S$14)</f>
        <v>5</v>
      </c>
    </row>
    <row r="1435" spans="1:16" x14ac:dyDescent="0.25">
      <c r="A1435">
        <v>1783</v>
      </c>
      <c r="B1435">
        <v>1783</v>
      </c>
      <c r="C1435">
        <v>0</v>
      </c>
      <c r="D1435">
        <v>1.92</v>
      </c>
      <c r="E1435">
        <v>53690</v>
      </c>
      <c r="F1435">
        <v>0</v>
      </c>
      <c r="G1435">
        <v>53690000</v>
      </c>
      <c r="H1435" t="s">
        <v>18</v>
      </c>
      <c r="I1435">
        <v>120</v>
      </c>
      <c r="J1435" s="2">
        <f t="shared" si="52"/>
        <v>230.39999999999998</v>
      </c>
      <c r="K1435">
        <v>1434</v>
      </c>
      <c r="L1435" s="3">
        <f>SUM($I$2:$I1435)</f>
        <v>6332570</v>
      </c>
      <c r="M1435" s="3">
        <f>SUM($J$2:$J1435)</f>
        <v>25152773.799999967</v>
      </c>
      <c r="N1435" s="2">
        <f>SUM($D$2:$D1435)</f>
        <v>11025.129999999997</v>
      </c>
      <c r="O1435" s="2">
        <f t="shared" si="53"/>
        <v>0.65702504949232399</v>
      </c>
      <c r="P1435" s="2" cm="1">
        <f t="array" ref="P1435">SUMPRODUCT((O1435&gt;$T$9:$T$14)*(O1435&lt;=$U$9:$U$14),$S$9:$S$14)</f>
        <v>5</v>
      </c>
    </row>
    <row r="1436" spans="1:16" x14ac:dyDescent="0.25">
      <c r="A1436">
        <v>1318</v>
      </c>
      <c r="B1436">
        <v>150</v>
      </c>
      <c r="C1436">
        <v>1240</v>
      </c>
      <c r="D1436">
        <v>1.9</v>
      </c>
      <c r="E1436">
        <v>34700</v>
      </c>
      <c r="F1436">
        <v>3.8</v>
      </c>
      <c r="G1436">
        <v>34700038</v>
      </c>
      <c r="H1436">
        <v>66</v>
      </c>
      <c r="I1436">
        <v>120</v>
      </c>
      <c r="J1436" s="2">
        <f t="shared" si="52"/>
        <v>228</v>
      </c>
      <c r="K1436">
        <v>1435</v>
      </c>
      <c r="L1436" s="3">
        <f>SUM($I$2:$I1436)</f>
        <v>6332690</v>
      </c>
      <c r="M1436" s="3">
        <f>SUM($J$2:$J1436)</f>
        <v>25153001.799999967</v>
      </c>
      <c r="N1436" s="2">
        <f>SUM($D$2:$D1436)</f>
        <v>11027.029999999997</v>
      </c>
      <c r="O1436" s="2">
        <f t="shared" si="53"/>
        <v>0.65713827696393068</v>
      </c>
      <c r="P1436" s="2" cm="1">
        <f t="array" ref="P1436">SUMPRODUCT((O1436&gt;$T$9:$T$14)*(O1436&lt;=$U$9:$U$14),$S$9:$S$14)</f>
        <v>5</v>
      </c>
    </row>
    <row r="1437" spans="1:16" x14ac:dyDescent="0.25">
      <c r="A1437">
        <v>1248</v>
      </c>
      <c r="B1437">
        <v>80</v>
      </c>
      <c r="C1437">
        <v>1144</v>
      </c>
      <c r="D1437">
        <v>0.68</v>
      </c>
      <c r="E1437">
        <v>34540</v>
      </c>
      <c r="F1437">
        <v>0</v>
      </c>
      <c r="G1437">
        <v>34540000</v>
      </c>
      <c r="H1437">
        <v>65</v>
      </c>
      <c r="I1437">
        <v>120</v>
      </c>
      <c r="J1437" s="2">
        <f t="shared" si="52"/>
        <v>81.600000000000009</v>
      </c>
      <c r="K1437">
        <v>1436</v>
      </c>
      <c r="L1437" s="3">
        <f>SUM($I$2:$I1437)</f>
        <v>6332810</v>
      </c>
      <c r="M1437" s="3">
        <f>SUM($J$2:$J1437)</f>
        <v>25153083.399999969</v>
      </c>
      <c r="N1437" s="2">
        <f>SUM($D$2:$D1437)</f>
        <v>11027.709999999997</v>
      </c>
      <c r="O1437" s="2">
        <f t="shared" si="53"/>
        <v>0.6571788004800847</v>
      </c>
      <c r="P1437" s="2" cm="1">
        <f t="array" ref="P1437">SUMPRODUCT((O1437&gt;$T$9:$T$14)*(O1437&lt;=$U$9:$U$14),$S$9:$S$14)</f>
        <v>5</v>
      </c>
    </row>
    <row r="1438" spans="1:16" x14ac:dyDescent="0.25">
      <c r="A1438">
        <v>215</v>
      </c>
      <c r="B1438">
        <v>1010</v>
      </c>
      <c r="C1438">
        <v>1813</v>
      </c>
      <c r="D1438">
        <v>0.59</v>
      </c>
      <c r="E1438">
        <v>63610</v>
      </c>
      <c r="F1438">
        <v>0</v>
      </c>
      <c r="G1438">
        <v>63610000</v>
      </c>
      <c r="H1438">
        <v>599</v>
      </c>
      <c r="I1438">
        <v>120</v>
      </c>
      <c r="J1438" s="2">
        <f t="shared" si="52"/>
        <v>70.8</v>
      </c>
      <c r="K1438">
        <v>1437</v>
      </c>
      <c r="L1438" s="3">
        <f>SUM($I$2:$I1438)</f>
        <v>6332930</v>
      </c>
      <c r="M1438" s="3">
        <f>SUM($J$2:$J1438)</f>
        <v>25153154.199999969</v>
      </c>
      <c r="N1438" s="2">
        <f>SUM($D$2:$D1438)</f>
        <v>11028.299999999997</v>
      </c>
      <c r="O1438" s="2">
        <f t="shared" si="53"/>
        <v>0.65721396058968895</v>
      </c>
      <c r="P1438" s="2" cm="1">
        <f t="array" ref="P1438">SUMPRODUCT((O1438&gt;$T$9:$T$14)*(O1438&lt;=$U$9:$U$14),$S$9:$S$14)</f>
        <v>5</v>
      </c>
    </row>
    <row r="1439" spans="1:16" x14ac:dyDescent="0.25">
      <c r="A1439">
        <v>279</v>
      </c>
      <c r="B1439">
        <v>1074</v>
      </c>
      <c r="C1439">
        <v>1900</v>
      </c>
      <c r="D1439">
        <v>69.86</v>
      </c>
      <c r="E1439">
        <v>68038</v>
      </c>
      <c r="F1439">
        <v>0</v>
      </c>
      <c r="G1439">
        <v>68038000</v>
      </c>
      <c r="H1439">
        <v>631</v>
      </c>
      <c r="I1439">
        <v>110</v>
      </c>
      <c r="J1439" s="2">
        <f t="shared" si="52"/>
        <v>7684.6</v>
      </c>
      <c r="K1439">
        <v>1438</v>
      </c>
      <c r="L1439" s="3">
        <f>SUM($I$2:$I1439)</f>
        <v>6333040</v>
      </c>
      <c r="M1439" s="3">
        <f>SUM($J$2:$J1439)</f>
        <v>25160838.799999971</v>
      </c>
      <c r="N1439" s="2">
        <f>SUM($D$2:$D1439)</f>
        <v>11098.159999999998</v>
      </c>
      <c r="O1439" s="2">
        <f t="shared" si="53"/>
        <v>0.66137715594044977</v>
      </c>
      <c r="P1439" s="2" cm="1">
        <f t="array" ref="P1439">SUMPRODUCT((O1439&gt;$T$9:$T$14)*(O1439&lt;=$U$9:$U$14),$S$9:$S$14)</f>
        <v>5</v>
      </c>
    </row>
    <row r="1440" spans="1:16" x14ac:dyDescent="0.25">
      <c r="A1440">
        <v>343</v>
      </c>
      <c r="B1440">
        <v>1138</v>
      </c>
      <c r="C1440">
        <v>1982</v>
      </c>
      <c r="D1440">
        <v>17.61</v>
      </c>
      <c r="E1440">
        <v>70801</v>
      </c>
      <c r="F1440">
        <v>0</v>
      </c>
      <c r="G1440">
        <v>70801000</v>
      </c>
      <c r="H1440">
        <v>652</v>
      </c>
      <c r="I1440">
        <v>110</v>
      </c>
      <c r="J1440" s="2">
        <f t="shared" si="52"/>
        <v>1937.1</v>
      </c>
      <c r="K1440">
        <v>1439</v>
      </c>
      <c r="L1440" s="3">
        <f>SUM($I$2:$I1440)</f>
        <v>6333150</v>
      </c>
      <c r="M1440" s="3">
        <f>SUM($J$2:$J1440)</f>
        <v>25162775.899999972</v>
      </c>
      <c r="N1440" s="2">
        <f>SUM($D$2:$D1440)</f>
        <v>11115.769999999999</v>
      </c>
      <c r="O1440" s="2">
        <f t="shared" si="53"/>
        <v>0.66242659582202579</v>
      </c>
      <c r="P1440" s="2" cm="1">
        <f t="array" ref="P1440">SUMPRODUCT((O1440&gt;$T$9:$T$14)*(O1440&lt;=$U$9:$U$14),$S$9:$S$14)</f>
        <v>5</v>
      </c>
    </row>
    <row r="1441" spans="1:16" x14ac:dyDescent="0.25">
      <c r="A1441">
        <v>211</v>
      </c>
      <c r="B1441">
        <v>1006</v>
      </c>
      <c r="C1441">
        <v>1805</v>
      </c>
      <c r="D1441">
        <v>13.63</v>
      </c>
      <c r="E1441">
        <v>64300</v>
      </c>
      <c r="F1441">
        <v>1.6</v>
      </c>
      <c r="G1441">
        <v>64300016</v>
      </c>
      <c r="H1441">
        <v>601</v>
      </c>
      <c r="I1441">
        <v>110</v>
      </c>
      <c r="J1441" s="2">
        <f t="shared" si="52"/>
        <v>1499.3000000000002</v>
      </c>
      <c r="K1441">
        <v>1440</v>
      </c>
      <c r="L1441" s="3">
        <f>SUM($I$2:$I1441)</f>
        <v>6333260</v>
      </c>
      <c r="M1441" s="3">
        <f>SUM($J$2:$J1441)</f>
        <v>25164275.199999973</v>
      </c>
      <c r="N1441" s="2">
        <f>SUM($D$2:$D1441)</f>
        <v>11129.399999999998</v>
      </c>
      <c r="O1441" s="2">
        <f t="shared" si="53"/>
        <v>0.66323885394728865</v>
      </c>
      <c r="P1441" s="2" cm="1">
        <f t="array" ref="P1441">SUMPRODUCT((O1441&gt;$T$9:$T$14)*(O1441&lt;=$U$9:$U$14),$S$9:$S$14)</f>
        <v>5</v>
      </c>
    </row>
    <row r="1442" spans="1:16" x14ac:dyDescent="0.25">
      <c r="A1442">
        <v>135</v>
      </c>
      <c r="B1442">
        <v>931</v>
      </c>
      <c r="C1442">
        <v>1693</v>
      </c>
      <c r="D1442">
        <v>12.36</v>
      </c>
      <c r="E1442">
        <v>53040</v>
      </c>
      <c r="F1442">
        <v>0</v>
      </c>
      <c r="G1442">
        <v>53040000</v>
      </c>
      <c r="H1442">
        <v>518</v>
      </c>
      <c r="I1442">
        <v>110</v>
      </c>
      <c r="J1442" s="2">
        <f t="shared" si="52"/>
        <v>1359.6</v>
      </c>
      <c r="K1442">
        <v>1441</v>
      </c>
      <c r="L1442" s="3">
        <f>SUM($I$2:$I1442)</f>
        <v>6333370</v>
      </c>
      <c r="M1442" s="3">
        <f>SUM($J$2:$J1442)</f>
        <v>25165634.799999975</v>
      </c>
      <c r="N1442" s="2">
        <f>SUM($D$2:$D1442)</f>
        <v>11141.759999999998</v>
      </c>
      <c r="O1442" s="2">
        <f t="shared" si="53"/>
        <v>0.66397542844679347</v>
      </c>
      <c r="P1442" s="2" cm="1">
        <f t="array" ref="P1442">SUMPRODUCT((O1442&gt;$T$9:$T$14)*(O1442&lt;=$U$9:$U$14),$S$9:$S$14)</f>
        <v>5</v>
      </c>
    </row>
    <row r="1443" spans="1:16" x14ac:dyDescent="0.25">
      <c r="A1443">
        <v>237</v>
      </c>
      <c r="B1443">
        <v>1032</v>
      </c>
      <c r="C1443">
        <v>1846</v>
      </c>
      <c r="D1443">
        <v>9.51</v>
      </c>
      <c r="E1443">
        <v>62210</v>
      </c>
      <c r="F1443">
        <v>0</v>
      </c>
      <c r="G1443">
        <v>62210000</v>
      </c>
      <c r="H1443">
        <v>589</v>
      </c>
      <c r="I1443">
        <v>110</v>
      </c>
      <c r="J1443" s="2">
        <f t="shared" si="52"/>
        <v>1046.0999999999999</v>
      </c>
      <c r="K1443">
        <v>1442</v>
      </c>
      <c r="L1443" s="3">
        <f>SUM($I$2:$I1443)</f>
        <v>6333480</v>
      </c>
      <c r="M1443" s="3">
        <f>SUM($J$2:$J1443)</f>
        <v>25166680.899999976</v>
      </c>
      <c r="N1443" s="2">
        <f>SUM($D$2:$D1443)</f>
        <v>11151.269999999999</v>
      </c>
      <c r="O1443" s="2">
        <f t="shared" si="53"/>
        <v>0.66454216173888825</v>
      </c>
      <c r="P1443" s="2" cm="1">
        <f t="array" ref="P1443">SUMPRODUCT((O1443&gt;$T$9:$T$14)*(O1443&lt;=$U$9:$U$14),$S$9:$S$14)</f>
        <v>5</v>
      </c>
    </row>
    <row r="1444" spans="1:16" x14ac:dyDescent="0.25">
      <c r="A1444">
        <v>1691</v>
      </c>
      <c r="B1444">
        <v>1691</v>
      </c>
      <c r="C1444">
        <v>2193</v>
      </c>
      <c r="D1444">
        <v>4.68</v>
      </c>
      <c r="E1444">
        <v>56000</v>
      </c>
      <c r="F1444">
        <v>0</v>
      </c>
      <c r="G1444">
        <v>56000000</v>
      </c>
      <c r="H1444" t="s">
        <v>17</v>
      </c>
      <c r="I1444">
        <v>110</v>
      </c>
      <c r="J1444" s="2">
        <f t="shared" si="52"/>
        <v>514.79999999999995</v>
      </c>
      <c r="K1444">
        <v>1443</v>
      </c>
      <c r="L1444" s="3">
        <f>SUM($I$2:$I1444)</f>
        <v>6333590</v>
      </c>
      <c r="M1444" s="3">
        <f>SUM($J$2:$J1444)</f>
        <v>25167195.699999977</v>
      </c>
      <c r="N1444" s="2">
        <f>SUM($D$2:$D1444)</f>
        <v>11155.949999999999</v>
      </c>
      <c r="O1444" s="2">
        <f t="shared" si="53"/>
        <v>0.6648210588794774</v>
      </c>
      <c r="P1444" s="2" cm="1">
        <f t="array" ref="P1444">SUMPRODUCT((O1444&gt;$T$9:$T$14)*(O1444&lt;=$U$9:$U$14),$S$9:$S$14)</f>
        <v>5</v>
      </c>
    </row>
    <row r="1445" spans="1:16" x14ac:dyDescent="0.25">
      <c r="A1445">
        <v>177</v>
      </c>
      <c r="B1445">
        <v>973</v>
      </c>
      <c r="C1445">
        <v>1756</v>
      </c>
      <c r="D1445">
        <v>4.43</v>
      </c>
      <c r="E1445">
        <v>58100</v>
      </c>
      <c r="F1445">
        <v>0</v>
      </c>
      <c r="G1445">
        <v>58100000</v>
      </c>
      <c r="H1445">
        <v>556</v>
      </c>
      <c r="I1445">
        <v>110</v>
      </c>
      <c r="J1445" s="2">
        <f t="shared" si="52"/>
        <v>487.29999999999995</v>
      </c>
      <c r="K1445">
        <v>1444</v>
      </c>
      <c r="L1445" s="3">
        <f>SUM($I$2:$I1445)</f>
        <v>6333700</v>
      </c>
      <c r="M1445" s="3">
        <f>SUM($J$2:$J1445)</f>
        <v>25167682.999999978</v>
      </c>
      <c r="N1445" s="2">
        <f>SUM($D$2:$D1445)</f>
        <v>11160.38</v>
      </c>
      <c r="O1445" s="2">
        <f t="shared" si="53"/>
        <v>0.66508505766853943</v>
      </c>
      <c r="P1445" s="2" cm="1">
        <f t="array" ref="P1445">SUMPRODUCT((O1445&gt;$T$9:$T$14)*(O1445&lt;=$U$9:$U$14),$S$9:$S$14)</f>
        <v>5</v>
      </c>
    </row>
    <row r="1446" spans="1:16" x14ac:dyDescent="0.25">
      <c r="A1446">
        <v>1780</v>
      </c>
      <c r="B1446">
        <v>1780</v>
      </c>
      <c r="C1446">
        <v>0</v>
      </c>
      <c r="D1446">
        <v>3.76</v>
      </c>
      <c r="E1446">
        <v>98100</v>
      </c>
      <c r="F1446">
        <v>0</v>
      </c>
      <c r="G1446">
        <v>98100000</v>
      </c>
      <c r="H1446">
        <v>7909</v>
      </c>
      <c r="I1446">
        <v>110</v>
      </c>
      <c r="J1446" s="2">
        <f t="shared" si="52"/>
        <v>413.59999999999997</v>
      </c>
      <c r="K1446">
        <v>1445</v>
      </c>
      <c r="L1446" s="3">
        <f>SUM($I$2:$I1446)</f>
        <v>6333810</v>
      </c>
      <c r="M1446" s="3">
        <f>SUM($J$2:$J1446)</f>
        <v>25168096.599999979</v>
      </c>
      <c r="N1446" s="2">
        <f>SUM($D$2:$D1446)</f>
        <v>11164.14</v>
      </c>
      <c r="O1446" s="2">
        <f t="shared" si="53"/>
        <v>0.66530912887550853</v>
      </c>
      <c r="P1446" s="2" cm="1">
        <f t="array" ref="P1446">SUMPRODUCT((O1446&gt;$T$9:$T$14)*(O1446&lt;=$U$9:$U$14),$S$9:$S$14)</f>
        <v>5</v>
      </c>
    </row>
    <row r="1447" spans="1:16" x14ac:dyDescent="0.25">
      <c r="A1447">
        <v>962</v>
      </c>
      <c r="B1447">
        <v>588</v>
      </c>
      <c r="C1447">
        <v>250</v>
      </c>
      <c r="D1447">
        <v>1.5</v>
      </c>
      <c r="E1447">
        <v>26405</v>
      </c>
      <c r="F1447">
        <v>0</v>
      </c>
      <c r="G1447">
        <v>26405000</v>
      </c>
      <c r="H1447">
        <v>28</v>
      </c>
      <c r="I1447">
        <v>110</v>
      </c>
      <c r="J1447" s="2">
        <f t="shared" si="52"/>
        <v>165</v>
      </c>
      <c r="K1447">
        <v>1446</v>
      </c>
      <c r="L1447" s="3">
        <f>SUM($I$2:$I1447)</f>
        <v>6333920</v>
      </c>
      <c r="M1447" s="3">
        <f>SUM($J$2:$J1447)</f>
        <v>25168261.599999979</v>
      </c>
      <c r="N1447" s="2">
        <f>SUM($D$2:$D1447)</f>
        <v>11165.64</v>
      </c>
      <c r="O1447" s="2">
        <f t="shared" si="53"/>
        <v>0.66539851898467173</v>
      </c>
      <c r="P1447" s="2" cm="1">
        <f t="array" ref="P1447">SUMPRODUCT((O1447&gt;$T$9:$T$14)*(O1447&lt;=$U$9:$U$14),$S$9:$S$14)</f>
        <v>5</v>
      </c>
    </row>
    <row r="1448" spans="1:16" x14ac:dyDescent="0.25">
      <c r="A1448">
        <v>151</v>
      </c>
      <c r="B1448">
        <v>947</v>
      </c>
      <c r="C1448">
        <v>1720</v>
      </c>
      <c r="D1448">
        <v>1.29</v>
      </c>
      <c r="E1448">
        <v>59810</v>
      </c>
      <c r="F1448">
        <v>0</v>
      </c>
      <c r="G1448">
        <v>59810000</v>
      </c>
      <c r="H1448">
        <v>571</v>
      </c>
      <c r="I1448">
        <v>110</v>
      </c>
      <c r="J1448" s="2">
        <f t="shared" si="52"/>
        <v>141.9</v>
      </c>
      <c r="K1448">
        <v>1447</v>
      </c>
      <c r="L1448" s="3">
        <f>SUM($I$2:$I1448)</f>
        <v>6334030</v>
      </c>
      <c r="M1448" s="3">
        <f>SUM($J$2:$J1448)</f>
        <v>25168403.499999978</v>
      </c>
      <c r="N1448" s="2">
        <f>SUM($D$2:$D1448)</f>
        <v>11166.93</v>
      </c>
      <c r="O1448" s="2">
        <f t="shared" si="53"/>
        <v>0.6654753944785522</v>
      </c>
      <c r="P1448" s="2" cm="1">
        <f t="array" ref="P1448">SUMPRODUCT((O1448&gt;$T$9:$T$14)*(O1448&lt;=$U$9:$U$14),$S$9:$S$14)</f>
        <v>5</v>
      </c>
    </row>
    <row r="1449" spans="1:16" x14ac:dyDescent="0.25">
      <c r="A1449">
        <v>1713</v>
      </c>
      <c r="B1449">
        <v>1713</v>
      </c>
      <c r="C1449">
        <v>2218</v>
      </c>
      <c r="D1449">
        <v>0.2</v>
      </c>
      <c r="E1449">
        <v>55000</v>
      </c>
      <c r="F1449">
        <v>0</v>
      </c>
      <c r="G1449">
        <v>55000000</v>
      </c>
      <c r="H1449">
        <v>534</v>
      </c>
      <c r="I1449">
        <v>110</v>
      </c>
      <c r="J1449" s="2">
        <f t="shared" si="52"/>
        <v>22</v>
      </c>
      <c r="K1449">
        <v>1448</v>
      </c>
      <c r="L1449" s="3">
        <f>SUM($I$2:$I1449)</f>
        <v>6334140</v>
      </c>
      <c r="M1449" s="3">
        <f>SUM($J$2:$J1449)</f>
        <v>25168425.499999978</v>
      </c>
      <c r="N1449" s="2">
        <f>SUM($D$2:$D1449)</f>
        <v>11167.130000000001</v>
      </c>
      <c r="O1449" s="2">
        <f t="shared" si="53"/>
        <v>0.66548731315977394</v>
      </c>
      <c r="P1449" s="2" cm="1">
        <f t="array" ref="P1449">SUMPRODUCT((O1449&gt;$T$9:$T$14)*(O1449&lt;=$U$9:$U$14),$S$9:$S$14)</f>
        <v>5</v>
      </c>
    </row>
    <row r="1450" spans="1:16" x14ac:dyDescent="0.25">
      <c r="A1450">
        <v>1294</v>
      </c>
      <c r="B1450">
        <v>126</v>
      </c>
      <c r="C1450">
        <v>1212</v>
      </c>
      <c r="D1450">
        <v>45.65</v>
      </c>
      <c r="E1450">
        <v>40410</v>
      </c>
      <c r="F1450">
        <v>0</v>
      </c>
      <c r="G1450">
        <v>40410000</v>
      </c>
      <c r="H1450">
        <v>101</v>
      </c>
      <c r="I1450">
        <v>100</v>
      </c>
      <c r="J1450" s="2">
        <f t="shared" si="52"/>
        <v>4565</v>
      </c>
      <c r="K1450">
        <v>1449</v>
      </c>
      <c r="L1450" s="3">
        <f>SUM($I$2:$I1450)</f>
        <v>6334240</v>
      </c>
      <c r="M1450" s="3">
        <f>SUM($J$2:$J1450)</f>
        <v>25172990.499999978</v>
      </c>
      <c r="N1450" s="2">
        <f>SUM($D$2:$D1450)</f>
        <v>11212.78</v>
      </c>
      <c r="O1450" s="2">
        <f t="shared" si="53"/>
        <v>0.6682077521486407</v>
      </c>
      <c r="P1450" s="2" cm="1">
        <f t="array" ref="P1450">SUMPRODUCT((O1450&gt;$T$9:$T$14)*(O1450&lt;=$U$9:$U$14),$S$9:$S$14)</f>
        <v>5</v>
      </c>
    </row>
    <row r="1451" spans="1:16" x14ac:dyDescent="0.25">
      <c r="A1451">
        <v>1293</v>
      </c>
      <c r="B1451">
        <v>125</v>
      </c>
      <c r="C1451">
        <v>1211</v>
      </c>
      <c r="D1451">
        <v>44.27</v>
      </c>
      <c r="E1451">
        <v>40480</v>
      </c>
      <c r="F1451">
        <v>0</v>
      </c>
      <c r="G1451">
        <v>40480000</v>
      </c>
      <c r="H1451">
        <v>101</v>
      </c>
      <c r="I1451">
        <v>100</v>
      </c>
      <c r="J1451" s="2">
        <f t="shared" si="52"/>
        <v>4427</v>
      </c>
      <c r="K1451">
        <v>1450</v>
      </c>
      <c r="L1451" s="3">
        <f>SUM($I$2:$I1451)</f>
        <v>6334340</v>
      </c>
      <c r="M1451" s="3">
        <f>SUM($J$2:$J1451)</f>
        <v>25177417.499999978</v>
      </c>
      <c r="N1451" s="2">
        <f>SUM($D$2:$D1451)</f>
        <v>11257.050000000001</v>
      </c>
      <c r="O1451" s="2">
        <f t="shared" si="53"/>
        <v>0.67084595223707733</v>
      </c>
      <c r="P1451" s="2" cm="1">
        <f t="array" ref="P1451">SUMPRODUCT((O1451&gt;$T$9:$T$14)*(O1451&lt;=$U$9:$U$14),$S$9:$S$14)</f>
        <v>5</v>
      </c>
    </row>
    <row r="1452" spans="1:16" x14ac:dyDescent="0.25">
      <c r="A1452">
        <v>1708</v>
      </c>
      <c r="B1452">
        <v>1708</v>
      </c>
      <c r="C1452">
        <v>2213</v>
      </c>
      <c r="D1452">
        <v>37.4</v>
      </c>
      <c r="E1452">
        <v>55100</v>
      </c>
      <c r="F1452">
        <v>0</v>
      </c>
      <c r="G1452">
        <v>55100000</v>
      </c>
      <c r="H1452">
        <v>535</v>
      </c>
      <c r="I1452">
        <v>100</v>
      </c>
      <c r="J1452" s="2">
        <f t="shared" si="52"/>
        <v>3740</v>
      </c>
      <c r="K1452">
        <v>1451</v>
      </c>
      <c r="L1452" s="3">
        <f>SUM($I$2:$I1452)</f>
        <v>6334440</v>
      </c>
      <c r="M1452" s="3">
        <f>SUM($J$2:$J1452)</f>
        <v>25181157.499999978</v>
      </c>
      <c r="N1452" s="2">
        <f>SUM($D$2:$D1452)</f>
        <v>11294.45</v>
      </c>
      <c r="O1452" s="2">
        <f t="shared" si="53"/>
        <v>0.67307474562554648</v>
      </c>
      <c r="P1452" s="2" cm="1">
        <f t="array" ref="P1452">SUMPRODUCT((O1452&gt;$T$9:$T$14)*(O1452&lt;=$U$9:$U$14),$S$9:$S$14)</f>
        <v>5</v>
      </c>
    </row>
    <row r="1453" spans="1:16" x14ac:dyDescent="0.25">
      <c r="A1453">
        <v>1380</v>
      </c>
      <c r="B1453">
        <v>212</v>
      </c>
      <c r="C1453">
        <v>1323</v>
      </c>
      <c r="D1453">
        <v>32.909999999999997</v>
      </c>
      <c r="E1453">
        <v>34590</v>
      </c>
      <c r="F1453">
        <v>0</v>
      </c>
      <c r="G1453">
        <v>34590000</v>
      </c>
      <c r="H1453">
        <v>65</v>
      </c>
      <c r="I1453">
        <v>100</v>
      </c>
      <c r="J1453" s="2">
        <f t="shared" si="52"/>
        <v>3290.9999999999995</v>
      </c>
      <c r="K1453">
        <v>1452</v>
      </c>
      <c r="L1453" s="3">
        <f>SUM($I$2:$I1453)</f>
        <v>6334540</v>
      </c>
      <c r="M1453" s="3">
        <f>SUM($J$2:$J1453)</f>
        <v>25184448.499999978</v>
      </c>
      <c r="N1453" s="2">
        <f>SUM($D$2:$D1453)</f>
        <v>11327.36</v>
      </c>
      <c r="O1453" s="2">
        <f t="shared" si="53"/>
        <v>0.67503596462058713</v>
      </c>
      <c r="P1453" s="2" cm="1">
        <f t="array" ref="P1453">SUMPRODUCT((O1453&gt;$T$9:$T$14)*(O1453&lt;=$U$9:$U$14),$S$9:$S$14)</f>
        <v>5</v>
      </c>
    </row>
    <row r="1454" spans="1:16" x14ac:dyDescent="0.25">
      <c r="A1454">
        <v>303</v>
      </c>
      <c r="B1454">
        <v>1098</v>
      </c>
      <c r="C1454">
        <v>1932</v>
      </c>
      <c r="D1454">
        <v>29.25</v>
      </c>
      <c r="E1454">
        <v>65710</v>
      </c>
      <c r="F1454">
        <v>0</v>
      </c>
      <c r="G1454">
        <v>65710000</v>
      </c>
      <c r="H1454">
        <v>613</v>
      </c>
      <c r="I1454">
        <v>100</v>
      </c>
      <c r="J1454" s="2">
        <f t="shared" si="52"/>
        <v>2925</v>
      </c>
      <c r="K1454">
        <v>1453</v>
      </c>
      <c r="L1454" s="3">
        <f>SUM($I$2:$I1454)</f>
        <v>6334640</v>
      </c>
      <c r="M1454" s="3">
        <f>SUM($J$2:$J1454)</f>
        <v>25187373.499999978</v>
      </c>
      <c r="N1454" s="2">
        <f>SUM($D$2:$D1454)</f>
        <v>11356.61</v>
      </c>
      <c r="O1454" s="2">
        <f t="shared" si="53"/>
        <v>0.67677907174926955</v>
      </c>
      <c r="P1454" s="2" cm="1">
        <f t="array" ref="P1454">SUMPRODUCT((O1454&gt;$T$9:$T$14)*(O1454&lt;=$U$9:$U$14),$S$9:$S$14)</f>
        <v>5</v>
      </c>
    </row>
    <row r="1455" spans="1:16" x14ac:dyDescent="0.25">
      <c r="A1455">
        <v>705</v>
      </c>
      <c r="B1455">
        <v>1492</v>
      </c>
      <c r="C1455">
        <v>944</v>
      </c>
      <c r="D1455">
        <v>16.93</v>
      </c>
      <c r="E1455">
        <v>26415</v>
      </c>
      <c r="F1455">
        <v>0</v>
      </c>
      <c r="G1455">
        <v>26415000</v>
      </c>
      <c r="H1455">
        <v>28</v>
      </c>
      <c r="I1455">
        <v>100</v>
      </c>
      <c r="J1455" s="2">
        <f t="shared" si="52"/>
        <v>1693</v>
      </c>
      <c r="K1455">
        <v>1454</v>
      </c>
      <c r="L1455" s="3">
        <f>SUM($I$2:$I1455)</f>
        <v>6334740</v>
      </c>
      <c r="M1455" s="3">
        <f>SUM($J$2:$J1455)</f>
        <v>25189066.499999978</v>
      </c>
      <c r="N1455" s="2">
        <f>SUM($D$2:$D1455)</f>
        <v>11373.54</v>
      </c>
      <c r="O1455" s="2">
        <f t="shared" si="53"/>
        <v>0.67778798811469154</v>
      </c>
      <c r="P1455" s="2" cm="1">
        <f t="array" ref="P1455">SUMPRODUCT((O1455&gt;$T$9:$T$14)*(O1455&lt;=$U$9:$U$14),$S$9:$S$14)</f>
        <v>5</v>
      </c>
    </row>
    <row r="1456" spans="1:16" x14ac:dyDescent="0.25">
      <c r="A1456">
        <v>1323</v>
      </c>
      <c r="B1456">
        <v>155</v>
      </c>
      <c r="C1456">
        <v>1247</v>
      </c>
      <c r="D1456">
        <v>14.18</v>
      </c>
      <c r="E1456">
        <v>40475</v>
      </c>
      <c r="F1456">
        <v>0</v>
      </c>
      <c r="G1456">
        <v>40475000</v>
      </c>
      <c r="H1456">
        <v>101</v>
      </c>
      <c r="I1456">
        <v>100</v>
      </c>
      <c r="J1456" s="2">
        <f t="shared" si="52"/>
        <v>1418</v>
      </c>
      <c r="K1456">
        <v>1455</v>
      </c>
      <c r="L1456" s="3">
        <f>SUM($I$2:$I1456)</f>
        <v>6334840</v>
      </c>
      <c r="M1456" s="3">
        <f>SUM($J$2:$J1456)</f>
        <v>25190484.499999978</v>
      </c>
      <c r="N1456" s="2">
        <f>SUM($D$2:$D1456)</f>
        <v>11387.720000000001</v>
      </c>
      <c r="O1456" s="2">
        <f t="shared" si="53"/>
        <v>0.67863302261331437</v>
      </c>
      <c r="P1456" s="2" cm="1">
        <f t="array" ref="P1456">SUMPRODUCT((O1456&gt;$T$9:$T$14)*(O1456&lt;=$U$9:$U$14),$S$9:$S$14)</f>
        <v>5</v>
      </c>
    </row>
    <row r="1457" spans="1:16" x14ac:dyDescent="0.25">
      <c r="A1457">
        <v>1701</v>
      </c>
      <c r="B1457">
        <v>1701</v>
      </c>
      <c r="C1457">
        <v>2204</v>
      </c>
      <c r="D1457">
        <v>13.7</v>
      </c>
      <c r="E1457">
        <v>55510</v>
      </c>
      <c r="F1457">
        <v>0</v>
      </c>
      <c r="G1457">
        <v>55510000</v>
      </c>
      <c r="H1457">
        <v>539</v>
      </c>
      <c r="I1457">
        <v>100</v>
      </c>
      <c r="J1457" s="2">
        <f t="shared" si="52"/>
        <v>1370</v>
      </c>
      <c r="K1457">
        <v>1456</v>
      </c>
      <c r="L1457" s="3">
        <f>SUM($I$2:$I1457)</f>
        <v>6334940</v>
      </c>
      <c r="M1457" s="3">
        <f>SUM($J$2:$J1457)</f>
        <v>25191854.499999978</v>
      </c>
      <c r="N1457" s="2">
        <f>SUM($D$2:$D1457)</f>
        <v>11401.420000000002</v>
      </c>
      <c r="O1457" s="2">
        <f t="shared" si="53"/>
        <v>0.67944945227700493</v>
      </c>
      <c r="P1457" s="2" cm="1">
        <f t="array" ref="P1457">SUMPRODUCT((O1457&gt;$T$9:$T$14)*(O1457&lt;=$U$9:$U$14),$S$9:$S$14)</f>
        <v>5</v>
      </c>
    </row>
    <row r="1458" spans="1:16" x14ac:dyDescent="0.25">
      <c r="A1458">
        <v>184</v>
      </c>
      <c r="B1458">
        <v>979</v>
      </c>
      <c r="C1458">
        <v>1765</v>
      </c>
      <c r="D1458">
        <v>11.19</v>
      </c>
      <c r="E1458">
        <v>57620</v>
      </c>
      <c r="F1458">
        <v>0</v>
      </c>
      <c r="G1458">
        <v>57620000</v>
      </c>
      <c r="H1458">
        <v>551</v>
      </c>
      <c r="I1458">
        <v>100</v>
      </c>
      <c r="J1458" s="2">
        <f t="shared" si="52"/>
        <v>1119</v>
      </c>
      <c r="K1458">
        <v>1457</v>
      </c>
      <c r="L1458" s="3">
        <f>SUM($I$2:$I1458)</f>
        <v>6335040</v>
      </c>
      <c r="M1458" s="3">
        <f>SUM($J$2:$J1458)</f>
        <v>25192973.499999978</v>
      </c>
      <c r="N1458" s="2">
        <f>SUM($D$2:$D1458)</f>
        <v>11412.610000000002</v>
      </c>
      <c r="O1458" s="2">
        <f t="shared" si="53"/>
        <v>0.68011630249136246</v>
      </c>
      <c r="P1458" s="2" cm="1">
        <f t="array" ref="P1458">SUMPRODUCT((O1458&gt;$T$9:$T$14)*(O1458&lt;=$U$9:$U$14),$S$9:$S$14)</f>
        <v>5</v>
      </c>
    </row>
    <row r="1459" spans="1:16" x14ac:dyDescent="0.25">
      <c r="A1459">
        <v>1688</v>
      </c>
      <c r="B1459">
        <v>1688</v>
      </c>
      <c r="C1459">
        <v>2188</v>
      </c>
      <c r="D1459">
        <v>10.11</v>
      </c>
      <c r="E1459">
        <v>56330</v>
      </c>
      <c r="F1459">
        <v>0</v>
      </c>
      <c r="G1459">
        <v>56330000</v>
      </c>
      <c r="H1459">
        <v>542</v>
      </c>
      <c r="I1459">
        <v>100</v>
      </c>
      <c r="J1459" s="2">
        <f t="shared" si="52"/>
        <v>1011</v>
      </c>
      <c r="K1459">
        <v>1458</v>
      </c>
      <c r="L1459" s="3">
        <f>SUM($I$2:$I1459)</f>
        <v>6335140</v>
      </c>
      <c r="M1459" s="3">
        <f>SUM($J$2:$J1459)</f>
        <v>25193984.499999978</v>
      </c>
      <c r="N1459" s="2">
        <f>SUM($D$2:$D1459)</f>
        <v>11422.720000000003</v>
      </c>
      <c r="O1459" s="2">
        <f t="shared" si="53"/>
        <v>0.68071879182712247</v>
      </c>
      <c r="P1459" s="2" cm="1">
        <f t="array" ref="P1459">SUMPRODUCT((O1459&gt;$T$9:$T$14)*(O1459&lt;=$U$9:$U$14),$S$9:$S$14)</f>
        <v>5</v>
      </c>
    </row>
    <row r="1460" spans="1:16" x14ac:dyDescent="0.25">
      <c r="A1460">
        <v>745</v>
      </c>
      <c r="B1460">
        <v>1532</v>
      </c>
      <c r="C1460">
        <v>995</v>
      </c>
      <c r="D1460">
        <v>9.5399999999999991</v>
      </c>
      <c r="E1460">
        <v>33315</v>
      </c>
      <c r="F1460">
        <v>0</v>
      </c>
      <c r="G1460">
        <v>33315000</v>
      </c>
      <c r="H1460">
        <v>60</v>
      </c>
      <c r="I1460">
        <v>100</v>
      </c>
      <c r="J1460" s="2">
        <f t="shared" si="52"/>
        <v>953.99999999999989</v>
      </c>
      <c r="K1460">
        <v>1459</v>
      </c>
      <c r="L1460" s="3">
        <f>SUM($I$2:$I1460)</f>
        <v>6335240</v>
      </c>
      <c r="M1460" s="3">
        <f>SUM($J$2:$J1460)</f>
        <v>25194938.499999978</v>
      </c>
      <c r="N1460" s="2">
        <f>SUM($D$2:$D1460)</f>
        <v>11432.260000000004</v>
      </c>
      <c r="O1460" s="2">
        <f t="shared" si="53"/>
        <v>0.68128731292140055</v>
      </c>
      <c r="P1460" s="2" cm="1">
        <f t="array" ref="P1460">SUMPRODUCT((O1460&gt;$T$9:$T$14)*(O1460&lt;=$U$9:$U$14),$S$9:$S$14)</f>
        <v>5</v>
      </c>
    </row>
    <row r="1461" spans="1:16" x14ac:dyDescent="0.25">
      <c r="A1461">
        <v>654</v>
      </c>
      <c r="B1461">
        <v>1441</v>
      </c>
      <c r="C1461">
        <v>885</v>
      </c>
      <c r="D1461">
        <v>6.9</v>
      </c>
      <c r="E1461">
        <v>27330</v>
      </c>
      <c r="F1461">
        <v>4.5</v>
      </c>
      <c r="G1461">
        <v>27330045</v>
      </c>
      <c r="H1461">
        <v>33</v>
      </c>
      <c r="I1461">
        <v>100</v>
      </c>
      <c r="J1461" s="2">
        <f t="shared" si="52"/>
        <v>690</v>
      </c>
      <c r="K1461">
        <v>1460</v>
      </c>
      <c r="L1461" s="3">
        <f>SUM($I$2:$I1461)</f>
        <v>6335340</v>
      </c>
      <c r="M1461" s="3">
        <f>SUM($J$2:$J1461)</f>
        <v>25195628.499999978</v>
      </c>
      <c r="N1461" s="2">
        <f>SUM($D$2:$D1461)</f>
        <v>11439.160000000003</v>
      </c>
      <c r="O1461" s="2">
        <f t="shared" si="53"/>
        <v>0.6816985074235512</v>
      </c>
      <c r="P1461" s="2" cm="1">
        <f t="array" ref="P1461">SUMPRODUCT((O1461&gt;$T$9:$T$14)*(O1461&lt;=$U$9:$U$14),$S$9:$S$14)</f>
        <v>5</v>
      </c>
    </row>
    <row r="1462" spans="1:16" x14ac:dyDescent="0.25">
      <c r="A1462">
        <v>290</v>
      </c>
      <c r="B1462">
        <v>1085</v>
      </c>
      <c r="C1462">
        <v>1917</v>
      </c>
      <c r="D1462">
        <v>6.54</v>
      </c>
      <c r="E1462">
        <v>67005</v>
      </c>
      <c r="F1462">
        <v>0</v>
      </c>
      <c r="G1462">
        <v>67005000</v>
      </c>
      <c r="H1462">
        <v>622</v>
      </c>
      <c r="I1462">
        <v>100</v>
      </c>
      <c r="J1462" s="2">
        <f t="shared" si="52"/>
        <v>654</v>
      </c>
      <c r="K1462">
        <v>1461</v>
      </c>
      <c r="L1462" s="3">
        <f>SUM($I$2:$I1462)</f>
        <v>6335440</v>
      </c>
      <c r="M1462" s="3">
        <f>SUM($J$2:$J1462)</f>
        <v>25196282.499999978</v>
      </c>
      <c r="N1462" s="2">
        <f>SUM($D$2:$D1462)</f>
        <v>11445.700000000004</v>
      </c>
      <c r="O1462" s="2">
        <f t="shared" si="53"/>
        <v>0.68208824829950276</v>
      </c>
      <c r="P1462" s="2" cm="1">
        <f t="array" ref="P1462">SUMPRODUCT((O1462&gt;$T$9:$T$14)*(O1462&lt;=$U$9:$U$14),$S$9:$S$14)</f>
        <v>5</v>
      </c>
    </row>
    <row r="1463" spans="1:16" x14ac:dyDescent="0.25">
      <c r="A1463">
        <v>188</v>
      </c>
      <c r="B1463">
        <v>983</v>
      </c>
      <c r="C1463">
        <v>1772</v>
      </c>
      <c r="D1463">
        <v>4.07</v>
      </c>
      <c r="E1463">
        <v>57140</v>
      </c>
      <c r="F1463">
        <v>10.4</v>
      </c>
      <c r="G1463">
        <v>57140104</v>
      </c>
      <c r="H1463">
        <v>548</v>
      </c>
      <c r="I1463">
        <v>100</v>
      </c>
      <c r="J1463" s="2">
        <f t="shared" si="52"/>
        <v>407</v>
      </c>
      <c r="K1463">
        <v>1462</v>
      </c>
      <c r="L1463" s="3">
        <f>SUM($I$2:$I1463)</f>
        <v>6335540</v>
      </c>
      <c r="M1463" s="3">
        <f>SUM($J$2:$J1463)</f>
        <v>25196689.499999978</v>
      </c>
      <c r="N1463" s="2">
        <f>SUM($D$2:$D1463)</f>
        <v>11449.770000000004</v>
      </c>
      <c r="O1463" s="2">
        <f t="shared" si="53"/>
        <v>0.68233079346236558</v>
      </c>
      <c r="P1463" s="2" cm="1">
        <f t="array" ref="P1463">SUMPRODUCT((O1463&gt;$T$9:$T$14)*(O1463&lt;=$U$9:$U$14),$S$9:$S$14)</f>
        <v>5</v>
      </c>
    </row>
    <row r="1464" spans="1:16" x14ac:dyDescent="0.25">
      <c r="A1464">
        <v>1715</v>
      </c>
      <c r="B1464">
        <v>1715</v>
      </c>
      <c r="C1464">
        <v>2220</v>
      </c>
      <c r="D1464">
        <v>3.78</v>
      </c>
      <c r="E1464">
        <v>54900</v>
      </c>
      <c r="F1464">
        <v>1</v>
      </c>
      <c r="G1464">
        <v>54900010</v>
      </c>
      <c r="H1464">
        <v>533</v>
      </c>
      <c r="I1464">
        <v>100</v>
      </c>
      <c r="J1464" s="2">
        <f t="shared" si="52"/>
        <v>378</v>
      </c>
      <c r="K1464">
        <v>1463</v>
      </c>
      <c r="L1464" s="3">
        <f>SUM($I$2:$I1464)</f>
        <v>6335640</v>
      </c>
      <c r="M1464" s="3">
        <f>SUM($J$2:$J1464)</f>
        <v>25197067.499999978</v>
      </c>
      <c r="N1464" s="2">
        <f>SUM($D$2:$D1464)</f>
        <v>11453.550000000005</v>
      </c>
      <c r="O1464" s="2">
        <f t="shared" si="53"/>
        <v>0.68255605653745688</v>
      </c>
      <c r="P1464" s="2" cm="1">
        <f t="array" ref="P1464">SUMPRODUCT((O1464&gt;$T$9:$T$14)*(O1464&lt;=$U$9:$U$14),$S$9:$S$14)</f>
        <v>5</v>
      </c>
    </row>
    <row r="1465" spans="1:16" x14ac:dyDescent="0.25">
      <c r="A1465">
        <v>254</v>
      </c>
      <c r="B1465">
        <v>1049</v>
      </c>
      <c r="C1465">
        <v>1867</v>
      </c>
      <c r="D1465">
        <v>3.47</v>
      </c>
      <c r="E1465">
        <v>61308</v>
      </c>
      <c r="F1465">
        <v>8</v>
      </c>
      <c r="G1465">
        <v>61308080</v>
      </c>
      <c r="H1465">
        <v>583</v>
      </c>
      <c r="I1465">
        <v>100</v>
      </c>
      <c r="J1465" s="2">
        <f t="shared" si="52"/>
        <v>347</v>
      </c>
      <c r="K1465">
        <v>1464</v>
      </c>
      <c r="L1465" s="3">
        <f>SUM($I$2:$I1465)</f>
        <v>6335740</v>
      </c>
      <c r="M1465" s="3">
        <f>SUM($J$2:$J1465)</f>
        <v>25197414.499999978</v>
      </c>
      <c r="N1465" s="2">
        <f>SUM($D$2:$D1465)</f>
        <v>11457.020000000004</v>
      </c>
      <c r="O1465" s="2">
        <f t="shared" si="53"/>
        <v>0.68276284565665446</v>
      </c>
      <c r="P1465" s="2" cm="1">
        <f t="array" ref="P1465">SUMPRODUCT((O1465&gt;$T$9:$T$14)*(O1465&lt;=$U$9:$U$14),$S$9:$S$14)</f>
        <v>5</v>
      </c>
    </row>
    <row r="1466" spans="1:16" x14ac:dyDescent="0.25">
      <c r="A1466">
        <v>126</v>
      </c>
      <c r="B1466">
        <v>922</v>
      </c>
      <c r="C1466">
        <v>1682</v>
      </c>
      <c r="D1466">
        <v>2.72</v>
      </c>
      <c r="E1466">
        <v>53420</v>
      </c>
      <c r="F1466">
        <v>0</v>
      </c>
      <c r="G1466">
        <v>53420000</v>
      </c>
      <c r="H1466">
        <v>520</v>
      </c>
      <c r="I1466">
        <v>100</v>
      </c>
      <c r="J1466" s="2">
        <f t="shared" si="52"/>
        <v>272</v>
      </c>
      <c r="K1466">
        <v>1465</v>
      </c>
      <c r="L1466" s="3">
        <f>SUM($I$2:$I1466)</f>
        <v>6335840</v>
      </c>
      <c r="M1466" s="3">
        <f>SUM($J$2:$J1466)</f>
        <v>25197686.499999978</v>
      </c>
      <c r="N1466" s="2">
        <f>SUM($D$2:$D1466)</f>
        <v>11459.740000000003</v>
      </c>
      <c r="O1466" s="2">
        <f t="shared" si="53"/>
        <v>0.68292493972127033</v>
      </c>
      <c r="P1466" s="2" cm="1">
        <f t="array" ref="P1466">SUMPRODUCT((O1466&gt;$T$9:$T$14)*(O1466&lt;=$U$9:$U$14),$S$9:$S$14)</f>
        <v>5</v>
      </c>
    </row>
    <row r="1467" spans="1:16" x14ac:dyDescent="0.25">
      <c r="A1467">
        <v>128</v>
      </c>
      <c r="B1467">
        <v>924</v>
      </c>
      <c r="C1467">
        <v>1684</v>
      </c>
      <c r="D1467">
        <v>1.18</v>
      </c>
      <c r="E1467">
        <v>53400</v>
      </c>
      <c r="F1467">
        <v>0</v>
      </c>
      <c r="G1467">
        <v>53400000</v>
      </c>
      <c r="H1467">
        <v>520</v>
      </c>
      <c r="I1467">
        <v>100</v>
      </c>
      <c r="J1467" s="2">
        <f t="shared" si="52"/>
        <v>118</v>
      </c>
      <c r="K1467">
        <v>1466</v>
      </c>
      <c r="L1467" s="3">
        <f>SUM($I$2:$I1467)</f>
        <v>6335940</v>
      </c>
      <c r="M1467" s="3">
        <f>SUM($J$2:$J1467)</f>
        <v>25197804.499999978</v>
      </c>
      <c r="N1467" s="2">
        <f>SUM($D$2:$D1467)</f>
        <v>11460.920000000004</v>
      </c>
      <c r="O1467" s="2">
        <f t="shared" si="53"/>
        <v>0.68299525994047872</v>
      </c>
      <c r="P1467" s="2" cm="1">
        <f t="array" ref="P1467">SUMPRODUCT((O1467&gt;$T$9:$T$14)*(O1467&lt;=$U$9:$U$14),$S$9:$S$14)</f>
        <v>5</v>
      </c>
    </row>
    <row r="1468" spans="1:16" x14ac:dyDescent="0.25">
      <c r="A1468">
        <v>1309</v>
      </c>
      <c r="B1468">
        <v>141</v>
      </c>
      <c r="C1468">
        <v>1230</v>
      </c>
      <c r="D1468">
        <v>0.99</v>
      </c>
      <c r="E1468">
        <v>41511</v>
      </c>
      <c r="F1468">
        <v>14.4</v>
      </c>
      <c r="G1468">
        <v>41511144</v>
      </c>
      <c r="H1468">
        <v>108</v>
      </c>
      <c r="I1468">
        <v>100</v>
      </c>
      <c r="J1468" s="2">
        <f t="shared" si="52"/>
        <v>99</v>
      </c>
      <c r="K1468">
        <v>1467</v>
      </c>
      <c r="L1468" s="3">
        <f>SUM($I$2:$I1468)</f>
        <v>6336040</v>
      </c>
      <c r="M1468" s="3">
        <f>SUM($J$2:$J1468)</f>
        <v>25197903.499999978</v>
      </c>
      <c r="N1468" s="2">
        <f>SUM($D$2:$D1468)</f>
        <v>11461.910000000003</v>
      </c>
      <c r="O1468" s="2">
        <f t="shared" si="53"/>
        <v>0.68305425741252646</v>
      </c>
      <c r="P1468" s="2" cm="1">
        <f t="array" ref="P1468">SUMPRODUCT((O1468&gt;$T$9:$T$14)*(O1468&lt;=$U$9:$U$14),$S$9:$S$14)</f>
        <v>5</v>
      </c>
    </row>
    <row r="1469" spans="1:16" x14ac:dyDescent="0.25">
      <c r="A1469">
        <v>1797</v>
      </c>
      <c r="B1469">
        <v>1797</v>
      </c>
      <c r="C1469">
        <v>0</v>
      </c>
      <c r="D1469">
        <v>0.75</v>
      </c>
      <c r="E1469">
        <v>80900</v>
      </c>
      <c r="F1469">
        <v>0</v>
      </c>
      <c r="G1469">
        <v>80900000</v>
      </c>
      <c r="H1469">
        <v>7162</v>
      </c>
      <c r="I1469">
        <v>100</v>
      </c>
      <c r="J1469" s="2">
        <f t="shared" si="52"/>
        <v>75</v>
      </c>
      <c r="K1469">
        <v>1468</v>
      </c>
      <c r="L1469" s="3">
        <f>SUM($I$2:$I1469)</f>
        <v>6336140</v>
      </c>
      <c r="M1469" s="3">
        <f>SUM($J$2:$J1469)</f>
        <v>25197978.499999978</v>
      </c>
      <c r="N1469" s="2">
        <f>SUM($D$2:$D1469)</f>
        <v>11462.660000000003</v>
      </c>
      <c r="O1469" s="2">
        <f t="shared" si="53"/>
        <v>0.68309895246710806</v>
      </c>
      <c r="P1469" s="2" cm="1">
        <f t="array" ref="P1469">SUMPRODUCT((O1469&gt;$T$9:$T$14)*(O1469&lt;=$U$9:$U$14),$S$9:$S$14)</f>
        <v>5</v>
      </c>
    </row>
    <row r="1470" spans="1:16" x14ac:dyDescent="0.25">
      <c r="A1470">
        <v>744</v>
      </c>
      <c r="B1470">
        <v>1531</v>
      </c>
      <c r="C1470">
        <v>994</v>
      </c>
      <c r="D1470">
        <v>24.1</v>
      </c>
      <c r="E1470">
        <v>33320</v>
      </c>
      <c r="F1470">
        <v>0</v>
      </c>
      <c r="G1470">
        <v>33320000</v>
      </c>
      <c r="H1470">
        <v>60</v>
      </c>
      <c r="I1470">
        <v>90</v>
      </c>
      <c r="J1470" s="2">
        <f t="shared" si="52"/>
        <v>2169</v>
      </c>
      <c r="K1470">
        <v>1469</v>
      </c>
      <c r="L1470" s="3">
        <f>SUM($I$2:$I1470)</f>
        <v>6336230</v>
      </c>
      <c r="M1470" s="3">
        <f>SUM($J$2:$J1470)</f>
        <v>25200147.499999978</v>
      </c>
      <c r="N1470" s="2">
        <f>SUM($D$2:$D1470)</f>
        <v>11486.760000000004</v>
      </c>
      <c r="O1470" s="2">
        <f t="shared" si="53"/>
        <v>0.68453515355433014</v>
      </c>
      <c r="P1470" s="2" cm="1">
        <f t="array" ref="P1470">SUMPRODUCT((O1470&gt;$T$9:$T$14)*(O1470&lt;=$U$9:$U$14),$S$9:$S$14)</f>
        <v>5</v>
      </c>
    </row>
    <row r="1471" spans="1:16" x14ac:dyDescent="0.25">
      <c r="A1471">
        <v>127</v>
      </c>
      <c r="B1471">
        <v>923</v>
      </c>
      <c r="C1471">
        <v>1683</v>
      </c>
      <c r="D1471">
        <v>21.59</v>
      </c>
      <c r="E1471">
        <v>53400</v>
      </c>
      <c r="F1471">
        <v>1.2</v>
      </c>
      <c r="G1471">
        <v>53400012</v>
      </c>
      <c r="H1471">
        <v>520</v>
      </c>
      <c r="I1471">
        <v>90</v>
      </c>
      <c r="J1471" s="2">
        <f t="shared" si="52"/>
        <v>1943.1</v>
      </c>
      <c r="K1471">
        <v>1470</v>
      </c>
      <c r="L1471" s="3">
        <f>SUM($I$2:$I1471)</f>
        <v>6336320</v>
      </c>
      <c r="M1471" s="3">
        <f>SUM($J$2:$J1471)</f>
        <v>25202090.599999979</v>
      </c>
      <c r="N1471" s="2">
        <f>SUM($D$2:$D1471)</f>
        <v>11508.350000000004</v>
      </c>
      <c r="O1471" s="2">
        <f t="shared" si="53"/>
        <v>0.68582177519221921</v>
      </c>
      <c r="P1471" s="2" cm="1">
        <f t="array" ref="P1471">SUMPRODUCT((O1471&gt;$T$9:$T$14)*(O1471&lt;=$U$9:$U$14),$S$9:$S$14)</f>
        <v>5</v>
      </c>
    </row>
    <row r="1472" spans="1:16" x14ac:dyDescent="0.25">
      <c r="A1472">
        <v>329</v>
      </c>
      <c r="B1472">
        <v>1124</v>
      </c>
      <c r="C1472">
        <v>1966</v>
      </c>
      <c r="D1472">
        <v>8.36</v>
      </c>
      <c r="E1472">
        <v>71407</v>
      </c>
      <c r="F1472">
        <v>4.2</v>
      </c>
      <c r="G1472">
        <v>71407042</v>
      </c>
      <c r="H1472">
        <v>658</v>
      </c>
      <c r="I1472">
        <v>90</v>
      </c>
      <c r="J1472" s="2">
        <f t="shared" si="52"/>
        <v>752.4</v>
      </c>
      <c r="K1472">
        <v>1471</v>
      </c>
      <c r="L1472" s="3">
        <f>SUM($I$2:$I1472)</f>
        <v>6336410</v>
      </c>
      <c r="M1472" s="3">
        <f>SUM($J$2:$J1472)</f>
        <v>25202842.999999978</v>
      </c>
      <c r="N1472" s="2">
        <f>SUM($D$2:$D1472)</f>
        <v>11516.710000000005</v>
      </c>
      <c r="O1472" s="2">
        <f t="shared" si="53"/>
        <v>0.68631997606728878</v>
      </c>
      <c r="P1472" s="2" cm="1">
        <f t="array" ref="P1472">SUMPRODUCT((O1472&gt;$T$9:$T$14)*(O1472&lt;=$U$9:$U$14),$S$9:$S$14)</f>
        <v>5</v>
      </c>
    </row>
    <row r="1473" spans="1:16" x14ac:dyDescent="0.25">
      <c r="A1473">
        <v>137</v>
      </c>
      <c r="B1473">
        <v>933</v>
      </c>
      <c r="C1473">
        <v>1695</v>
      </c>
      <c r="D1473">
        <v>7.71</v>
      </c>
      <c r="E1473">
        <v>53010</v>
      </c>
      <c r="F1473">
        <v>1.4</v>
      </c>
      <c r="G1473">
        <v>53010014</v>
      </c>
      <c r="H1473">
        <v>518</v>
      </c>
      <c r="I1473">
        <v>90</v>
      </c>
      <c r="J1473" s="2">
        <f t="shared" si="52"/>
        <v>693.9</v>
      </c>
      <c r="K1473">
        <v>1472</v>
      </c>
      <c r="L1473" s="3">
        <f>SUM($I$2:$I1473)</f>
        <v>6336500</v>
      </c>
      <c r="M1473" s="3">
        <f>SUM($J$2:$J1473)</f>
        <v>25203536.899999976</v>
      </c>
      <c r="N1473" s="2">
        <f>SUM($D$2:$D1473)</f>
        <v>11524.420000000004</v>
      </c>
      <c r="O1473" s="2">
        <f t="shared" si="53"/>
        <v>0.68677944122838763</v>
      </c>
      <c r="P1473" s="2" cm="1">
        <f t="array" ref="P1473">SUMPRODUCT((O1473&gt;$T$9:$T$14)*(O1473&lt;=$U$9:$U$14),$S$9:$S$14)</f>
        <v>5</v>
      </c>
    </row>
    <row r="1474" spans="1:16" x14ac:dyDescent="0.25">
      <c r="A1474">
        <v>1497</v>
      </c>
      <c r="B1474">
        <v>329</v>
      </c>
      <c r="C1474">
        <v>1467</v>
      </c>
      <c r="D1474">
        <v>6.89</v>
      </c>
      <c r="E1474">
        <v>44200</v>
      </c>
      <c r="F1474">
        <v>3.4</v>
      </c>
      <c r="G1474">
        <v>44200034</v>
      </c>
      <c r="H1474">
        <v>129</v>
      </c>
      <c r="I1474">
        <v>90</v>
      </c>
      <c r="J1474" s="2">
        <f t="shared" ref="J1474:J1537" si="54">I1474*D1474</f>
        <v>620.1</v>
      </c>
      <c r="K1474">
        <v>1473</v>
      </c>
      <c r="L1474" s="3">
        <f>SUM($I$2:$I1474)</f>
        <v>6336590</v>
      </c>
      <c r="M1474" s="3">
        <f>SUM($J$2:$J1474)</f>
        <v>25204156.999999978</v>
      </c>
      <c r="N1474" s="2">
        <f>SUM($D$2:$D1474)</f>
        <v>11531.310000000003</v>
      </c>
      <c r="O1474" s="2">
        <f t="shared" ref="O1474:O1537" si="55">N1474/$T$4</f>
        <v>0.68719003979647719</v>
      </c>
      <c r="P1474" s="2" cm="1">
        <f t="array" ref="P1474">SUMPRODUCT((O1474&gt;$T$9:$T$14)*(O1474&lt;=$U$9:$U$14),$S$9:$S$14)</f>
        <v>5</v>
      </c>
    </row>
    <row r="1475" spans="1:16" x14ac:dyDescent="0.25">
      <c r="A1475">
        <v>1695</v>
      </c>
      <c r="B1475">
        <v>1695</v>
      </c>
      <c r="C1475">
        <v>2197</v>
      </c>
      <c r="D1475">
        <v>5.27</v>
      </c>
      <c r="E1475">
        <v>55750</v>
      </c>
      <c r="F1475">
        <v>0</v>
      </c>
      <c r="G1475">
        <v>55750000</v>
      </c>
      <c r="H1475">
        <v>540</v>
      </c>
      <c r="I1475">
        <v>90</v>
      </c>
      <c r="J1475" s="2">
        <f t="shared" si="54"/>
        <v>474.29999999999995</v>
      </c>
      <c r="K1475">
        <v>1474</v>
      </c>
      <c r="L1475" s="3">
        <f>SUM($I$2:$I1475)</f>
        <v>6336680</v>
      </c>
      <c r="M1475" s="3">
        <f>SUM($J$2:$J1475)</f>
        <v>25204631.299999978</v>
      </c>
      <c r="N1475" s="2">
        <f>SUM($D$2:$D1475)</f>
        <v>11536.580000000004</v>
      </c>
      <c r="O1475" s="2">
        <f t="shared" si="55"/>
        <v>0.68750409704667059</v>
      </c>
      <c r="P1475" s="2" cm="1">
        <f t="array" ref="P1475">SUMPRODUCT((O1475&gt;$T$9:$T$14)*(O1475&lt;=$U$9:$U$14),$S$9:$S$14)</f>
        <v>5</v>
      </c>
    </row>
    <row r="1476" spans="1:16" x14ac:dyDescent="0.25">
      <c r="A1476">
        <v>728</v>
      </c>
      <c r="B1476">
        <v>1515</v>
      </c>
      <c r="C1476">
        <v>977</v>
      </c>
      <c r="D1476">
        <v>4.6399999999999997</v>
      </c>
      <c r="E1476">
        <v>33650</v>
      </c>
      <c r="F1476">
        <v>0.6</v>
      </c>
      <c r="G1476">
        <v>33650006</v>
      </c>
      <c r="H1476">
        <v>62</v>
      </c>
      <c r="I1476">
        <v>90</v>
      </c>
      <c r="J1476" s="2">
        <f t="shared" si="54"/>
        <v>417.59999999999997</v>
      </c>
      <c r="K1476">
        <v>1475</v>
      </c>
      <c r="L1476" s="3">
        <f>SUM($I$2:$I1476)</f>
        <v>6336770</v>
      </c>
      <c r="M1476" s="3">
        <f>SUM($J$2:$J1476)</f>
        <v>25205048.89999998</v>
      </c>
      <c r="N1476" s="2">
        <f>SUM($D$2:$D1476)</f>
        <v>11541.220000000003</v>
      </c>
      <c r="O1476" s="2">
        <f t="shared" si="55"/>
        <v>0.68778061045101535</v>
      </c>
      <c r="P1476" s="2" cm="1">
        <f t="array" ref="P1476">SUMPRODUCT((O1476&gt;$T$9:$T$14)*(O1476&lt;=$U$9:$U$14),$S$9:$S$14)</f>
        <v>5</v>
      </c>
    </row>
    <row r="1477" spans="1:16" x14ac:dyDescent="0.25">
      <c r="A1477">
        <v>1498</v>
      </c>
      <c r="B1477">
        <v>330</v>
      </c>
      <c r="C1477">
        <v>1468</v>
      </c>
      <c r="D1477">
        <v>2.5</v>
      </c>
      <c r="E1477">
        <v>44200</v>
      </c>
      <c r="F1477">
        <v>0.9</v>
      </c>
      <c r="G1477">
        <v>44200009</v>
      </c>
      <c r="H1477">
        <v>129</v>
      </c>
      <c r="I1477">
        <v>90</v>
      </c>
      <c r="J1477" s="2">
        <f t="shared" si="54"/>
        <v>225</v>
      </c>
      <c r="K1477">
        <v>1476</v>
      </c>
      <c r="L1477" s="3">
        <f>SUM($I$2:$I1477)</f>
        <v>6336860</v>
      </c>
      <c r="M1477" s="3">
        <f>SUM($J$2:$J1477)</f>
        <v>25205273.89999998</v>
      </c>
      <c r="N1477" s="2">
        <f>SUM($D$2:$D1477)</f>
        <v>11543.720000000003</v>
      </c>
      <c r="O1477" s="2">
        <f t="shared" si="55"/>
        <v>0.68792959396628739</v>
      </c>
      <c r="P1477" s="2" cm="1">
        <f t="array" ref="P1477">SUMPRODUCT((O1477&gt;$T$9:$T$14)*(O1477&lt;=$U$9:$U$14),$S$9:$S$14)</f>
        <v>5</v>
      </c>
    </row>
    <row r="1478" spans="1:16" x14ac:dyDescent="0.25">
      <c r="A1478">
        <v>160</v>
      </c>
      <c r="B1478">
        <v>956</v>
      </c>
      <c r="C1478">
        <v>1731</v>
      </c>
      <c r="D1478">
        <v>1.61</v>
      </c>
      <c r="E1478">
        <v>59200</v>
      </c>
      <c r="F1478">
        <v>0</v>
      </c>
      <c r="G1478">
        <v>59200000</v>
      </c>
      <c r="H1478">
        <v>565</v>
      </c>
      <c r="I1478">
        <v>90</v>
      </c>
      <c r="J1478" s="2">
        <f t="shared" si="54"/>
        <v>144.9</v>
      </c>
      <c r="K1478">
        <v>1477</v>
      </c>
      <c r="L1478" s="3">
        <f>SUM($I$2:$I1478)</f>
        <v>6336950</v>
      </c>
      <c r="M1478" s="3">
        <f>SUM($J$2:$J1478)</f>
        <v>25205418.799999978</v>
      </c>
      <c r="N1478" s="2">
        <f>SUM($D$2:$D1478)</f>
        <v>11545.330000000004</v>
      </c>
      <c r="O1478" s="2">
        <f t="shared" si="55"/>
        <v>0.68802553935012256</v>
      </c>
      <c r="P1478" s="2" cm="1">
        <f t="array" ref="P1478">SUMPRODUCT((O1478&gt;$T$9:$T$14)*(O1478&lt;=$U$9:$U$14),$S$9:$S$14)</f>
        <v>5</v>
      </c>
    </row>
    <row r="1479" spans="1:16" x14ac:dyDescent="0.25">
      <c r="A1479">
        <v>1690</v>
      </c>
      <c r="B1479">
        <v>1690</v>
      </c>
      <c r="C1479">
        <v>2191</v>
      </c>
      <c r="D1479">
        <v>1.39</v>
      </c>
      <c r="E1479">
        <v>56000</v>
      </c>
      <c r="F1479">
        <v>3.7</v>
      </c>
      <c r="G1479">
        <v>56000037</v>
      </c>
      <c r="H1479" t="s">
        <v>17</v>
      </c>
      <c r="I1479">
        <v>90</v>
      </c>
      <c r="J1479" s="2">
        <f t="shared" si="54"/>
        <v>125.1</v>
      </c>
      <c r="K1479">
        <v>1478</v>
      </c>
      <c r="L1479" s="3">
        <f>SUM($I$2:$I1479)</f>
        <v>6337040</v>
      </c>
      <c r="M1479" s="3">
        <f>SUM($J$2:$J1479)</f>
        <v>25205543.89999998</v>
      </c>
      <c r="N1479" s="2">
        <f>SUM($D$2:$D1479)</f>
        <v>11546.720000000003</v>
      </c>
      <c r="O1479" s="2">
        <f t="shared" si="55"/>
        <v>0.68810837418461379</v>
      </c>
      <c r="P1479" s="2" cm="1">
        <f t="array" ref="P1479">SUMPRODUCT((O1479&gt;$T$9:$T$14)*(O1479&lt;=$U$9:$U$14),$S$9:$S$14)</f>
        <v>5</v>
      </c>
    </row>
    <row r="1480" spans="1:16" x14ac:dyDescent="0.25">
      <c r="A1480">
        <v>496</v>
      </c>
      <c r="B1480">
        <v>1283</v>
      </c>
      <c r="C1480">
        <v>683</v>
      </c>
      <c r="D1480">
        <v>1.07</v>
      </c>
      <c r="E1480">
        <v>22320</v>
      </c>
      <c r="F1480">
        <v>3.1</v>
      </c>
      <c r="G1480">
        <v>22320031</v>
      </c>
      <c r="H1480" t="s">
        <v>16</v>
      </c>
      <c r="I1480">
        <v>90</v>
      </c>
      <c r="J1480" s="2">
        <f t="shared" si="54"/>
        <v>96.300000000000011</v>
      </c>
      <c r="K1480">
        <v>1479</v>
      </c>
      <c r="L1480" s="3">
        <f>SUM($I$2:$I1480)</f>
        <v>6337130</v>
      </c>
      <c r="M1480" s="3">
        <f>SUM($J$2:$J1480)</f>
        <v>25205640.199999981</v>
      </c>
      <c r="N1480" s="2">
        <f>SUM($D$2:$D1480)</f>
        <v>11547.790000000003</v>
      </c>
      <c r="O1480" s="2">
        <f t="shared" si="55"/>
        <v>0.68817213912915021</v>
      </c>
      <c r="P1480" s="2" cm="1">
        <f t="array" ref="P1480">SUMPRODUCT((O1480&gt;$T$9:$T$14)*(O1480&lt;=$U$9:$U$14),$S$9:$S$14)</f>
        <v>5</v>
      </c>
    </row>
    <row r="1481" spans="1:16" x14ac:dyDescent="0.25">
      <c r="A1481">
        <v>1258</v>
      </c>
      <c r="B1481">
        <v>90</v>
      </c>
      <c r="C1481">
        <v>1158</v>
      </c>
      <c r="D1481">
        <v>0.92</v>
      </c>
      <c r="E1481">
        <v>34580</v>
      </c>
      <c r="F1481">
        <v>0</v>
      </c>
      <c r="G1481">
        <v>34580000</v>
      </c>
      <c r="H1481">
        <v>65</v>
      </c>
      <c r="I1481">
        <v>90</v>
      </c>
      <c r="J1481" s="2">
        <f t="shared" si="54"/>
        <v>82.8</v>
      </c>
      <c r="K1481">
        <v>1480</v>
      </c>
      <c r="L1481" s="3">
        <f>SUM($I$2:$I1481)</f>
        <v>6337220</v>
      </c>
      <c r="M1481" s="3">
        <f>SUM($J$2:$J1481)</f>
        <v>25205722.999999981</v>
      </c>
      <c r="N1481" s="2">
        <f>SUM($D$2:$D1481)</f>
        <v>11548.710000000003</v>
      </c>
      <c r="O1481" s="2">
        <f t="shared" si="55"/>
        <v>0.68822696506277026</v>
      </c>
      <c r="P1481" s="2" cm="1">
        <f t="array" ref="P1481">SUMPRODUCT((O1481&gt;$T$9:$T$14)*(O1481&lt;=$U$9:$U$14),$S$9:$S$14)</f>
        <v>5</v>
      </c>
    </row>
    <row r="1482" spans="1:16" x14ac:dyDescent="0.25">
      <c r="A1482">
        <v>154</v>
      </c>
      <c r="B1482">
        <v>950</v>
      </c>
      <c r="C1482">
        <v>1723</v>
      </c>
      <c r="D1482">
        <v>0.06</v>
      </c>
      <c r="E1482">
        <v>59620</v>
      </c>
      <c r="F1482">
        <v>0</v>
      </c>
      <c r="G1482">
        <v>59620000</v>
      </c>
      <c r="H1482">
        <v>569</v>
      </c>
      <c r="I1482">
        <v>90</v>
      </c>
      <c r="J1482" s="2">
        <f t="shared" si="54"/>
        <v>5.3999999999999995</v>
      </c>
      <c r="K1482">
        <v>1481</v>
      </c>
      <c r="L1482" s="3">
        <f>SUM($I$2:$I1482)</f>
        <v>6337310</v>
      </c>
      <c r="M1482" s="3">
        <f>SUM($J$2:$J1482)</f>
        <v>25205728.39999998</v>
      </c>
      <c r="N1482" s="2">
        <f>SUM($D$2:$D1482)</f>
        <v>11548.770000000002</v>
      </c>
      <c r="O1482" s="2">
        <f t="shared" si="55"/>
        <v>0.68823054066713685</v>
      </c>
      <c r="P1482" s="2" cm="1">
        <f t="array" ref="P1482">SUMPRODUCT((O1482&gt;$T$9:$T$14)*(O1482&lt;=$U$9:$U$14),$S$9:$S$14)</f>
        <v>5</v>
      </c>
    </row>
    <row r="1483" spans="1:16" x14ac:dyDescent="0.25">
      <c r="A1483">
        <v>280</v>
      </c>
      <c r="B1483">
        <v>1075</v>
      </c>
      <c r="C1483">
        <v>1903</v>
      </c>
      <c r="D1483">
        <v>99.3</v>
      </c>
      <c r="E1483">
        <v>68000</v>
      </c>
      <c r="F1483">
        <v>0</v>
      </c>
      <c r="G1483">
        <v>68000000</v>
      </c>
      <c r="H1483">
        <v>631</v>
      </c>
      <c r="I1483">
        <v>80</v>
      </c>
      <c r="J1483" s="2">
        <f t="shared" si="54"/>
        <v>7944</v>
      </c>
      <c r="K1483">
        <v>1482</v>
      </c>
      <c r="L1483" s="3">
        <f>SUM($I$2:$I1483)</f>
        <v>6337390</v>
      </c>
      <c r="M1483" s="3">
        <f>SUM($J$2:$J1483)</f>
        <v>25213672.39999998</v>
      </c>
      <c r="N1483" s="2">
        <f>SUM($D$2:$D1483)</f>
        <v>11648.070000000002</v>
      </c>
      <c r="O1483" s="2">
        <f t="shared" si="55"/>
        <v>0.69414816589374073</v>
      </c>
      <c r="P1483" s="2" cm="1">
        <f t="array" ref="P1483">SUMPRODUCT((O1483&gt;$T$9:$T$14)*(O1483&lt;=$U$9:$U$14),$S$9:$S$14)</f>
        <v>5</v>
      </c>
    </row>
    <row r="1484" spans="1:16" x14ac:dyDescent="0.25">
      <c r="A1484">
        <v>273</v>
      </c>
      <c r="B1484">
        <v>1068</v>
      </c>
      <c r="C1484">
        <v>1892</v>
      </c>
      <c r="D1484">
        <v>67.819999999999993</v>
      </c>
      <c r="E1484">
        <v>68700</v>
      </c>
      <c r="F1484">
        <v>0</v>
      </c>
      <c r="G1484">
        <v>68700000</v>
      </c>
      <c r="H1484">
        <v>637</v>
      </c>
      <c r="I1484">
        <v>80</v>
      </c>
      <c r="J1484" s="2">
        <f t="shared" si="54"/>
        <v>5425.5999999999995</v>
      </c>
      <c r="K1484">
        <v>1483</v>
      </c>
      <c r="L1484" s="3">
        <f>SUM($I$2:$I1484)</f>
        <v>6337470</v>
      </c>
      <c r="M1484" s="3">
        <f>SUM($J$2:$J1484)</f>
        <v>25219097.999999981</v>
      </c>
      <c r="N1484" s="2">
        <f>SUM($D$2:$D1484)</f>
        <v>11715.890000000001</v>
      </c>
      <c r="O1484" s="2">
        <f t="shared" si="55"/>
        <v>0.69818979069603959</v>
      </c>
      <c r="P1484" s="2" cm="1">
        <f t="array" ref="P1484">SUMPRODUCT((O1484&gt;$T$9:$T$14)*(O1484&lt;=$U$9:$U$14),$S$9:$S$14)</f>
        <v>5</v>
      </c>
    </row>
    <row r="1485" spans="1:16" x14ac:dyDescent="0.25">
      <c r="A1485">
        <v>1372</v>
      </c>
      <c r="B1485">
        <v>204</v>
      </c>
      <c r="C1485">
        <v>1310</v>
      </c>
      <c r="D1485">
        <v>50.37</v>
      </c>
      <c r="E1485">
        <v>40450</v>
      </c>
      <c r="F1485">
        <v>0</v>
      </c>
      <c r="G1485">
        <v>40450000</v>
      </c>
      <c r="H1485">
        <v>101</v>
      </c>
      <c r="I1485">
        <v>80</v>
      </c>
      <c r="J1485" s="2">
        <f t="shared" si="54"/>
        <v>4029.6</v>
      </c>
      <c r="K1485">
        <v>1484</v>
      </c>
      <c r="L1485" s="3">
        <f>SUM($I$2:$I1485)</f>
        <v>6337550</v>
      </c>
      <c r="M1485" s="3">
        <f>SUM($J$2:$J1485)</f>
        <v>25223127.599999983</v>
      </c>
      <c r="N1485" s="2">
        <f>SUM($D$2:$D1485)</f>
        <v>11766.260000000002</v>
      </c>
      <c r="O1485" s="2">
        <f t="shared" si="55"/>
        <v>0.70119151056173989</v>
      </c>
      <c r="P1485" s="2" cm="1">
        <f t="array" ref="P1485">SUMPRODUCT((O1485&gt;$T$9:$T$14)*(O1485&lt;=$U$9:$U$14),$S$9:$S$14)</f>
        <v>5</v>
      </c>
    </row>
    <row r="1486" spans="1:16" x14ac:dyDescent="0.25">
      <c r="A1486">
        <v>1746</v>
      </c>
      <c r="B1486">
        <v>1746</v>
      </c>
      <c r="C1486">
        <v>0</v>
      </c>
      <c r="D1486">
        <v>50.33</v>
      </c>
      <c r="E1486">
        <v>52680</v>
      </c>
      <c r="F1486">
        <v>0</v>
      </c>
      <c r="G1486">
        <v>52680000</v>
      </c>
      <c r="H1486">
        <v>516</v>
      </c>
      <c r="I1486">
        <v>80</v>
      </c>
      <c r="J1486" s="2">
        <f t="shared" si="54"/>
        <v>4026.3999999999996</v>
      </c>
      <c r="K1486">
        <v>1485</v>
      </c>
      <c r="L1486" s="3">
        <f>SUM($I$2:$I1486)</f>
        <v>6337630</v>
      </c>
      <c r="M1486" s="3">
        <f>SUM($J$2:$J1486)</f>
        <v>25227153.999999981</v>
      </c>
      <c r="N1486" s="2">
        <f>SUM($D$2:$D1486)</f>
        <v>11816.590000000002</v>
      </c>
      <c r="O1486" s="2">
        <f t="shared" si="55"/>
        <v>0.7041908466911958</v>
      </c>
      <c r="P1486" s="2" cm="1">
        <f t="array" ref="P1486">SUMPRODUCT((O1486&gt;$T$9:$T$14)*(O1486&lt;=$U$9:$U$14),$S$9:$S$14)</f>
        <v>5</v>
      </c>
    </row>
    <row r="1487" spans="1:16" x14ac:dyDescent="0.25">
      <c r="A1487">
        <v>223</v>
      </c>
      <c r="B1487">
        <v>1018</v>
      </c>
      <c r="C1487">
        <v>1825</v>
      </c>
      <c r="D1487">
        <v>30.41</v>
      </c>
      <c r="E1487">
        <v>63110</v>
      </c>
      <c r="F1487">
        <v>0</v>
      </c>
      <c r="G1487">
        <v>63110000</v>
      </c>
      <c r="H1487">
        <v>596</v>
      </c>
      <c r="I1487">
        <v>80</v>
      </c>
      <c r="J1487" s="2">
        <f t="shared" si="54"/>
        <v>2432.8000000000002</v>
      </c>
      <c r="K1487">
        <v>1486</v>
      </c>
      <c r="L1487" s="3">
        <f>SUM($I$2:$I1487)</f>
        <v>6337710</v>
      </c>
      <c r="M1487" s="3">
        <f>SUM($J$2:$J1487)</f>
        <v>25229586.799999982</v>
      </c>
      <c r="N1487" s="2">
        <f>SUM($D$2:$D1487)</f>
        <v>11847.000000000002</v>
      </c>
      <c r="O1487" s="2">
        <f t="shared" si="55"/>
        <v>0.70600308217096452</v>
      </c>
      <c r="P1487" s="2" cm="1">
        <f t="array" ref="P1487">SUMPRODUCT((O1487&gt;$T$9:$T$14)*(O1487&lt;=$U$9:$U$14),$S$9:$S$14)</f>
        <v>5</v>
      </c>
    </row>
    <row r="1488" spans="1:16" x14ac:dyDescent="0.25">
      <c r="A1488">
        <v>1689</v>
      </c>
      <c r="B1488">
        <v>1689</v>
      </c>
      <c r="C1488">
        <v>2190</v>
      </c>
      <c r="D1488">
        <v>25.11</v>
      </c>
      <c r="E1488">
        <v>56300</v>
      </c>
      <c r="F1488">
        <v>0</v>
      </c>
      <c r="G1488">
        <v>56300000</v>
      </c>
      <c r="H1488">
        <v>542</v>
      </c>
      <c r="I1488">
        <v>80</v>
      </c>
      <c r="J1488" s="2">
        <f t="shared" si="54"/>
        <v>2008.8</v>
      </c>
      <c r="K1488">
        <v>1487</v>
      </c>
      <c r="L1488" s="3">
        <f>SUM($I$2:$I1488)</f>
        <v>6337790</v>
      </c>
      <c r="M1488" s="3">
        <f>SUM($J$2:$J1488)</f>
        <v>25231595.599999983</v>
      </c>
      <c r="N1488" s="2">
        <f>SUM($D$2:$D1488)</f>
        <v>11872.110000000002</v>
      </c>
      <c r="O1488" s="2">
        <f t="shared" si="55"/>
        <v>0.70749947259835655</v>
      </c>
      <c r="P1488" s="2" cm="1">
        <f t="array" ref="P1488">SUMPRODUCT((O1488&gt;$T$9:$T$14)*(O1488&lt;=$U$9:$U$14),$S$9:$S$14)</f>
        <v>5</v>
      </c>
    </row>
    <row r="1489" spans="1:16" x14ac:dyDescent="0.25">
      <c r="A1489">
        <v>1739</v>
      </c>
      <c r="B1489">
        <v>1739</v>
      </c>
      <c r="C1489">
        <v>2250</v>
      </c>
      <c r="D1489">
        <v>23.79</v>
      </c>
      <c r="E1489">
        <v>53595</v>
      </c>
      <c r="F1489">
        <v>0</v>
      </c>
      <c r="G1489">
        <v>53595000</v>
      </c>
      <c r="H1489">
        <v>522</v>
      </c>
      <c r="I1489">
        <v>80</v>
      </c>
      <c r="J1489" s="2">
        <f t="shared" si="54"/>
        <v>1903.1999999999998</v>
      </c>
      <c r="K1489">
        <v>1488</v>
      </c>
      <c r="L1489" s="3">
        <f>SUM($I$2:$I1489)</f>
        <v>6337870</v>
      </c>
      <c r="M1489" s="3">
        <f>SUM($J$2:$J1489)</f>
        <v>25233498.799999982</v>
      </c>
      <c r="N1489" s="2">
        <f>SUM($D$2:$D1489)</f>
        <v>11895.900000000003</v>
      </c>
      <c r="O1489" s="2">
        <f t="shared" si="55"/>
        <v>0.70891719972968492</v>
      </c>
      <c r="P1489" s="2" cm="1">
        <f t="array" ref="P1489">SUMPRODUCT((O1489&gt;$T$9:$T$14)*(O1489&lt;=$U$9:$U$14),$S$9:$S$14)</f>
        <v>5</v>
      </c>
    </row>
    <row r="1490" spans="1:16" x14ac:dyDescent="0.25">
      <c r="A1490">
        <v>1302</v>
      </c>
      <c r="B1490">
        <v>134</v>
      </c>
      <c r="C1490">
        <v>1222</v>
      </c>
      <c r="D1490">
        <v>22.32</v>
      </c>
      <c r="E1490">
        <v>34330</v>
      </c>
      <c r="F1490">
        <v>0</v>
      </c>
      <c r="G1490">
        <v>34330000</v>
      </c>
      <c r="H1490">
        <v>64</v>
      </c>
      <c r="I1490">
        <v>80</v>
      </c>
      <c r="J1490" s="2">
        <f t="shared" si="54"/>
        <v>1785.6</v>
      </c>
      <c r="K1490">
        <v>1489</v>
      </c>
      <c r="L1490" s="3">
        <f>SUM($I$2:$I1490)</f>
        <v>6337950</v>
      </c>
      <c r="M1490" s="3">
        <f>SUM($J$2:$J1490)</f>
        <v>25235284.399999984</v>
      </c>
      <c r="N1490" s="2">
        <f>SUM($D$2:$D1490)</f>
        <v>11918.220000000003</v>
      </c>
      <c r="O1490" s="2">
        <f t="shared" si="55"/>
        <v>0.71024732455403339</v>
      </c>
      <c r="P1490" s="2" cm="1">
        <f t="array" ref="P1490">SUMPRODUCT((O1490&gt;$T$9:$T$14)*(O1490&lt;=$U$9:$U$14),$S$9:$S$14)</f>
        <v>5</v>
      </c>
    </row>
    <row r="1491" spans="1:16" x14ac:dyDescent="0.25">
      <c r="A1491">
        <v>241</v>
      </c>
      <c r="B1491">
        <v>1036</v>
      </c>
      <c r="C1491">
        <v>1851</v>
      </c>
      <c r="D1491">
        <v>20.329999999999998</v>
      </c>
      <c r="E1491">
        <v>62030</v>
      </c>
      <c r="F1491">
        <v>0</v>
      </c>
      <c r="G1491">
        <v>62030000</v>
      </c>
      <c r="H1491">
        <v>588</v>
      </c>
      <c r="I1491">
        <v>80</v>
      </c>
      <c r="J1491" s="2">
        <f t="shared" si="54"/>
        <v>1626.3999999999999</v>
      </c>
      <c r="K1491">
        <v>1490</v>
      </c>
      <c r="L1491" s="3">
        <f>SUM($I$2:$I1491)</f>
        <v>6338030</v>
      </c>
      <c r="M1491" s="3">
        <f>SUM($J$2:$J1491)</f>
        <v>25236910.799999982</v>
      </c>
      <c r="N1491" s="2">
        <f>SUM($D$2:$D1491)</f>
        <v>11938.550000000003</v>
      </c>
      <c r="O1491" s="2">
        <f t="shared" si="55"/>
        <v>0.71145885850022528</v>
      </c>
      <c r="P1491" s="2" cm="1">
        <f t="array" ref="P1491">SUMPRODUCT((O1491&gt;$T$9:$T$14)*(O1491&lt;=$U$9:$U$14),$S$9:$S$14)</f>
        <v>5</v>
      </c>
    </row>
    <row r="1492" spans="1:16" x14ac:dyDescent="0.25">
      <c r="A1492">
        <v>1281</v>
      </c>
      <c r="B1492">
        <v>113</v>
      </c>
      <c r="C1492">
        <v>1195</v>
      </c>
      <c r="D1492">
        <v>12.8</v>
      </c>
      <c r="E1492">
        <v>34720</v>
      </c>
      <c r="F1492">
        <v>0</v>
      </c>
      <c r="G1492">
        <v>34720000</v>
      </c>
      <c r="H1492">
        <v>66</v>
      </c>
      <c r="I1492">
        <v>80</v>
      </c>
      <c r="J1492" s="2">
        <f t="shared" si="54"/>
        <v>1024</v>
      </c>
      <c r="K1492">
        <v>1491</v>
      </c>
      <c r="L1492" s="3">
        <f>SUM($I$2:$I1492)</f>
        <v>6338110</v>
      </c>
      <c r="M1492" s="3">
        <f>SUM($J$2:$J1492)</f>
        <v>25237934.799999982</v>
      </c>
      <c r="N1492" s="2">
        <f>SUM($D$2:$D1492)</f>
        <v>11951.350000000002</v>
      </c>
      <c r="O1492" s="2">
        <f t="shared" si="55"/>
        <v>0.71222165409841787</v>
      </c>
      <c r="P1492" s="2" cm="1">
        <f t="array" ref="P1492">SUMPRODUCT((O1492&gt;$T$9:$T$14)*(O1492&lt;=$U$9:$U$14),$S$9:$S$14)</f>
        <v>5</v>
      </c>
    </row>
    <row r="1493" spans="1:16" x14ac:dyDescent="0.25">
      <c r="A1493">
        <v>272</v>
      </c>
      <c r="B1493">
        <v>1067</v>
      </c>
      <c r="C1493">
        <v>1889</v>
      </c>
      <c r="D1493">
        <v>7.38</v>
      </c>
      <c r="E1493">
        <v>68880</v>
      </c>
      <c r="F1493">
        <v>1.1000000000000001</v>
      </c>
      <c r="G1493">
        <v>68880011</v>
      </c>
      <c r="H1493">
        <v>638</v>
      </c>
      <c r="I1493">
        <v>80</v>
      </c>
      <c r="J1493" s="2">
        <f t="shared" si="54"/>
        <v>590.4</v>
      </c>
      <c r="K1493">
        <v>1492</v>
      </c>
      <c r="L1493" s="3">
        <f>SUM($I$2:$I1493)</f>
        <v>6338190</v>
      </c>
      <c r="M1493" s="3">
        <f>SUM($J$2:$J1493)</f>
        <v>25238525.199999981</v>
      </c>
      <c r="N1493" s="2">
        <f>SUM($D$2:$D1493)</f>
        <v>11958.730000000001</v>
      </c>
      <c r="O1493" s="2">
        <f t="shared" si="55"/>
        <v>0.7126614534355008</v>
      </c>
      <c r="P1493" s="2" cm="1">
        <f t="array" ref="P1493">SUMPRODUCT((O1493&gt;$T$9:$T$14)*(O1493&lt;=$U$9:$U$14),$S$9:$S$14)</f>
        <v>5</v>
      </c>
    </row>
    <row r="1494" spans="1:16" x14ac:dyDescent="0.25">
      <c r="A1494">
        <v>282</v>
      </c>
      <c r="B1494">
        <v>1077</v>
      </c>
      <c r="C1494">
        <v>1905</v>
      </c>
      <c r="D1494">
        <v>7.01</v>
      </c>
      <c r="E1494">
        <v>67701</v>
      </c>
      <c r="F1494">
        <v>0</v>
      </c>
      <c r="G1494">
        <v>67701000</v>
      </c>
      <c r="H1494">
        <v>628</v>
      </c>
      <c r="I1494">
        <v>80</v>
      </c>
      <c r="J1494" s="2">
        <f t="shared" si="54"/>
        <v>560.79999999999995</v>
      </c>
      <c r="K1494">
        <v>1493</v>
      </c>
      <c r="L1494" s="3">
        <f>SUM($I$2:$I1494)</f>
        <v>6338270</v>
      </c>
      <c r="M1494" s="3">
        <f>SUM($J$2:$J1494)</f>
        <v>25239085.999999981</v>
      </c>
      <c r="N1494" s="2">
        <f>SUM($D$2:$D1494)</f>
        <v>11965.740000000002</v>
      </c>
      <c r="O1494" s="2">
        <f t="shared" si="55"/>
        <v>0.71307920321232343</v>
      </c>
      <c r="P1494" s="2" cm="1">
        <f t="array" ref="P1494">SUMPRODUCT((O1494&gt;$T$9:$T$14)*(O1494&lt;=$U$9:$U$14),$S$9:$S$14)</f>
        <v>5</v>
      </c>
    </row>
    <row r="1495" spans="1:16" x14ac:dyDescent="0.25">
      <c r="A1495">
        <v>1283</v>
      </c>
      <c r="B1495">
        <v>115</v>
      </c>
      <c r="C1495">
        <v>1199</v>
      </c>
      <c r="D1495">
        <v>6.56</v>
      </c>
      <c r="E1495">
        <v>41511</v>
      </c>
      <c r="F1495">
        <v>4.8</v>
      </c>
      <c r="G1495">
        <v>41511048</v>
      </c>
      <c r="H1495">
        <v>108</v>
      </c>
      <c r="I1495">
        <v>80</v>
      </c>
      <c r="J1495" s="2">
        <f t="shared" si="54"/>
        <v>524.79999999999995</v>
      </c>
      <c r="K1495">
        <v>1494</v>
      </c>
      <c r="L1495" s="3">
        <f>SUM($I$2:$I1495)</f>
        <v>6338350</v>
      </c>
      <c r="M1495" s="3">
        <f>SUM($J$2:$J1495)</f>
        <v>25239610.799999982</v>
      </c>
      <c r="N1495" s="2">
        <f>SUM($D$2:$D1495)</f>
        <v>11972.300000000001</v>
      </c>
      <c r="O1495" s="2">
        <f t="shared" si="55"/>
        <v>0.71347013595639719</v>
      </c>
      <c r="P1495" s="2" cm="1">
        <f t="array" ref="P1495">SUMPRODUCT((O1495&gt;$T$9:$T$14)*(O1495&lt;=$U$9:$U$14),$S$9:$S$14)</f>
        <v>5</v>
      </c>
    </row>
    <row r="1496" spans="1:16" x14ac:dyDescent="0.25">
      <c r="A1496">
        <v>1706</v>
      </c>
      <c r="B1496">
        <v>1706</v>
      </c>
      <c r="C1496">
        <v>2211</v>
      </c>
      <c r="D1496">
        <v>5.48</v>
      </c>
      <c r="E1496">
        <v>55290</v>
      </c>
      <c r="F1496">
        <v>0</v>
      </c>
      <c r="G1496">
        <v>55290000</v>
      </c>
      <c r="H1496">
        <v>537</v>
      </c>
      <c r="I1496">
        <v>80</v>
      </c>
      <c r="J1496" s="2">
        <f t="shared" si="54"/>
        <v>438.40000000000003</v>
      </c>
      <c r="K1496">
        <v>1495</v>
      </c>
      <c r="L1496" s="3">
        <f>SUM($I$2:$I1496)</f>
        <v>6338430</v>
      </c>
      <c r="M1496" s="3">
        <f>SUM($J$2:$J1496)</f>
        <v>25240049.199999981</v>
      </c>
      <c r="N1496" s="2">
        <f>SUM($D$2:$D1496)</f>
        <v>11977.78</v>
      </c>
      <c r="O1496" s="2">
        <f t="shared" si="55"/>
        <v>0.71379670782187343</v>
      </c>
      <c r="P1496" s="2" cm="1">
        <f t="array" ref="P1496">SUMPRODUCT((O1496&gt;$T$9:$T$14)*(O1496&lt;=$U$9:$U$14),$S$9:$S$14)</f>
        <v>5</v>
      </c>
    </row>
    <row r="1497" spans="1:16" x14ac:dyDescent="0.25">
      <c r="A1497">
        <v>258</v>
      </c>
      <c r="B1497">
        <v>1053</v>
      </c>
      <c r="C1497">
        <v>1871</v>
      </c>
      <c r="D1497">
        <v>4.57</v>
      </c>
      <c r="E1497">
        <v>61100</v>
      </c>
      <c r="F1497">
        <v>0</v>
      </c>
      <c r="G1497">
        <v>61100000</v>
      </c>
      <c r="H1497">
        <v>581</v>
      </c>
      <c r="I1497">
        <v>80</v>
      </c>
      <c r="J1497" s="2">
        <f t="shared" si="54"/>
        <v>365.6</v>
      </c>
      <c r="K1497">
        <v>1496</v>
      </c>
      <c r="L1497" s="3">
        <f>SUM($I$2:$I1497)</f>
        <v>6338510</v>
      </c>
      <c r="M1497" s="3">
        <f>SUM($J$2:$J1497)</f>
        <v>25240414.799999982</v>
      </c>
      <c r="N1497" s="2">
        <f>SUM($D$2:$D1497)</f>
        <v>11982.35</v>
      </c>
      <c r="O1497" s="2">
        <f t="shared" si="55"/>
        <v>0.71406904968779061</v>
      </c>
      <c r="P1497" s="2" cm="1">
        <f t="array" ref="P1497">SUMPRODUCT((O1497&gt;$T$9:$T$14)*(O1497&lt;=$U$9:$U$14),$S$9:$S$14)</f>
        <v>5</v>
      </c>
    </row>
    <row r="1498" spans="1:16" x14ac:dyDescent="0.25">
      <c r="A1498">
        <v>1717</v>
      </c>
      <c r="B1498">
        <v>1717</v>
      </c>
      <c r="C1498">
        <v>2223</v>
      </c>
      <c r="D1498">
        <v>3.63</v>
      </c>
      <c r="E1498">
        <v>54700</v>
      </c>
      <c r="F1498">
        <v>0</v>
      </c>
      <c r="G1498">
        <v>54700000</v>
      </c>
      <c r="H1498">
        <v>531</v>
      </c>
      <c r="I1498">
        <v>80</v>
      </c>
      <c r="J1498" s="2">
        <f t="shared" si="54"/>
        <v>290.39999999999998</v>
      </c>
      <c r="K1498">
        <v>1497</v>
      </c>
      <c r="L1498" s="3">
        <f>SUM($I$2:$I1498)</f>
        <v>6338590</v>
      </c>
      <c r="M1498" s="3">
        <f>SUM($J$2:$J1498)</f>
        <v>25240705.199999981</v>
      </c>
      <c r="N1498" s="2">
        <f>SUM($D$2:$D1498)</f>
        <v>11985.98</v>
      </c>
      <c r="O1498" s="2">
        <f t="shared" si="55"/>
        <v>0.71428537375196544</v>
      </c>
      <c r="P1498" s="2" cm="1">
        <f t="array" ref="P1498">SUMPRODUCT((O1498&gt;$T$9:$T$14)*(O1498&lt;=$U$9:$U$14),$S$9:$S$14)</f>
        <v>5</v>
      </c>
    </row>
    <row r="1499" spans="1:16" x14ac:dyDescent="0.25">
      <c r="A1499">
        <v>1494</v>
      </c>
      <c r="B1499">
        <v>326</v>
      </c>
      <c r="C1499">
        <v>1464</v>
      </c>
      <c r="D1499">
        <v>88.31</v>
      </c>
      <c r="E1499">
        <v>44245</v>
      </c>
      <c r="F1499">
        <v>0</v>
      </c>
      <c r="G1499">
        <v>44245000</v>
      </c>
      <c r="H1499">
        <v>129</v>
      </c>
      <c r="I1499">
        <v>70</v>
      </c>
      <c r="J1499" s="2">
        <f t="shared" si="54"/>
        <v>6181.7</v>
      </c>
      <c r="K1499">
        <v>1498</v>
      </c>
      <c r="L1499" s="3">
        <f>SUM($I$2:$I1499)</f>
        <v>6338660</v>
      </c>
      <c r="M1499" s="3">
        <f>SUM($J$2:$J1499)</f>
        <v>25246886.89999998</v>
      </c>
      <c r="N1499" s="2">
        <f>SUM($D$2:$D1499)</f>
        <v>12074.289999999999</v>
      </c>
      <c r="O1499" s="2">
        <f t="shared" si="55"/>
        <v>0.71954806744543365</v>
      </c>
      <c r="P1499" s="2" cm="1">
        <f t="array" ref="P1499">SUMPRODUCT((O1499&gt;$T$9:$T$14)*(O1499&lt;=$U$9:$U$14),$S$9:$S$14)</f>
        <v>5</v>
      </c>
    </row>
    <row r="1500" spans="1:16" x14ac:dyDescent="0.25">
      <c r="A1500">
        <v>275</v>
      </c>
      <c r="B1500">
        <v>1070</v>
      </c>
      <c r="C1500">
        <v>1894</v>
      </c>
      <c r="D1500">
        <v>76</v>
      </c>
      <c r="E1500">
        <v>68435</v>
      </c>
      <c r="F1500">
        <v>0.2</v>
      </c>
      <c r="G1500">
        <v>68435002</v>
      </c>
      <c r="H1500">
        <v>634</v>
      </c>
      <c r="I1500">
        <v>70</v>
      </c>
      <c r="J1500" s="2">
        <f t="shared" si="54"/>
        <v>5320</v>
      </c>
      <c r="K1500">
        <v>1499</v>
      </c>
      <c r="L1500" s="3">
        <f>SUM($I$2:$I1500)</f>
        <v>6338730</v>
      </c>
      <c r="M1500" s="3">
        <f>SUM($J$2:$J1500)</f>
        <v>25252206.89999998</v>
      </c>
      <c r="N1500" s="2">
        <f>SUM($D$2:$D1500)</f>
        <v>12150.289999999999</v>
      </c>
      <c r="O1500" s="2">
        <f t="shared" si="55"/>
        <v>0.72407716630970254</v>
      </c>
      <c r="P1500" s="2" cm="1">
        <f t="array" ref="P1500">SUMPRODUCT((O1500&gt;$T$9:$T$14)*(O1500&lt;=$U$9:$U$14),$S$9:$S$14)</f>
        <v>5</v>
      </c>
    </row>
    <row r="1501" spans="1:16" x14ac:dyDescent="0.25">
      <c r="A1501">
        <v>1495</v>
      </c>
      <c r="B1501">
        <v>327</v>
      </c>
      <c r="C1501">
        <v>1465</v>
      </c>
      <c r="D1501">
        <v>65.739999999999995</v>
      </c>
      <c r="E1501">
        <v>44220</v>
      </c>
      <c r="F1501">
        <v>0</v>
      </c>
      <c r="G1501">
        <v>44220000</v>
      </c>
      <c r="H1501">
        <v>129</v>
      </c>
      <c r="I1501">
        <v>70</v>
      </c>
      <c r="J1501" s="2">
        <f t="shared" si="54"/>
        <v>4601.7999999999993</v>
      </c>
      <c r="K1501">
        <v>1500</v>
      </c>
      <c r="L1501" s="3">
        <f>SUM($I$2:$I1501)</f>
        <v>6338800</v>
      </c>
      <c r="M1501" s="3">
        <f>SUM($J$2:$J1501)</f>
        <v>25256808.699999981</v>
      </c>
      <c r="N1501" s="2">
        <f>SUM($D$2:$D1501)</f>
        <v>12216.029999999999</v>
      </c>
      <c r="O1501" s="2">
        <f t="shared" si="55"/>
        <v>0.72799483682729504</v>
      </c>
      <c r="P1501" s="2" cm="1">
        <f t="array" ref="P1501">SUMPRODUCT((O1501&gt;$T$9:$T$14)*(O1501&lt;=$U$9:$U$14),$S$9:$S$14)</f>
        <v>5</v>
      </c>
    </row>
    <row r="1502" spans="1:16" x14ac:dyDescent="0.25">
      <c r="A1502">
        <v>302</v>
      </c>
      <c r="B1502">
        <v>1097</v>
      </c>
      <c r="C1502">
        <v>1931</v>
      </c>
      <c r="D1502">
        <v>52.44</v>
      </c>
      <c r="E1502">
        <v>65800</v>
      </c>
      <c r="F1502">
        <v>0</v>
      </c>
      <c r="G1502">
        <v>65800000</v>
      </c>
      <c r="H1502">
        <v>614</v>
      </c>
      <c r="I1502">
        <v>70</v>
      </c>
      <c r="J1502" s="2">
        <f t="shared" si="54"/>
        <v>3670.7999999999997</v>
      </c>
      <c r="K1502">
        <v>1501</v>
      </c>
      <c r="L1502" s="3">
        <f>SUM($I$2:$I1502)</f>
        <v>6338870</v>
      </c>
      <c r="M1502" s="3">
        <f>SUM($J$2:$J1502)</f>
        <v>25260479.499999981</v>
      </c>
      <c r="N1502" s="2">
        <f>SUM($D$2:$D1502)</f>
        <v>12268.47</v>
      </c>
      <c r="O1502" s="2">
        <f t="shared" si="55"/>
        <v>0.7311199150436406</v>
      </c>
      <c r="P1502" s="2" cm="1">
        <f t="array" ref="P1502">SUMPRODUCT((O1502&gt;$T$9:$T$14)*(O1502&lt;=$U$9:$U$14),$S$9:$S$14)</f>
        <v>5</v>
      </c>
    </row>
    <row r="1503" spans="1:16" x14ac:dyDescent="0.25">
      <c r="A1503">
        <v>1693</v>
      </c>
      <c r="B1503">
        <v>1693</v>
      </c>
      <c r="C1503">
        <v>2195</v>
      </c>
      <c r="D1503">
        <v>47.42</v>
      </c>
      <c r="E1503">
        <v>55770</v>
      </c>
      <c r="F1503">
        <v>0</v>
      </c>
      <c r="G1503">
        <v>55770000</v>
      </c>
      <c r="H1503">
        <v>540</v>
      </c>
      <c r="I1503">
        <v>70</v>
      </c>
      <c r="J1503" s="2">
        <f t="shared" si="54"/>
        <v>3319.4</v>
      </c>
      <c r="K1503">
        <v>1502</v>
      </c>
      <c r="L1503" s="3">
        <f>SUM($I$2:$I1503)</f>
        <v>6338940</v>
      </c>
      <c r="M1503" s="3">
        <f>SUM($J$2:$J1503)</f>
        <v>25263798.89999998</v>
      </c>
      <c r="N1503" s="2">
        <f>SUM($D$2:$D1503)</f>
        <v>12315.89</v>
      </c>
      <c r="O1503" s="2">
        <f t="shared" si="55"/>
        <v>0.73394583436131999</v>
      </c>
      <c r="P1503" s="2" cm="1">
        <f t="array" ref="P1503">SUMPRODUCT((O1503&gt;$T$9:$T$14)*(O1503&lt;=$U$9:$U$14),$S$9:$S$14)</f>
        <v>5</v>
      </c>
    </row>
    <row r="1504" spans="1:16" x14ac:dyDescent="0.25">
      <c r="A1504">
        <v>251</v>
      </c>
      <c r="B1504">
        <v>1046</v>
      </c>
      <c r="C1504">
        <v>1862</v>
      </c>
      <c r="D1504">
        <v>46.83</v>
      </c>
      <c r="E1504">
        <v>61520</v>
      </c>
      <c r="F1504">
        <v>5.0999999999999996</v>
      </c>
      <c r="G1504">
        <v>61520051</v>
      </c>
      <c r="H1504">
        <v>584</v>
      </c>
      <c r="I1504">
        <v>70</v>
      </c>
      <c r="J1504" s="2">
        <f t="shared" si="54"/>
        <v>3278.1</v>
      </c>
      <c r="K1504">
        <v>1503</v>
      </c>
      <c r="L1504" s="3">
        <f>SUM($I$2:$I1504)</f>
        <v>6339010</v>
      </c>
      <c r="M1504" s="3">
        <f>SUM($J$2:$J1504)</f>
        <v>25267076.999999981</v>
      </c>
      <c r="N1504" s="2">
        <f>SUM($D$2:$D1504)</f>
        <v>12362.72</v>
      </c>
      <c r="O1504" s="2">
        <f t="shared" si="55"/>
        <v>0.73673659356939514</v>
      </c>
      <c r="P1504" s="2" cm="1">
        <f t="array" ref="P1504">SUMPRODUCT((O1504&gt;$T$9:$T$14)*(O1504&lt;=$U$9:$U$14),$S$9:$S$14)</f>
        <v>5</v>
      </c>
    </row>
    <row r="1505" spans="1:16" x14ac:dyDescent="0.25">
      <c r="A1505">
        <v>1375</v>
      </c>
      <c r="B1505">
        <v>207</v>
      </c>
      <c r="C1505">
        <v>1315</v>
      </c>
      <c r="D1505">
        <v>40.15</v>
      </c>
      <c r="E1505">
        <v>34770</v>
      </c>
      <c r="F1505">
        <v>0</v>
      </c>
      <c r="G1505">
        <v>34770000</v>
      </c>
      <c r="H1505">
        <v>66</v>
      </c>
      <c r="I1505">
        <v>70</v>
      </c>
      <c r="J1505" s="2">
        <f t="shared" si="54"/>
        <v>2810.5</v>
      </c>
      <c r="K1505">
        <v>1504</v>
      </c>
      <c r="L1505" s="3">
        <f>SUM($I$2:$I1505)</f>
        <v>6339080</v>
      </c>
      <c r="M1505" s="3">
        <f>SUM($J$2:$J1505)</f>
        <v>25269887.499999981</v>
      </c>
      <c r="N1505" s="2">
        <f>SUM($D$2:$D1505)</f>
        <v>12402.869999999999</v>
      </c>
      <c r="O1505" s="2">
        <f t="shared" si="55"/>
        <v>0.73912926882466345</v>
      </c>
      <c r="P1505" s="2" cm="1">
        <f t="array" ref="P1505">SUMPRODUCT((O1505&gt;$T$9:$T$14)*(O1505&lt;=$U$9:$U$14),$S$9:$S$14)</f>
        <v>5</v>
      </c>
    </row>
    <row r="1506" spans="1:16" x14ac:dyDescent="0.25">
      <c r="A1506">
        <v>269</v>
      </c>
      <c r="B1506">
        <v>1064</v>
      </c>
      <c r="C1506">
        <v>1884</v>
      </c>
      <c r="D1506">
        <v>23.09</v>
      </c>
      <c r="E1506">
        <v>69100</v>
      </c>
      <c r="F1506">
        <v>0</v>
      </c>
      <c r="G1506">
        <v>69100000</v>
      </c>
      <c r="H1506">
        <v>639</v>
      </c>
      <c r="I1506">
        <v>70</v>
      </c>
      <c r="J1506" s="2">
        <f t="shared" si="54"/>
        <v>1616.3</v>
      </c>
      <c r="K1506">
        <v>1505</v>
      </c>
      <c r="L1506" s="3">
        <f>SUM($I$2:$I1506)</f>
        <v>6339150</v>
      </c>
      <c r="M1506" s="3">
        <f>SUM($J$2:$J1506)</f>
        <v>25271503.799999982</v>
      </c>
      <c r="N1506" s="2">
        <f>SUM($D$2:$D1506)</f>
        <v>12425.96</v>
      </c>
      <c r="O1506" s="2">
        <f t="shared" si="55"/>
        <v>0.74050528057171572</v>
      </c>
      <c r="P1506" s="2" cm="1">
        <f t="array" ref="P1506">SUMPRODUCT((O1506&gt;$T$9:$T$14)*(O1506&lt;=$U$9:$U$14),$S$9:$S$14)</f>
        <v>5</v>
      </c>
    </row>
    <row r="1507" spans="1:16" x14ac:dyDescent="0.25">
      <c r="A1507">
        <v>1499</v>
      </c>
      <c r="B1507">
        <v>331</v>
      </c>
      <c r="C1507">
        <v>1470</v>
      </c>
      <c r="D1507">
        <v>21.46</v>
      </c>
      <c r="E1507">
        <v>44015</v>
      </c>
      <c r="F1507">
        <v>0</v>
      </c>
      <c r="G1507">
        <v>44015000</v>
      </c>
      <c r="H1507">
        <v>127</v>
      </c>
      <c r="I1507">
        <v>70</v>
      </c>
      <c r="J1507" s="2">
        <f t="shared" si="54"/>
        <v>1502.2</v>
      </c>
      <c r="K1507">
        <v>1506</v>
      </c>
      <c r="L1507" s="3">
        <f>SUM($I$2:$I1507)</f>
        <v>6339220</v>
      </c>
      <c r="M1507" s="3">
        <f>SUM($J$2:$J1507)</f>
        <v>25273005.999999981</v>
      </c>
      <c r="N1507" s="2">
        <f>SUM($D$2:$D1507)</f>
        <v>12447.419999999998</v>
      </c>
      <c r="O1507" s="2">
        <f t="shared" si="55"/>
        <v>0.7417841550668105</v>
      </c>
      <c r="P1507" s="2" cm="1">
        <f t="array" ref="P1507">SUMPRODUCT((O1507&gt;$T$9:$T$14)*(O1507&lt;=$U$9:$U$14),$S$9:$S$14)</f>
        <v>5</v>
      </c>
    </row>
    <row r="1508" spans="1:16" x14ac:dyDescent="0.25">
      <c r="A1508">
        <v>226</v>
      </c>
      <c r="B1508">
        <v>1021</v>
      </c>
      <c r="C1508">
        <v>1830</v>
      </c>
      <c r="D1508">
        <v>21.04</v>
      </c>
      <c r="E1508">
        <v>62900</v>
      </c>
      <c r="F1508">
        <v>0</v>
      </c>
      <c r="G1508">
        <v>62900000</v>
      </c>
      <c r="H1508">
        <v>595</v>
      </c>
      <c r="I1508">
        <v>70</v>
      </c>
      <c r="J1508" s="2">
        <f t="shared" si="54"/>
        <v>1472.8</v>
      </c>
      <c r="K1508">
        <v>1507</v>
      </c>
      <c r="L1508" s="3">
        <f>SUM($I$2:$I1508)</f>
        <v>6339290</v>
      </c>
      <c r="M1508" s="3">
        <f>SUM($J$2:$J1508)</f>
        <v>25274478.799999982</v>
      </c>
      <c r="N1508" s="2">
        <f>SUM($D$2:$D1508)</f>
        <v>12468.46</v>
      </c>
      <c r="O1508" s="2">
        <f t="shared" si="55"/>
        <v>0.74303800033133971</v>
      </c>
      <c r="P1508" s="2" cm="1">
        <f t="array" ref="P1508">SUMPRODUCT((O1508&gt;$T$9:$T$14)*(O1508&lt;=$U$9:$U$14),$S$9:$S$14)</f>
        <v>5</v>
      </c>
    </row>
    <row r="1509" spans="1:16" x14ac:dyDescent="0.25">
      <c r="A1509">
        <v>489</v>
      </c>
      <c r="B1509">
        <v>1276</v>
      </c>
      <c r="C1509">
        <v>673</v>
      </c>
      <c r="D1509">
        <v>20.34</v>
      </c>
      <c r="E1509">
        <v>27340</v>
      </c>
      <c r="F1509">
        <v>0</v>
      </c>
      <c r="G1509">
        <v>27340000</v>
      </c>
      <c r="H1509">
        <v>33</v>
      </c>
      <c r="I1509">
        <v>70</v>
      </c>
      <c r="J1509" s="2">
        <f t="shared" si="54"/>
        <v>1423.8</v>
      </c>
      <c r="K1509">
        <v>1508</v>
      </c>
      <c r="L1509" s="3">
        <f>SUM($I$2:$I1509)</f>
        <v>6339360</v>
      </c>
      <c r="M1509" s="3">
        <f>SUM($J$2:$J1509)</f>
        <v>25275902.599999983</v>
      </c>
      <c r="N1509" s="2">
        <f>SUM($D$2:$D1509)</f>
        <v>12488.8</v>
      </c>
      <c r="O1509" s="2">
        <f t="shared" si="55"/>
        <v>0.7442501302115927</v>
      </c>
      <c r="P1509" s="2" cm="1">
        <f t="array" ref="P1509">SUMPRODUCT((O1509&gt;$T$9:$T$14)*(O1509&lt;=$U$9:$U$14),$S$9:$S$14)</f>
        <v>5</v>
      </c>
    </row>
    <row r="1510" spans="1:16" x14ac:dyDescent="0.25">
      <c r="A1510">
        <v>1694</v>
      </c>
      <c r="B1510">
        <v>1694</v>
      </c>
      <c r="C1510">
        <v>2196</v>
      </c>
      <c r="D1510">
        <v>14.26</v>
      </c>
      <c r="E1510">
        <v>55760</v>
      </c>
      <c r="F1510">
        <v>0</v>
      </c>
      <c r="G1510">
        <v>55760000</v>
      </c>
      <c r="H1510">
        <v>540</v>
      </c>
      <c r="I1510">
        <v>70</v>
      </c>
      <c r="J1510" s="2">
        <f t="shared" si="54"/>
        <v>998.19999999999993</v>
      </c>
      <c r="K1510">
        <v>1509</v>
      </c>
      <c r="L1510" s="3">
        <f>SUM($I$2:$I1510)</f>
        <v>6339430</v>
      </c>
      <c r="M1510" s="3">
        <f>SUM($J$2:$J1510)</f>
        <v>25276900.799999982</v>
      </c>
      <c r="N1510" s="2">
        <f>SUM($D$2:$D1510)</f>
        <v>12503.06</v>
      </c>
      <c r="O1510" s="2">
        <f t="shared" si="55"/>
        <v>0.74509993218270421</v>
      </c>
      <c r="P1510" s="2" cm="1">
        <f t="array" ref="P1510">SUMPRODUCT((O1510&gt;$T$9:$T$14)*(O1510&lt;=$U$9:$U$14),$S$9:$S$14)</f>
        <v>5</v>
      </c>
    </row>
    <row r="1511" spans="1:16" x14ac:dyDescent="0.25">
      <c r="A1511">
        <v>156</v>
      </c>
      <c r="B1511">
        <v>952</v>
      </c>
      <c r="C1511">
        <v>1725</v>
      </c>
      <c r="D1511">
        <v>13.58</v>
      </c>
      <c r="E1511">
        <v>59600</v>
      </c>
      <c r="F1511">
        <v>0</v>
      </c>
      <c r="G1511">
        <v>59600000</v>
      </c>
      <c r="H1511">
        <v>569</v>
      </c>
      <c r="I1511">
        <v>70</v>
      </c>
      <c r="J1511" s="2">
        <f t="shared" si="54"/>
        <v>950.6</v>
      </c>
      <c r="K1511">
        <v>1510</v>
      </c>
      <c r="L1511" s="3">
        <f>SUM($I$2:$I1511)</f>
        <v>6339500</v>
      </c>
      <c r="M1511" s="3">
        <f>SUM($J$2:$J1511)</f>
        <v>25277851.399999984</v>
      </c>
      <c r="N1511" s="2">
        <f>SUM($D$2:$D1511)</f>
        <v>12516.64</v>
      </c>
      <c r="O1511" s="2">
        <f t="shared" si="55"/>
        <v>0.7459092106376618</v>
      </c>
      <c r="P1511" s="2" cm="1">
        <f t="array" ref="P1511">SUMPRODUCT((O1511&gt;$T$9:$T$14)*(O1511&lt;=$U$9:$U$14),$S$9:$S$14)</f>
        <v>5</v>
      </c>
    </row>
    <row r="1512" spans="1:16" x14ac:dyDescent="0.25">
      <c r="A1512">
        <v>1310</v>
      </c>
      <c r="B1512">
        <v>142</v>
      </c>
      <c r="C1512">
        <v>1231</v>
      </c>
      <c r="D1512">
        <v>13.45</v>
      </c>
      <c r="E1512">
        <v>34310</v>
      </c>
      <c r="F1512">
        <v>0</v>
      </c>
      <c r="G1512">
        <v>34310000</v>
      </c>
      <c r="H1512">
        <v>64</v>
      </c>
      <c r="I1512">
        <v>70</v>
      </c>
      <c r="J1512" s="2">
        <f t="shared" si="54"/>
        <v>941.5</v>
      </c>
      <c r="K1512">
        <v>1511</v>
      </c>
      <c r="L1512" s="3">
        <f>SUM($I$2:$I1512)</f>
        <v>6339570</v>
      </c>
      <c r="M1512" s="3">
        <f>SUM($J$2:$J1512)</f>
        <v>25278792.899999984</v>
      </c>
      <c r="N1512" s="2">
        <f>SUM($D$2:$D1512)</f>
        <v>12530.09</v>
      </c>
      <c r="O1512" s="2">
        <f t="shared" si="55"/>
        <v>0.74671074194982523</v>
      </c>
      <c r="P1512" s="2" cm="1">
        <f t="array" ref="P1512">SUMPRODUCT((O1512&gt;$T$9:$T$14)*(O1512&lt;=$U$9:$U$14),$S$9:$S$14)</f>
        <v>5</v>
      </c>
    </row>
    <row r="1513" spans="1:16" x14ac:dyDescent="0.25">
      <c r="A1513">
        <v>232</v>
      </c>
      <c r="B1513">
        <v>1027</v>
      </c>
      <c r="C1513">
        <v>1841</v>
      </c>
      <c r="D1513">
        <v>12.46</v>
      </c>
      <c r="E1513">
        <v>62600</v>
      </c>
      <c r="F1513">
        <v>0</v>
      </c>
      <c r="G1513">
        <v>62600000</v>
      </c>
      <c r="H1513">
        <v>592</v>
      </c>
      <c r="I1513">
        <v>70</v>
      </c>
      <c r="J1513" s="2">
        <f t="shared" si="54"/>
        <v>872.2</v>
      </c>
      <c r="K1513">
        <v>1512</v>
      </c>
      <c r="L1513" s="3">
        <f>SUM($I$2:$I1513)</f>
        <v>6339640</v>
      </c>
      <c r="M1513" s="3">
        <f>SUM($J$2:$J1513)</f>
        <v>25279665.099999983</v>
      </c>
      <c r="N1513" s="2">
        <f>SUM($D$2:$D1513)</f>
        <v>12542.55</v>
      </c>
      <c r="O1513" s="2">
        <f t="shared" si="55"/>
        <v>0.74745327578994081</v>
      </c>
      <c r="P1513" s="2" cm="1">
        <f t="array" ref="P1513">SUMPRODUCT((O1513&gt;$T$9:$T$14)*(O1513&lt;=$U$9:$U$14),$S$9:$S$14)</f>
        <v>5</v>
      </c>
    </row>
    <row r="1514" spans="1:16" x14ac:dyDescent="0.25">
      <c r="A1514">
        <v>191</v>
      </c>
      <c r="B1514">
        <v>986</v>
      </c>
      <c r="C1514">
        <v>1781</v>
      </c>
      <c r="D1514">
        <v>12.42</v>
      </c>
      <c r="E1514">
        <v>57103</v>
      </c>
      <c r="F1514">
        <v>0</v>
      </c>
      <c r="G1514">
        <v>57103000</v>
      </c>
      <c r="H1514">
        <v>548</v>
      </c>
      <c r="I1514">
        <v>70</v>
      </c>
      <c r="J1514" s="2">
        <f t="shared" si="54"/>
        <v>869.4</v>
      </c>
      <c r="K1514">
        <v>1513</v>
      </c>
      <c r="L1514" s="3">
        <f>SUM($I$2:$I1514)</f>
        <v>6339710</v>
      </c>
      <c r="M1514" s="3">
        <f>SUM($J$2:$J1514)</f>
        <v>25280534.499999981</v>
      </c>
      <c r="N1514" s="2">
        <f>SUM($D$2:$D1514)</f>
        <v>12554.97</v>
      </c>
      <c r="O1514" s="2">
        <f t="shared" si="55"/>
        <v>0.7481934258938121</v>
      </c>
      <c r="P1514" s="2" cm="1">
        <f t="array" ref="P1514">SUMPRODUCT((O1514&gt;$T$9:$T$14)*(O1514&lt;=$U$9:$U$14),$S$9:$S$14)</f>
        <v>5</v>
      </c>
    </row>
    <row r="1515" spans="1:16" x14ac:dyDescent="0.25">
      <c r="A1515">
        <v>278</v>
      </c>
      <c r="B1515">
        <v>1073</v>
      </c>
      <c r="C1515">
        <v>1898</v>
      </c>
      <c r="D1515">
        <v>10.25</v>
      </c>
      <c r="E1515">
        <v>68200</v>
      </c>
      <c r="F1515">
        <v>0</v>
      </c>
      <c r="G1515">
        <v>68200000</v>
      </c>
      <c r="H1515">
        <v>632</v>
      </c>
      <c r="I1515">
        <v>70</v>
      </c>
      <c r="J1515" s="2">
        <f t="shared" si="54"/>
        <v>717.5</v>
      </c>
      <c r="K1515">
        <v>1514</v>
      </c>
      <c r="L1515" s="3">
        <f>SUM($I$2:$I1515)</f>
        <v>6339780</v>
      </c>
      <c r="M1515" s="3">
        <f>SUM($J$2:$J1515)</f>
        <v>25281251.999999981</v>
      </c>
      <c r="N1515" s="2">
        <f>SUM($D$2:$D1515)</f>
        <v>12565.22</v>
      </c>
      <c r="O1515" s="2">
        <f t="shared" si="55"/>
        <v>0.74880425830642727</v>
      </c>
      <c r="P1515" s="2" cm="1">
        <f t="array" ref="P1515">SUMPRODUCT((O1515&gt;$T$9:$T$14)*(O1515&lt;=$U$9:$U$14),$S$9:$S$14)</f>
        <v>5</v>
      </c>
    </row>
    <row r="1516" spans="1:16" x14ac:dyDescent="0.25">
      <c r="A1516">
        <v>262</v>
      </c>
      <c r="B1516">
        <v>1057</v>
      </c>
      <c r="C1516">
        <v>1876</v>
      </c>
      <c r="D1516">
        <v>8.44</v>
      </c>
      <c r="E1516">
        <v>70100</v>
      </c>
      <c r="F1516">
        <v>0</v>
      </c>
      <c r="G1516">
        <v>70100000</v>
      </c>
      <c r="H1516">
        <v>647</v>
      </c>
      <c r="I1516">
        <v>70</v>
      </c>
      <c r="J1516" s="2">
        <f t="shared" si="54"/>
        <v>590.79999999999995</v>
      </c>
      <c r="K1516">
        <v>1515</v>
      </c>
      <c r="L1516" s="3">
        <f>SUM($I$2:$I1516)</f>
        <v>6339850</v>
      </c>
      <c r="M1516" s="3">
        <f>SUM($J$2:$J1516)</f>
        <v>25281842.799999982</v>
      </c>
      <c r="N1516" s="2">
        <f>SUM($D$2:$D1516)</f>
        <v>12573.66</v>
      </c>
      <c r="O1516" s="2">
        <f t="shared" si="55"/>
        <v>0.74930722665398564</v>
      </c>
      <c r="P1516" s="2" cm="1">
        <f t="array" ref="P1516">SUMPRODUCT((O1516&gt;$T$9:$T$14)*(O1516&lt;=$U$9:$U$14),$S$9:$S$14)</f>
        <v>5</v>
      </c>
    </row>
    <row r="1517" spans="1:16" x14ac:dyDescent="0.25">
      <c r="A1517">
        <v>186</v>
      </c>
      <c r="B1517">
        <v>981</v>
      </c>
      <c r="C1517">
        <v>1769</v>
      </c>
      <c r="D1517">
        <v>7.88</v>
      </c>
      <c r="E1517">
        <v>57420</v>
      </c>
      <c r="F1517">
        <v>0</v>
      </c>
      <c r="G1517">
        <v>57420000</v>
      </c>
      <c r="H1517">
        <v>550</v>
      </c>
      <c r="I1517">
        <v>70</v>
      </c>
      <c r="J1517" s="2">
        <f t="shared" si="54"/>
        <v>551.6</v>
      </c>
      <c r="K1517">
        <v>1516</v>
      </c>
      <c r="L1517" s="3">
        <f>SUM($I$2:$I1517)</f>
        <v>6339920</v>
      </c>
      <c r="M1517" s="3">
        <f>SUM($J$2:$J1517)</f>
        <v>25282394.399999984</v>
      </c>
      <c r="N1517" s="2">
        <f>SUM($D$2:$D1517)</f>
        <v>12581.539999999999</v>
      </c>
      <c r="O1517" s="2">
        <f t="shared" si="55"/>
        <v>0.74977682269412294</v>
      </c>
      <c r="P1517" s="2" cm="1">
        <f t="array" ref="P1517">SUMPRODUCT((O1517&gt;$T$9:$T$14)*(O1517&lt;=$U$9:$U$14),$S$9:$S$14)</f>
        <v>5</v>
      </c>
    </row>
    <row r="1518" spans="1:16" x14ac:dyDescent="0.25">
      <c r="A1518">
        <v>1373</v>
      </c>
      <c r="B1518">
        <v>205</v>
      </c>
      <c r="C1518">
        <v>1312</v>
      </c>
      <c r="D1518">
        <v>7.28</v>
      </c>
      <c r="E1518">
        <v>34800</v>
      </c>
      <c r="F1518">
        <v>0</v>
      </c>
      <c r="G1518">
        <v>34800000</v>
      </c>
      <c r="H1518">
        <v>66</v>
      </c>
      <c r="I1518">
        <v>70</v>
      </c>
      <c r="J1518" s="2">
        <f t="shared" si="54"/>
        <v>509.6</v>
      </c>
      <c r="K1518">
        <v>1517</v>
      </c>
      <c r="L1518" s="3">
        <f>SUM($I$2:$I1518)</f>
        <v>6339990</v>
      </c>
      <c r="M1518" s="3">
        <f>SUM($J$2:$J1518)</f>
        <v>25282903.999999985</v>
      </c>
      <c r="N1518" s="2">
        <f>SUM($D$2:$D1518)</f>
        <v>12588.82</v>
      </c>
      <c r="O1518" s="2">
        <f t="shared" si="55"/>
        <v>0.750210662690595</v>
      </c>
      <c r="P1518" s="2" cm="1">
        <f t="array" ref="P1518">SUMPRODUCT((O1518&gt;$T$9:$T$14)*(O1518&lt;=$U$9:$U$14),$S$9:$S$14)</f>
        <v>5</v>
      </c>
    </row>
    <row r="1519" spans="1:16" x14ac:dyDescent="0.25">
      <c r="A1519">
        <v>331</v>
      </c>
      <c r="B1519">
        <v>1126</v>
      </c>
      <c r="C1519">
        <v>1969</v>
      </c>
      <c r="D1519">
        <v>5.99</v>
      </c>
      <c r="E1519">
        <v>71300</v>
      </c>
      <c r="F1519">
        <v>0</v>
      </c>
      <c r="G1519">
        <v>71300000</v>
      </c>
      <c r="H1519">
        <v>657</v>
      </c>
      <c r="I1519">
        <v>70</v>
      </c>
      <c r="J1519" s="2">
        <f t="shared" si="54"/>
        <v>419.3</v>
      </c>
      <c r="K1519">
        <v>1518</v>
      </c>
      <c r="L1519" s="3">
        <f>SUM($I$2:$I1519)</f>
        <v>6340060</v>
      </c>
      <c r="M1519" s="3">
        <f>SUM($J$2:$J1519)</f>
        <v>25283323.299999986</v>
      </c>
      <c r="N1519" s="2">
        <f>SUM($D$2:$D1519)</f>
        <v>12594.81</v>
      </c>
      <c r="O1519" s="2">
        <f t="shared" si="55"/>
        <v>0.7505676271931867</v>
      </c>
      <c r="P1519" s="2" cm="1">
        <f t="array" ref="P1519">SUMPRODUCT((O1519&gt;$T$9:$T$14)*(O1519&lt;=$U$9:$U$14),$S$9:$S$14)</f>
        <v>5</v>
      </c>
    </row>
    <row r="1520" spans="1:16" x14ac:dyDescent="0.25">
      <c r="A1520">
        <v>209</v>
      </c>
      <c r="B1520">
        <v>1004</v>
      </c>
      <c r="C1520">
        <v>1803</v>
      </c>
      <c r="D1520">
        <v>5.05</v>
      </c>
      <c r="E1520">
        <v>64331</v>
      </c>
      <c r="F1520">
        <v>0</v>
      </c>
      <c r="G1520">
        <v>64331000</v>
      </c>
      <c r="H1520">
        <v>601</v>
      </c>
      <c r="I1520">
        <v>70</v>
      </c>
      <c r="J1520" s="2">
        <f t="shared" si="54"/>
        <v>353.5</v>
      </c>
      <c r="K1520">
        <v>1519</v>
      </c>
      <c r="L1520" s="3">
        <f>SUM($I$2:$I1520)</f>
        <v>6340130</v>
      </c>
      <c r="M1520" s="3">
        <f>SUM($J$2:$J1520)</f>
        <v>25283676.799999986</v>
      </c>
      <c r="N1520" s="2">
        <f>SUM($D$2:$D1520)</f>
        <v>12599.859999999999</v>
      </c>
      <c r="O1520" s="2">
        <f t="shared" si="55"/>
        <v>0.75086857389403616</v>
      </c>
      <c r="P1520" s="2" cm="1">
        <f t="array" ref="P1520">SUMPRODUCT((O1520&gt;$T$9:$T$14)*(O1520&lt;=$U$9:$U$14),$S$9:$S$14)</f>
        <v>5</v>
      </c>
    </row>
    <row r="1521" spans="1:16" x14ac:dyDescent="0.25">
      <c r="A1521">
        <v>197</v>
      </c>
      <c r="B1521">
        <v>992</v>
      </c>
      <c r="C1521">
        <v>1787</v>
      </c>
      <c r="D1521">
        <v>4.04</v>
      </c>
      <c r="E1521">
        <v>65600</v>
      </c>
      <c r="F1521">
        <v>0</v>
      </c>
      <c r="G1521">
        <v>65600000</v>
      </c>
      <c r="H1521">
        <v>612</v>
      </c>
      <c r="I1521">
        <v>70</v>
      </c>
      <c r="J1521" s="2">
        <f t="shared" si="54"/>
        <v>282.8</v>
      </c>
      <c r="K1521">
        <v>1520</v>
      </c>
      <c r="L1521" s="3">
        <f>SUM($I$2:$I1521)</f>
        <v>6340200</v>
      </c>
      <c r="M1521" s="3">
        <f>SUM($J$2:$J1521)</f>
        <v>25283959.599999987</v>
      </c>
      <c r="N1521" s="2">
        <f>SUM($D$2:$D1521)</f>
        <v>12603.9</v>
      </c>
      <c r="O1521" s="2">
        <f t="shared" si="55"/>
        <v>0.7511093312547158</v>
      </c>
      <c r="P1521" s="2" cm="1">
        <f t="array" ref="P1521">SUMPRODUCT((O1521&gt;$T$9:$T$14)*(O1521&lt;=$U$9:$U$14),$S$9:$S$14)</f>
        <v>5</v>
      </c>
    </row>
    <row r="1522" spans="1:16" x14ac:dyDescent="0.25">
      <c r="A1522">
        <v>181</v>
      </c>
      <c r="B1522">
        <v>976</v>
      </c>
      <c r="C1522">
        <v>1761</v>
      </c>
      <c r="D1522">
        <v>2.06</v>
      </c>
      <c r="E1522">
        <v>57720</v>
      </c>
      <c r="F1522">
        <v>4.5999999999999996</v>
      </c>
      <c r="G1522">
        <v>57720046</v>
      </c>
      <c r="H1522">
        <v>552</v>
      </c>
      <c r="I1522">
        <v>70</v>
      </c>
      <c r="J1522" s="2">
        <f t="shared" si="54"/>
        <v>144.20000000000002</v>
      </c>
      <c r="K1522">
        <v>1521</v>
      </c>
      <c r="L1522" s="3">
        <f>SUM($I$2:$I1522)</f>
        <v>6340270</v>
      </c>
      <c r="M1522" s="3">
        <f>SUM($J$2:$J1522)</f>
        <v>25284103.799999986</v>
      </c>
      <c r="N1522" s="2">
        <f>SUM($D$2:$D1522)</f>
        <v>12605.96</v>
      </c>
      <c r="O1522" s="2">
        <f t="shared" si="55"/>
        <v>0.75123209367129984</v>
      </c>
      <c r="P1522" s="2" cm="1">
        <f t="array" ref="P1522">SUMPRODUCT((O1522&gt;$T$9:$T$14)*(O1522&lt;=$U$9:$U$14),$S$9:$S$14)</f>
        <v>5</v>
      </c>
    </row>
    <row r="1523" spans="1:16" x14ac:dyDescent="0.25">
      <c r="A1523">
        <v>1505</v>
      </c>
      <c r="B1523">
        <v>337</v>
      </c>
      <c r="C1523">
        <v>1476</v>
      </c>
      <c r="D1523">
        <v>1.91</v>
      </c>
      <c r="E1523">
        <v>43730</v>
      </c>
      <c r="F1523">
        <v>0</v>
      </c>
      <c r="G1523">
        <v>43730000</v>
      </c>
      <c r="H1523">
        <v>124</v>
      </c>
      <c r="I1523">
        <v>70</v>
      </c>
      <c r="J1523" s="2">
        <f t="shared" si="54"/>
        <v>133.69999999999999</v>
      </c>
      <c r="K1523">
        <v>1522</v>
      </c>
      <c r="L1523" s="3">
        <f>SUM($I$2:$I1523)</f>
        <v>6340340</v>
      </c>
      <c r="M1523" s="3">
        <f>SUM($J$2:$J1523)</f>
        <v>25284237.499999985</v>
      </c>
      <c r="N1523" s="2">
        <f>SUM($D$2:$D1523)</f>
        <v>12607.869999999999</v>
      </c>
      <c r="O1523" s="2">
        <f t="shared" si="55"/>
        <v>0.75134591707696763</v>
      </c>
      <c r="P1523" s="2" cm="1">
        <f t="array" ref="P1523">SUMPRODUCT((O1523&gt;$T$9:$T$14)*(O1523&lt;=$U$9:$U$14),$S$9:$S$14)</f>
        <v>5</v>
      </c>
    </row>
    <row r="1524" spans="1:16" x14ac:dyDescent="0.25">
      <c r="A1524">
        <v>1737</v>
      </c>
      <c r="B1524">
        <v>1737</v>
      </c>
      <c r="C1524">
        <v>2246</v>
      </c>
      <c r="D1524">
        <v>32.4</v>
      </c>
      <c r="E1524">
        <v>53620</v>
      </c>
      <c r="F1524">
        <v>0</v>
      </c>
      <c r="G1524">
        <v>53620000</v>
      </c>
      <c r="H1524">
        <v>522</v>
      </c>
      <c r="I1524">
        <v>60</v>
      </c>
      <c r="J1524" s="2">
        <f t="shared" si="54"/>
        <v>1944</v>
      </c>
      <c r="K1524">
        <v>1523</v>
      </c>
      <c r="L1524" s="3">
        <f>SUM($I$2:$I1524)</f>
        <v>6340400</v>
      </c>
      <c r="M1524" s="3">
        <f>SUM($J$2:$J1524)</f>
        <v>25286181.499999985</v>
      </c>
      <c r="N1524" s="2">
        <f>SUM($D$2:$D1524)</f>
        <v>12640.269999999999</v>
      </c>
      <c r="O1524" s="2">
        <f t="shared" si="55"/>
        <v>0.75327674343489281</v>
      </c>
      <c r="P1524" s="2" cm="1">
        <f t="array" ref="P1524">SUMPRODUCT((O1524&gt;$T$9:$T$14)*(O1524&lt;=$U$9:$U$14),$S$9:$S$14)</f>
        <v>5</v>
      </c>
    </row>
    <row r="1525" spans="1:16" x14ac:dyDescent="0.25">
      <c r="A1525">
        <v>1493</v>
      </c>
      <c r="B1525">
        <v>325</v>
      </c>
      <c r="C1525">
        <v>1462</v>
      </c>
      <c r="D1525">
        <v>25.92</v>
      </c>
      <c r="E1525">
        <v>44260</v>
      </c>
      <c r="F1525">
        <v>15.6</v>
      </c>
      <c r="G1525">
        <v>44260156</v>
      </c>
      <c r="H1525">
        <v>129</v>
      </c>
      <c r="I1525">
        <v>60</v>
      </c>
      <c r="J1525" s="2">
        <f t="shared" si="54"/>
        <v>1555.2</v>
      </c>
      <c r="K1525">
        <v>1524</v>
      </c>
      <c r="L1525" s="3">
        <f>SUM($I$2:$I1525)</f>
        <v>6340460</v>
      </c>
      <c r="M1525" s="3">
        <f>SUM($J$2:$J1525)</f>
        <v>25287736.699999984</v>
      </c>
      <c r="N1525" s="2">
        <f>SUM($D$2:$D1525)</f>
        <v>12666.189999999999</v>
      </c>
      <c r="O1525" s="2">
        <f t="shared" si="55"/>
        <v>0.75482140452123292</v>
      </c>
      <c r="P1525" s="2" cm="1">
        <f t="array" ref="P1525">SUMPRODUCT((O1525&gt;$T$9:$T$14)*(O1525&lt;=$U$9:$U$14),$S$9:$S$14)</f>
        <v>5</v>
      </c>
    </row>
    <row r="1526" spans="1:16" x14ac:dyDescent="0.25">
      <c r="A1526">
        <v>159</v>
      </c>
      <c r="B1526">
        <v>955</v>
      </c>
      <c r="C1526">
        <v>1729</v>
      </c>
      <c r="D1526">
        <v>24.35</v>
      </c>
      <c r="E1526">
        <v>59300</v>
      </c>
      <c r="F1526">
        <v>0</v>
      </c>
      <c r="G1526">
        <v>59300000</v>
      </c>
      <c r="H1526">
        <v>566</v>
      </c>
      <c r="I1526">
        <v>60</v>
      </c>
      <c r="J1526" s="2">
        <f t="shared" si="54"/>
        <v>1461</v>
      </c>
      <c r="K1526">
        <v>1525</v>
      </c>
      <c r="L1526" s="3">
        <f>SUM($I$2:$I1526)</f>
        <v>6340520</v>
      </c>
      <c r="M1526" s="3">
        <f>SUM($J$2:$J1526)</f>
        <v>25289197.699999984</v>
      </c>
      <c r="N1526" s="2">
        <f>SUM($D$2:$D1526)</f>
        <v>12690.539999999999</v>
      </c>
      <c r="O1526" s="2">
        <f t="shared" si="55"/>
        <v>0.75627250395998225</v>
      </c>
      <c r="P1526" s="2" cm="1">
        <f t="array" ref="P1526">SUMPRODUCT((O1526&gt;$T$9:$T$14)*(O1526&lt;=$U$9:$U$14),$S$9:$S$14)</f>
        <v>5</v>
      </c>
    </row>
    <row r="1527" spans="1:16" x14ac:dyDescent="0.25">
      <c r="A1527">
        <v>176</v>
      </c>
      <c r="B1527">
        <v>972</v>
      </c>
      <c r="C1527">
        <v>1755</v>
      </c>
      <c r="D1527">
        <v>21.14</v>
      </c>
      <c r="E1527">
        <v>58110</v>
      </c>
      <c r="F1527">
        <v>0</v>
      </c>
      <c r="G1527">
        <v>58110000</v>
      </c>
      <c r="H1527">
        <v>556</v>
      </c>
      <c r="I1527">
        <v>60</v>
      </c>
      <c r="J1527" s="2">
        <f t="shared" si="54"/>
        <v>1268.4000000000001</v>
      </c>
      <c r="K1527">
        <v>1526</v>
      </c>
      <c r="L1527" s="3">
        <f>SUM($I$2:$I1527)</f>
        <v>6340580</v>
      </c>
      <c r="M1527" s="3">
        <f>SUM($J$2:$J1527)</f>
        <v>25290466.099999983</v>
      </c>
      <c r="N1527" s="2">
        <f>SUM($D$2:$D1527)</f>
        <v>12711.679999999998</v>
      </c>
      <c r="O1527" s="2">
        <f t="shared" si="55"/>
        <v>0.75753230856512221</v>
      </c>
      <c r="P1527" s="2" cm="1">
        <f t="array" ref="P1527">SUMPRODUCT((O1527&gt;$T$9:$T$14)*(O1527&lt;=$U$9:$U$14),$S$9:$S$14)</f>
        <v>5</v>
      </c>
    </row>
    <row r="1528" spans="1:16" x14ac:dyDescent="0.25">
      <c r="A1528">
        <v>1496</v>
      </c>
      <c r="B1528">
        <v>328</v>
      </c>
      <c r="C1528">
        <v>1466</v>
      </c>
      <c r="D1528">
        <v>20.47</v>
      </c>
      <c r="E1528">
        <v>44210</v>
      </c>
      <c r="F1528">
        <v>0</v>
      </c>
      <c r="G1528">
        <v>44210000</v>
      </c>
      <c r="H1528">
        <v>129</v>
      </c>
      <c r="I1528">
        <v>60</v>
      </c>
      <c r="J1528" s="2">
        <f t="shared" si="54"/>
        <v>1228.1999999999998</v>
      </c>
      <c r="K1528">
        <v>1527</v>
      </c>
      <c r="L1528" s="3">
        <f>SUM($I$2:$I1528)</f>
        <v>6340640</v>
      </c>
      <c r="M1528" s="3">
        <f>SUM($J$2:$J1528)</f>
        <v>25291694.299999982</v>
      </c>
      <c r="N1528" s="2">
        <f>SUM($D$2:$D1528)</f>
        <v>12732.149999999998</v>
      </c>
      <c r="O1528" s="2">
        <f t="shared" si="55"/>
        <v>0.75875218558816937</v>
      </c>
      <c r="P1528" s="2" cm="1">
        <f t="array" ref="P1528">SUMPRODUCT((O1528&gt;$T$9:$T$14)*(O1528&lt;=$U$9:$U$14),$S$9:$S$14)</f>
        <v>5</v>
      </c>
    </row>
    <row r="1529" spans="1:16" x14ac:dyDescent="0.25">
      <c r="A1529">
        <v>131</v>
      </c>
      <c r="B1529">
        <v>927</v>
      </c>
      <c r="C1529">
        <v>1689</v>
      </c>
      <c r="D1529">
        <v>16.59</v>
      </c>
      <c r="E1529">
        <v>53070</v>
      </c>
      <c r="F1529">
        <v>0</v>
      </c>
      <c r="G1529">
        <v>53070000</v>
      </c>
      <c r="H1529">
        <v>518</v>
      </c>
      <c r="I1529">
        <v>60</v>
      </c>
      <c r="J1529" s="2">
        <f t="shared" si="54"/>
        <v>995.4</v>
      </c>
      <c r="K1529">
        <v>1528</v>
      </c>
      <c r="L1529" s="3">
        <f>SUM($I$2:$I1529)</f>
        <v>6340700</v>
      </c>
      <c r="M1529" s="3">
        <f>SUM($J$2:$J1529)</f>
        <v>25292689.699999981</v>
      </c>
      <c r="N1529" s="2">
        <f>SUM($D$2:$D1529)</f>
        <v>12748.739999999998</v>
      </c>
      <c r="O1529" s="2">
        <f t="shared" si="55"/>
        <v>0.75974084019551436</v>
      </c>
      <c r="P1529" s="2" cm="1">
        <f t="array" ref="P1529">SUMPRODUCT((O1529&gt;$T$9:$T$14)*(O1529&lt;=$U$9:$U$14),$S$9:$S$14)</f>
        <v>5</v>
      </c>
    </row>
    <row r="1530" spans="1:16" x14ac:dyDescent="0.25">
      <c r="A1530">
        <v>178</v>
      </c>
      <c r="B1530">
        <v>974</v>
      </c>
      <c r="C1530">
        <v>1757</v>
      </c>
      <c r="D1530">
        <v>16.350000000000001</v>
      </c>
      <c r="E1530">
        <v>57900</v>
      </c>
      <c r="F1530">
        <v>0</v>
      </c>
      <c r="G1530">
        <v>57900000</v>
      </c>
      <c r="H1530">
        <v>554</v>
      </c>
      <c r="I1530">
        <v>60</v>
      </c>
      <c r="J1530" s="2">
        <f t="shared" si="54"/>
        <v>981.00000000000011</v>
      </c>
      <c r="K1530">
        <v>1529</v>
      </c>
      <c r="L1530" s="3">
        <f>SUM($I$2:$I1530)</f>
        <v>6340760</v>
      </c>
      <c r="M1530" s="3">
        <f>SUM($J$2:$J1530)</f>
        <v>25293670.699999981</v>
      </c>
      <c r="N1530" s="2">
        <f>SUM($D$2:$D1530)</f>
        <v>12765.089999999998</v>
      </c>
      <c r="O1530" s="2">
        <f t="shared" si="55"/>
        <v>0.76071519238539331</v>
      </c>
      <c r="P1530" s="2" cm="1">
        <f t="array" ref="P1530">SUMPRODUCT((O1530&gt;$T$9:$T$14)*(O1530&lt;=$U$9:$U$14),$S$9:$S$14)</f>
        <v>5</v>
      </c>
    </row>
    <row r="1531" spans="1:16" x14ac:dyDescent="0.25">
      <c r="A1531">
        <v>1716</v>
      </c>
      <c r="B1531">
        <v>1716</v>
      </c>
      <c r="C1531">
        <v>2222</v>
      </c>
      <c r="D1531">
        <v>14.22</v>
      </c>
      <c r="E1531">
        <v>54750</v>
      </c>
      <c r="F1531">
        <v>0</v>
      </c>
      <c r="G1531">
        <v>54750000</v>
      </c>
      <c r="H1531">
        <v>532</v>
      </c>
      <c r="I1531">
        <v>60</v>
      </c>
      <c r="J1531" s="2">
        <f t="shared" si="54"/>
        <v>853.2</v>
      </c>
      <c r="K1531">
        <v>1530</v>
      </c>
      <c r="L1531" s="3">
        <f>SUM($I$2:$I1531)</f>
        <v>6340820</v>
      </c>
      <c r="M1531" s="3">
        <f>SUM($J$2:$J1531)</f>
        <v>25294523.89999998</v>
      </c>
      <c r="N1531" s="2">
        <f>SUM($D$2:$D1531)</f>
        <v>12779.309999999998</v>
      </c>
      <c r="O1531" s="2">
        <f t="shared" si="55"/>
        <v>0.76156261062026043</v>
      </c>
      <c r="P1531" s="2" cm="1">
        <f t="array" ref="P1531">SUMPRODUCT((O1531&gt;$T$9:$T$14)*(O1531&lt;=$U$9:$U$14),$S$9:$S$14)</f>
        <v>5</v>
      </c>
    </row>
    <row r="1532" spans="1:16" x14ac:dyDescent="0.25">
      <c r="A1532">
        <v>247</v>
      </c>
      <c r="B1532">
        <v>1042</v>
      </c>
      <c r="C1532">
        <v>1858</v>
      </c>
      <c r="D1532">
        <v>14.13</v>
      </c>
      <c r="E1532">
        <v>61900</v>
      </c>
      <c r="F1532">
        <v>0</v>
      </c>
      <c r="G1532">
        <v>61900000</v>
      </c>
      <c r="H1532">
        <v>587</v>
      </c>
      <c r="I1532">
        <v>60</v>
      </c>
      <c r="J1532" s="2">
        <f t="shared" si="54"/>
        <v>847.80000000000007</v>
      </c>
      <c r="K1532">
        <v>1531</v>
      </c>
      <c r="L1532" s="3">
        <f>SUM($I$2:$I1532)</f>
        <v>6340880</v>
      </c>
      <c r="M1532" s="3">
        <f>SUM($J$2:$J1532)</f>
        <v>25295371.699999981</v>
      </c>
      <c r="N1532" s="2">
        <f>SUM($D$2:$D1532)</f>
        <v>12793.439999999997</v>
      </c>
      <c r="O1532" s="2">
        <f t="shared" si="55"/>
        <v>0.76240466544857766</v>
      </c>
      <c r="P1532" s="2" cm="1">
        <f t="array" ref="P1532">SUMPRODUCT((O1532&gt;$T$9:$T$14)*(O1532&lt;=$U$9:$U$14),$S$9:$S$14)</f>
        <v>5</v>
      </c>
    </row>
    <row r="1533" spans="1:16" x14ac:dyDescent="0.25">
      <c r="A1533">
        <v>1712</v>
      </c>
      <c r="B1533">
        <v>1712</v>
      </c>
      <c r="C1533">
        <v>2217</v>
      </c>
      <c r="D1533">
        <v>13.16</v>
      </c>
      <c r="E1533">
        <v>55005</v>
      </c>
      <c r="F1533">
        <v>0</v>
      </c>
      <c r="G1533">
        <v>55005000</v>
      </c>
      <c r="H1533">
        <v>534</v>
      </c>
      <c r="I1533">
        <v>60</v>
      </c>
      <c r="J1533" s="2">
        <f t="shared" si="54"/>
        <v>789.6</v>
      </c>
      <c r="K1533">
        <v>1532</v>
      </c>
      <c r="L1533" s="3">
        <f>SUM($I$2:$I1533)</f>
        <v>6340940</v>
      </c>
      <c r="M1533" s="3">
        <f>SUM($J$2:$J1533)</f>
        <v>25296161.299999982</v>
      </c>
      <c r="N1533" s="2">
        <f>SUM($D$2:$D1533)</f>
        <v>12806.599999999997</v>
      </c>
      <c r="O1533" s="2">
        <f t="shared" si="55"/>
        <v>0.76318891467296956</v>
      </c>
      <c r="P1533" s="2" cm="1">
        <f t="array" ref="P1533">SUMPRODUCT((O1533&gt;$T$9:$T$14)*(O1533&lt;=$U$9:$U$14),$S$9:$S$14)</f>
        <v>5</v>
      </c>
    </row>
    <row r="1534" spans="1:16" x14ac:dyDescent="0.25">
      <c r="A1534">
        <v>242</v>
      </c>
      <c r="B1534">
        <v>1037</v>
      </c>
      <c r="C1534">
        <v>1852</v>
      </c>
      <c r="D1534">
        <v>8.9499999999999993</v>
      </c>
      <c r="E1534">
        <v>62020</v>
      </c>
      <c r="F1534">
        <v>0</v>
      </c>
      <c r="G1534">
        <v>62020000</v>
      </c>
      <c r="H1534">
        <v>588</v>
      </c>
      <c r="I1534">
        <v>60</v>
      </c>
      <c r="J1534" s="2">
        <f t="shared" si="54"/>
        <v>537</v>
      </c>
      <c r="K1534">
        <v>1533</v>
      </c>
      <c r="L1534" s="3">
        <f>SUM($I$2:$I1534)</f>
        <v>6341000</v>
      </c>
      <c r="M1534" s="3">
        <f>SUM($J$2:$J1534)</f>
        <v>25296698.299999982</v>
      </c>
      <c r="N1534" s="2">
        <f>SUM($D$2:$D1534)</f>
        <v>12815.549999999997</v>
      </c>
      <c r="O1534" s="2">
        <f t="shared" si="55"/>
        <v>0.76372227565764328</v>
      </c>
      <c r="P1534" s="2" cm="1">
        <f t="array" ref="P1534">SUMPRODUCT((O1534&gt;$T$9:$T$14)*(O1534&lt;=$U$9:$U$14),$S$9:$S$14)</f>
        <v>5</v>
      </c>
    </row>
    <row r="1535" spans="1:16" x14ac:dyDescent="0.25">
      <c r="A1535">
        <v>1369</v>
      </c>
      <c r="B1535">
        <v>201</v>
      </c>
      <c r="C1535">
        <v>1307</v>
      </c>
      <c r="D1535">
        <v>6.84</v>
      </c>
      <c r="E1535">
        <v>40500</v>
      </c>
      <c r="F1535">
        <v>0</v>
      </c>
      <c r="G1535">
        <v>40500000</v>
      </c>
      <c r="H1535">
        <v>101</v>
      </c>
      <c r="I1535">
        <v>60</v>
      </c>
      <c r="J1535" s="2">
        <f t="shared" si="54"/>
        <v>410.4</v>
      </c>
      <c r="K1535">
        <v>1534</v>
      </c>
      <c r="L1535" s="3">
        <f>SUM($I$2:$I1535)</f>
        <v>6341060</v>
      </c>
      <c r="M1535" s="3">
        <f>SUM($J$2:$J1535)</f>
        <v>25297108.699999981</v>
      </c>
      <c r="N1535" s="2">
        <f>SUM($D$2:$D1535)</f>
        <v>12822.389999999998</v>
      </c>
      <c r="O1535" s="2">
        <f t="shared" si="55"/>
        <v>0.76412989455542757</v>
      </c>
      <c r="P1535" s="2" cm="1">
        <f t="array" ref="P1535">SUMPRODUCT((O1535&gt;$T$9:$T$14)*(O1535&lt;=$U$9:$U$14),$S$9:$S$14)</f>
        <v>5</v>
      </c>
    </row>
    <row r="1536" spans="1:16" x14ac:dyDescent="0.25">
      <c r="A1536">
        <v>185</v>
      </c>
      <c r="B1536">
        <v>980</v>
      </c>
      <c r="C1536">
        <v>1767</v>
      </c>
      <c r="D1536">
        <v>6.34</v>
      </c>
      <c r="E1536">
        <v>57600</v>
      </c>
      <c r="F1536">
        <v>0.4</v>
      </c>
      <c r="G1536">
        <v>57600004</v>
      </c>
      <c r="H1536">
        <v>551</v>
      </c>
      <c r="I1536">
        <v>60</v>
      </c>
      <c r="J1536" s="2">
        <f t="shared" si="54"/>
        <v>380.4</v>
      </c>
      <c r="K1536">
        <v>1535</v>
      </c>
      <c r="L1536" s="3">
        <f>SUM($I$2:$I1536)</f>
        <v>6341120</v>
      </c>
      <c r="M1536" s="3">
        <f>SUM($J$2:$J1536)</f>
        <v>25297489.099999979</v>
      </c>
      <c r="N1536" s="2">
        <f>SUM($D$2:$D1536)</f>
        <v>12828.729999999998</v>
      </c>
      <c r="O1536" s="2">
        <f t="shared" si="55"/>
        <v>0.76450771675015738</v>
      </c>
      <c r="P1536" s="2" cm="1">
        <f t="array" ref="P1536">SUMPRODUCT((O1536&gt;$T$9:$T$14)*(O1536&lt;=$U$9:$U$14),$S$9:$S$14)</f>
        <v>5</v>
      </c>
    </row>
    <row r="1537" spans="1:16" x14ac:dyDescent="0.25">
      <c r="A1537">
        <v>125</v>
      </c>
      <c r="B1537">
        <v>921</v>
      </c>
      <c r="C1537">
        <v>1680</v>
      </c>
      <c r="D1537">
        <v>6.31</v>
      </c>
      <c r="E1537">
        <v>53440</v>
      </c>
      <c r="F1537">
        <v>0</v>
      </c>
      <c r="G1537">
        <v>53440000</v>
      </c>
      <c r="H1537">
        <v>520</v>
      </c>
      <c r="I1537">
        <v>60</v>
      </c>
      <c r="J1537" s="2">
        <f t="shared" si="54"/>
        <v>378.59999999999997</v>
      </c>
      <c r="K1537">
        <v>1536</v>
      </c>
      <c r="L1537" s="3">
        <f>SUM($I$2:$I1537)</f>
        <v>6341180</v>
      </c>
      <c r="M1537" s="3">
        <f>SUM($J$2:$J1537)</f>
        <v>25297867.699999981</v>
      </c>
      <c r="N1537" s="2">
        <f>SUM($D$2:$D1537)</f>
        <v>12835.039999999997</v>
      </c>
      <c r="O1537" s="2">
        <f t="shared" si="55"/>
        <v>0.76488375114270379</v>
      </c>
      <c r="P1537" s="2" cm="1">
        <f t="array" ref="P1537">SUMPRODUCT((O1537&gt;$T$9:$T$14)*(O1537&lt;=$U$9:$U$14),$S$9:$S$14)</f>
        <v>5</v>
      </c>
    </row>
    <row r="1538" spans="1:16" x14ac:dyDescent="0.25">
      <c r="A1538">
        <v>1738</v>
      </c>
      <c r="B1538">
        <v>1738</v>
      </c>
      <c r="C1538">
        <v>2247</v>
      </c>
      <c r="D1538">
        <v>5.09</v>
      </c>
      <c r="E1538">
        <v>53610</v>
      </c>
      <c r="F1538">
        <v>10.8</v>
      </c>
      <c r="G1538">
        <v>53610108</v>
      </c>
      <c r="H1538">
        <v>522</v>
      </c>
      <c r="I1538">
        <v>60</v>
      </c>
      <c r="J1538" s="2">
        <f t="shared" ref="J1538:J1601" si="56">I1538*D1538</f>
        <v>305.39999999999998</v>
      </c>
      <c r="K1538">
        <v>1537</v>
      </c>
      <c r="L1538" s="3">
        <f>SUM($I$2:$I1538)</f>
        <v>6341240</v>
      </c>
      <c r="M1538" s="3">
        <f>SUM($J$2:$J1538)</f>
        <v>25298173.099999979</v>
      </c>
      <c r="N1538" s="2">
        <f>SUM($D$2:$D1538)</f>
        <v>12840.129999999997</v>
      </c>
      <c r="O1538" s="2">
        <f t="shared" ref="O1538:O1601" si="57">N1538/$T$4</f>
        <v>0.76518708157979765</v>
      </c>
      <c r="P1538" s="2" cm="1">
        <f t="array" ref="P1538">SUMPRODUCT((O1538&gt;$T$9:$T$14)*(O1538&lt;=$U$9:$U$14),$S$9:$S$14)</f>
        <v>5</v>
      </c>
    </row>
    <row r="1539" spans="1:16" x14ac:dyDescent="0.25">
      <c r="A1539">
        <v>152</v>
      </c>
      <c r="B1539">
        <v>948</v>
      </c>
      <c r="C1539">
        <v>1721</v>
      </c>
      <c r="D1539">
        <v>4.51</v>
      </c>
      <c r="E1539">
        <v>59800</v>
      </c>
      <c r="F1539">
        <v>0</v>
      </c>
      <c r="G1539">
        <v>59800000</v>
      </c>
      <c r="H1539">
        <v>571</v>
      </c>
      <c r="I1539">
        <v>60</v>
      </c>
      <c r="J1539" s="2">
        <f t="shared" si="56"/>
        <v>270.59999999999997</v>
      </c>
      <c r="K1539">
        <v>1538</v>
      </c>
      <c r="L1539" s="3">
        <f>SUM($I$2:$I1539)</f>
        <v>6341300</v>
      </c>
      <c r="M1539" s="3">
        <f>SUM($J$2:$J1539)</f>
        <v>25298443.699999981</v>
      </c>
      <c r="N1539" s="2">
        <f>SUM($D$2:$D1539)</f>
        <v>12844.639999999998</v>
      </c>
      <c r="O1539" s="2">
        <f t="shared" si="57"/>
        <v>0.76545584784134835</v>
      </c>
      <c r="P1539" s="2" cm="1">
        <f t="array" ref="P1539">SUMPRODUCT((O1539&gt;$T$9:$T$14)*(O1539&lt;=$U$9:$U$14),$S$9:$S$14)</f>
        <v>5</v>
      </c>
    </row>
    <row r="1540" spans="1:16" x14ac:dyDescent="0.25">
      <c r="A1540">
        <v>1710</v>
      </c>
      <c r="B1540">
        <v>1710</v>
      </c>
      <c r="C1540">
        <v>2215</v>
      </c>
      <c r="D1540">
        <v>4.4800000000000004</v>
      </c>
      <c r="E1540">
        <v>55020</v>
      </c>
      <c r="F1540">
        <v>0</v>
      </c>
      <c r="G1540">
        <v>55020000</v>
      </c>
      <c r="H1540">
        <v>534</v>
      </c>
      <c r="I1540">
        <v>60</v>
      </c>
      <c r="J1540" s="2">
        <f t="shared" si="56"/>
        <v>268.8</v>
      </c>
      <c r="K1540">
        <v>1539</v>
      </c>
      <c r="L1540" s="3">
        <f>SUM($I$2:$I1540)</f>
        <v>6341360</v>
      </c>
      <c r="M1540" s="3">
        <f>SUM($J$2:$J1540)</f>
        <v>25298712.499999981</v>
      </c>
      <c r="N1540" s="2">
        <f>SUM($D$2:$D1540)</f>
        <v>12849.119999999997</v>
      </c>
      <c r="O1540" s="2">
        <f t="shared" si="57"/>
        <v>0.76572282630071575</v>
      </c>
      <c r="P1540" s="2" cm="1">
        <f t="array" ref="P1540">SUMPRODUCT((O1540&gt;$T$9:$T$14)*(O1540&lt;=$U$9:$U$14),$S$9:$S$14)</f>
        <v>5</v>
      </c>
    </row>
    <row r="1541" spans="1:16" x14ac:dyDescent="0.25">
      <c r="A1541">
        <v>222</v>
      </c>
      <c r="B1541">
        <v>1017</v>
      </c>
      <c r="C1541">
        <v>1824</v>
      </c>
      <c r="D1541">
        <v>3.82</v>
      </c>
      <c r="E1541">
        <v>63152</v>
      </c>
      <c r="F1541">
        <v>0</v>
      </c>
      <c r="G1541">
        <v>63152000</v>
      </c>
      <c r="H1541">
        <v>596</v>
      </c>
      <c r="I1541">
        <v>60</v>
      </c>
      <c r="J1541" s="2">
        <f t="shared" si="56"/>
        <v>229.2</v>
      </c>
      <c r="K1541">
        <v>1540</v>
      </c>
      <c r="L1541" s="3">
        <f>SUM($I$2:$I1541)</f>
        <v>6341420</v>
      </c>
      <c r="M1541" s="3">
        <f>SUM($J$2:$J1541)</f>
        <v>25298941.699999981</v>
      </c>
      <c r="N1541" s="2">
        <f>SUM($D$2:$D1541)</f>
        <v>12852.939999999997</v>
      </c>
      <c r="O1541" s="2">
        <f t="shared" si="57"/>
        <v>0.76595047311205133</v>
      </c>
      <c r="P1541" s="2" cm="1">
        <f t="array" ref="P1541">SUMPRODUCT((O1541&gt;$T$9:$T$14)*(O1541&lt;=$U$9:$U$14),$S$9:$S$14)</f>
        <v>5</v>
      </c>
    </row>
    <row r="1542" spans="1:16" x14ac:dyDescent="0.25">
      <c r="A1542">
        <v>737</v>
      </c>
      <c r="B1542">
        <v>1524</v>
      </c>
      <c r="C1542">
        <v>987</v>
      </c>
      <c r="D1542">
        <v>2.96</v>
      </c>
      <c r="E1542">
        <v>33500</v>
      </c>
      <c r="F1542">
        <v>0</v>
      </c>
      <c r="G1542">
        <v>33500000</v>
      </c>
      <c r="H1542">
        <v>61</v>
      </c>
      <c r="I1542">
        <v>60</v>
      </c>
      <c r="J1542" s="2">
        <f t="shared" si="56"/>
        <v>177.6</v>
      </c>
      <c r="K1542">
        <v>1541</v>
      </c>
      <c r="L1542" s="3">
        <f>SUM($I$2:$I1542)</f>
        <v>6341480</v>
      </c>
      <c r="M1542" s="3">
        <f>SUM($J$2:$J1542)</f>
        <v>25299119.299999982</v>
      </c>
      <c r="N1542" s="2">
        <f>SUM($D$2:$D1542)</f>
        <v>12855.899999999996</v>
      </c>
      <c r="O1542" s="2">
        <f t="shared" si="57"/>
        <v>0.76612686959413334</v>
      </c>
      <c r="P1542" s="2" cm="1">
        <f t="array" ref="P1542">SUMPRODUCT((O1542&gt;$T$9:$T$14)*(O1542&lt;=$U$9:$U$14),$S$9:$S$14)</f>
        <v>5</v>
      </c>
    </row>
    <row r="1543" spans="1:16" x14ac:dyDescent="0.25">
      <c r="A1543">
        <v>1752</v>
      </c>
      <c r="B1543">
        <v>1752</v>
      </c>
      <c r="C1543">
        <v>0</v>
      </c>
      <c r="D1543">
        <v>1.64</v>
      </c>
      <c r="E1543">
        <v>73820</v>
      </c>
      <c r="F1543">
        <v>0</v>
      </c>
      <c r="G1543">
        <v>73820000</v>
      </c>
      <c r="H1543">
        <v>7088</v>
      </c>
      <c r="I1543">
        <v>60</v>
      </c>
      <c r="J1543" s="2">
        <f t="shared" si="56"/>
        <v>98.399999999999991</v>
      </c>
      <c r="K1543">
        <v>1542</v>
      </c>
      <c r="L1543" s="3">
        <f>SUM($I$2:$I1543)</f>
        <v>6341540</v>
      </c>
      <c r="M1543" s="3">
        <f>SUM($J$2:$J1543)</f>
        <v>25299217.699999981</v>
      </c>
      <c r="N1543" s="2">
        <f>SUM($D$2:$D1543)</f>
        <v>12857.539999999995</v>
      </c>
      <c r="O1543" s="2">
        <f t="shared" si="57"/>
        <v>0.76622460278015181</v>
      </c>
      <c r="P1543" s="2" cm="1">
        <f t="array" ref="P1543">SUMPRODUCT((O1543&gt;$T$9:$T$14)*(O1543&lt;=$U$9:$U$14),$S$9:$S$14)</f>
        <v>5</v>
      </c>
    </row>
    <row r="1544" spans="1:16" x14ac:dyDescent="0.25">
      <c r="A1544">
        <v>1766</v>
      </c>
      <c r="B1544">
        <v>1766</v>
      </c>
      <c r="C1544">
        <v>0</v>
      </c>
      <c r="D1544">
        <v>1.34</v>
      </c>
      <c r="E1544">
        <v>68925</v>
      </c>
      <c r="F1544">
        <v>0</v>
      </c>
      <c r="G1544">
        <v>68925000</v>
      </c>
      <c r="H1544">
        <v>638</v>
      </c>
      <c r="I1544">
        <v>60</v>
      </c>
      <c r="J1544" s="2">
        <f t="shared" si="56"/>
        <v>80.400000000000006</v>
      </c>
      <c r="K1544">
        <v>1543</v>
      </c>
      <c r="L1544" s="3">
        <f>SUM($I$2:$I1544)</f>
        <v>6341600</v>
      </c>
      <c r="M1544" s="3">
        <f>SUM($J$2:$J1544)</f>
        <v>25299298.099999979</v>
      </c>
      <c r="N1544" s="2">
        <f>SUM($D$2:$D1544)</f>
        <v>12858.879999999996</v>
      </c>
      <c r="O1544" s="2">
        <f t="shared" si="57"/>
        <v>0.76630445794433755</v>
      </c>
      <c r="P1544" s="2" cm="1">
        <f t="array" ref="P1544">SUMPRODUCT((O1544&gt;$T$9:$T$14)*(O1544&lt;=$U$9:$U$14),$S$9:$S$14)</f>
        <v>5</v>
      </c>
    </row>
    <row r="1545" spans="1:16" x14ac:dyDescent="0.25">
      <c r="A1545">
        <v>205</v>
      </c>
      <c r="B1545">
        <v>1000</v>
      </c>
      <c r="C1545">
        <v>1796</v>
      </c>
      <c r="D1545">
        <v>0.63</v>
      </c>
      <c r="E1545">
        <v>65030</v>
      </c>
      <c r="F1545">
        <v>0</v>
      </c>
      <c r="G1545">
        <v>65030000</v>
      </c>
      <c r="H1545">
        <v>607</v>
      </c>
      <c r="I1545">
        <v>60</v>
      </c>
      <c r="J1545" s="2">
        <f t="shared" si="56"/>
        <v>37.799999999999997</v>
      </c>
      <c r="K1545">
        <v>1544</v>
      </c>
      <c r="L1545" s="3">
        <f>SUM($I$2:$I1545)</f>
        <v>6341660</v>
      </c>
      <c r="M1545" s="3">
        <f>SUM($J$2:$J1545)</f>
        <v>25299335.89999998</v>
      </c>
      <c r="N1545" s="2">
        <f>SUM($D$2:$D1545)</f>
        <v>12859.509999999995</v>
      </c>
      <c r="O1545" s="2">
        <f t="shared" si="57"/>
        <v>0.76634200179018608</v>
      </c>
      <c r="P1545" s="2" cm="1">
        <f t="array" ref="P1545">SUMPRODUCT((O1545&gt;$T$9:$T$14)*(O1545&lt;=$U$9:$U$14),$S$9:$S$14)</f>
        <v>5</v>
      </c>
    </row>
    <row r="1546" spans="1:16" x14ac:dyDescent="0.25">
      <c r="A1546">
        <v>1276</v>
      </c>
      <c r="B1546">
        <v>108</v>
      </c>
      <c r="C1546">
        <v>1186</v>
      </c>
      <c r="D1546">
        <v>0.6</v>
      </c>
      <c r="E1546">
        <v>41511</v>
      </c>
      <c r="F1546">
        <v>15.4</v>
      </c>
      <c r="G1546">
        <v>41511154</v>
      </c>
      <c r="H1546">
        <v>108</v>
      </c>
      <c r="I1546">
        <v>60</v>
      </c>
      <c r="J1546" s="2">
        <f t="shared" si="56"/>
        <v>36</v>
      </c>
      <c r="K1546">
        <v>1545</v>
      </c>
      <c r="L1546" s="3">
        <f>SUM($I$2:$I1546)</f>
        <v>6341720</v>
      </c>
      <c r="M1546" s="3">
        <f>SUM($J$2:$J1546)</f>
        <v>25299371.89999998</v>
      </c>
      <c r="N1546" s="2">
        <f>SUM($D$2:$D1546)</f>
        <v>12860.109999999995</v>
      </c>
      <c r="O1546" s="2">
        <f t="shared" si="57"/>
        <v>0.76637775783385131</v>
      </c>
      <c r="P1546" s="2" cm="1">
        <f t="array" ref="P1546">SUMPRODUCT((O1546&gt;$T$9:$T$14)*(O1546&lt;=$U$9:$U$14),$S$9:$S$14)</f>
        <v>5</v>
      </c>
    </row>
    <row r="1547" spans="1:16" x14ac:dyDescent="0.25">
      <c r="A1547">
        <v>289</v>
      </c>
      <c r="B1547">
        <v>1084</v>
      </c>
      <c r="C1547">
        <v>1916</v>
      </c>
      <c r="D1547">
        <v>71.540000000000006</v>
      </c>
      <c r="E1547">
        <v>67011</v>
      </c>
      <c r="F1547">
        <v>0</v>
      </c>
      <c r="G1547">
        <v>67011000</v>
      </c>
      <c r="H1547">
        <v>622</v>
      </c>
      <c r="I1547">
        <v>50</v>
      </c>
      <c r="J1547" s="2">
        <f t="shared" si="56"/>
        <v>3577.0000000000005</v>
      </c>
      <c r="K1547">
        <v>1546</v>
      </c>
      <c r="L1547" s="3">
        <f>SUM($I$2:$I1547)</f>
        <v>6341770</v>
      </c>
      <c r="M1547" s="3">
        <f>SUM($J$2:$J1547)</f>
        <v>25302948.89999998</v>
      </c>
      <c r="N1547" s="2">
        <f>SUM($D$2:$D1547)</f>
        <v>12931.649999999996</v>
      </c>
      <c r="O1547" s="2">
        <f t="shared" si="57"/>
        <v>0.77064107010687499</v>
      </c>
      <c r="P1547" s="2" cm="1">
        <f t="array" ref="P1547">SUMPRODUCT((O1547&gt;$T$9:$T$14)*(O1547&lt;=$U$9:$U$14),$S$9:$S$14)</f>
        <v>5</v>
      </c>
    </row>
    <row r="1548" spans="1:16" x14ac:dyDescent="0.25">
      <c r="A1548">
        <v>249</v>
      </c>
      <c r="B1548">
        <v>1044</v>
      </c>
      <c r="C1548">
        <v>1860</v>
      </c>
      <c r="D1548">
        <v>37.14</v>
      </c>
      <c r="E1548">
        <v>61700</v>
      </c>
      <c r="F1548">
        <v>0</v>
      </c>
      <c r="G1548">
        <v>61700000</v>
      </c>
      <c r="H1548">
        <v>585</v>
      </c>
      <c r="I1548">
        <v>50</v>
      </c>
      <c r="J1548" s="2">
        <f t="shared" si="56"/>
        <v>1857</v>
      </c>
      <c r="K1548">
        <v>1547</v>
      </c>
      <c r="L1548" s="3">
        <f>SUM($I$2:$I1548)</f>
        <v>6341820</v>
      </c>
      <c r="M1548" s="3">
        <f>SUM($J$2:$J1548)</f>
        <v>25304805.89999998</v>
      </c>
      <c r="N1548" s="2">
        <f>SUM($D$2:$D1548)</f>
        <v>12968.789999999995</v>
      </c>
      <c r="O1548" s="2">
        <f t="shared" si="57"/>
        <v>0.77285436920975581</v>
      </c>
      <c r="P1548" s="2" cm="1">
        <f t="array" ref="P1548">SUMPRODUCT((O1548&gt;$T$9:$T$14)*(O1548&lt;=$U$9:$U$14),$S$9:$S$14)</f>
        <v>5</v>
      </c>
    </row>
    <row r="1549" spans="1:16" x14ac:dyDescent="0.25">
      <c r="A1549">
        <v>322</v>
      </c>
      <c r="B1549">
        <v>1117</v>
      </c>
      <c r="C1549">
        <v>1959</v>
      </c>
      <c r="D1549">
        <v>35.409999999999997</v>
      </c>
      <c r="E1549">
        <v>72060</v>
      </c>
      <c r="F1549">
        <v>0</v>
      </c>
      <c r="G1549">
        <v>72060000</v>
      </c>
      <c r="H1549">
        <v>667</v>
      </c>
      <c r="I1549">
        <v>50</v>
      </c>
      <c r="J1549" s="2">
        <f t="shared" si="56"/>
        <v>1770.4999999999998</v>
      </c>
      <c r="K1549">
        <v>1548</v>
      </c>
      <c r="L1549" s="3">
        <f>SUM($I$2:$I1549)</f>
        <v>6341870</v>
      </c>
      <c r="M1549" s="3">
        <f>SUM($J$2:$J1549)</f>
        <v>25306576.39999998</v>
      </c>
      <c r="N1549" s="2">
        <f>SUM($D$2:$D1549)</f>
        <v>13004.199999999995</v>
      </c>
      <c r="O1549" s="2">
        <f t="shared" si="57"/>
        <v>0.7749645717200685</v>
      </c>
      <c r="P1549" s="2" cm="1">
        <f t="array" ref="P1549">SUMPRODUCT((O1549&gt;$T$9:$T$14)*(O1549&lt;=$U$9:$U$14),$S$9:$S$14)</f>
        <v>5</v>
      </c>
    </row>
    <row r="1550" spans="1:16" x14ac:dyDescent="0.25">
      <c r="A1550">
        <v>342</v>
      </c>
      <c r="B1550">
        <v>1137</v>
      </c>
      <c r="C1550">
        <v>1981</v>
      </c>
      <c r="D1550">
        <v>20.75</v>
      </c>
      <c r="E1550">
        <v>70811</v>
      </c>
      <c r="F1550">
        <v>0</v>
      </c>
      <c r="G1550">
        <v>70811000</v>
      </c>
      <c r="H1550">
        <v>652</v>
      </c>
      <c r="I1550">
        <v>50</v>
      </c>
      <c r="J1550" s="2">
        <f t="shared" si="56"/>
        <v>1037.5</v>
      </c>
      <c r="K1550">
        <v>1549</v>
      </c>
      <c r="L1550" s="3">
        <f>SUM($I$2:$I1550)</f>
        <v>6341920</v>
      </c>
      <c r="M1550" s="3">
        <f>SUM($J$2:$J1550)</f>
        <v>25307613.89999998</v>
      </c>
      <c r="N1550" s="2">
        <f>SUM($D$2:$D1550)</f>
        <v>13024.949999999995</v>
      </c>
      <c r="O1550" s="2">
        <f t="shared" si="57"/>
        <v>0.77620113489682607</v>
      </c>
      <c r="P1550" s="2" cm="1">
        <f t="array" ref="P1550">SUMPRODUCT((O1550&gt;$T$9:$T$14)*(O1550&lt;=$U$9:$U$14),$S$9:$S$14)</f>
        <v>5</v>
      </c>
    </row>
    <row r="1551" spans="1:16" x14ac:dyDescent="0.25">
      <c r="A1551">
        <v>1734</v>
      </c>
      <c r="B1551">
        <v>1734</v>
      </c>
      <c r="C1551">
        <v>2240</v>
      </c>
      <c r="D1551">
        <v>19.62</v>
      </c>
      <c r="E1551">
        <v>53700</v>
      </c>
      <c r="F1551">
        <v>0</v>
      </c>
      <c r="G1551">
        <v>53700000</v>
      </c>
      <c r="H1551">
        <v>523</v>
      </c>
      <c r="I1551">
        <v>50</v>
      </c>
      <c r="J1551" s="2">
        <f t="shared" si="56"/>
        <v>981</v>
      </c>
      <c r="K1551">
        <v>1550</v>
      </c>
      <c r="L1551" s="3">
        <f>SUM($I$2:$I1551)</f>
        <v>6341970</v>
      </c>
      <c r="M1551" s="3">
        <f>SUM($J$2:$J1551)</f>
        <v>25308594.89999998</v>
      </c>
      <c r="N1551" s="2">
        <f>SUM($D$2:$D1551)</f>
        <v>13044.569999999996</v>
      </c>
      <c r="O1551" s="2">
        <f t="shared" si="57"/>
        <v>0.77737035752468087</v>
      </c>
      <c r="P1551" s="2" cm="1">
        <f t="array" ref="P1551">SUMPRODUCT((O1551&gt;$T$9:$T$14)*(O1551&lt;=$U$9:$U$14),$S$9:$S$14)</f>
        <v>5</v>
      </c>
    </row>
    <row r="1552" spans="1:16" x14ac:dyDescent="0.25">
      <c r="A1552">
        <v>141</v>
      </c>
      <c r="B1552">
        <v>937</v>
      </c>
      <c r="C1552">
        <v>1707</v>
      </c>
      <c r="D1552">
        <v>16.600000000000001</v>
      </c>
      <c r="E1552">
        <v>60820</v>
      </c>
      <c r="F1552">
        <v>0</v>
      </c>
      <c r="G1552">
        <v>60820000</v>
      </c>
      <c r="H1552">
        <v>579</v>
      </c>
      <c r="I1552">
        <v>50</v>
      </c>
      <c r="J1552" s="2">
        <f t="shared" si="56"/>
        <v>830.00000000000011</v>
      </c>
      <c r="K1552">
        <v>1551</v>
      </c>
      <c r="L1552" s="3">
        <f>SUM($I$2:$I1552)</f>
        <v>6342020</v>
      </c>
      <c r="M1552" s="3">
        <f>SUM($J$2:$J1552)</f>
        <v>25309424.89999998</v>
      </c>
      <c r="N1552" s="2">
        <f>SUM($D$2:$D1552)</f>
        <v>13061.169999999996</v>
      </c>
      <c r="O1552" s="2">
        <f t="shared" si="57"/>
        <v>0.77835960806608695</v>
      </c>
      <c r="P1552" s="2" cm="1">
        <f t="array" ref="P1552">SUMPRODUCT((O1552&gt;$T$9:$T$14)*(O1552&lt;=$U$9:$U$14),$S$9:$S$14)</f>
        <v>5</v>
      </c>
    </row>
    <row r="1553" spans="1:16" x14ac:dyDescent="0.25">
      <c r="A1553">
        <v>316</v>
      </c>
      <c r="B1553">
        <v>1111</v>
      </c>
      <c r="C1553">
        <v>1952</v>
      </c>
      <c r="D1553">
        <v>14.13</v>
      </c>
      <c r="E1553">
        <v>72200</v>
      </c>
      <c r="F1553">
        <v>3.4</v>
      </c>
      <c r="G1553">
        <v>72200034</v>
      </c>
      <c r="H1553">
        <v>672</v>
      </c>
      <c r="I1553">
        <v>50</v>
      </c>
      <c r="J1553" s="2">
        <f t="shared" si="56"/>
        <v>706.5</v>
      </c>
      <c r="K1553">
        <v>1552</v>
      </c>
      <c r="L1553" s="3">
        <f>SUM($I$2:$I1553)</f>
        <v>6342070</v>
      </c>
      <c r="M1553" s="3">
        <f>SUM($J$2:$J1553)</f>
        <v>25310131.39999998</v>
      </c>
      <c r="N1553" s="2">
        <f>SUM($D$2:$D1553)</f>
        <v>13075.299999999996</v>
      </c>
      <c r="O1553" s="2">
        <f t="shared" si="57"/>
        <v>0.77920166289440429</v>
      </c>
      <c r="P1553" s="2" cm="1">
        <f t="array" ref="P1553">SUMPRODUCT((O1553&gt;$T$9:$T$14)*(O1553&lt;=$U$9:$U$14),$S$9:$S$14)</f>
        <v>5</v>
      </c>
    </row>
    <row r="1554" spans="1:16" x14ac:dyDescent="0.25">
      <c r="A1554">
        <v>244</v>
      </c>
      <c r="B1554">
        <v>1039</v>
      </c>
      <c r="C1554">
        <v>1854</v>
      </c>
      <c r="D1554">
        <v>13.47</v>
      </c>
      <c r="E1554">
        <v>62000</v>
      </c>
      <c r="F1554">
        <v>1.8</v>
      </c>
      <c r="G1554">
        <v>62000018</v>
      </c>
      <c r="H1554">
        <v>588</v>
      </c>
      <c r="I1554">
        <v>50</v>
      </c>
      <c r="J1554" s="2">
        <f t="shared" si="56"/>
        <v>673.5</v>
      </c>
      <c r="K1554">
        <v>1553</v>
      </c>
      <c r="L1554" s="3">
        <f>SUM($I$2:$I1554)</f>
        <v>6342120</v>
      </c>
      <c r="M1554" s="3">
        <f>SUM($J$2:$J1554)</f>
        <v>25310804.89999998</v>
      </c>
      <c r="N1554" s="2">
        <f>SUM($D$2:$D1554)</f>
        <v>13088.769999999995</v>
      </c>
      <c r="O1554" s="2">
        <f t="shared" si="57"/>
        <v>0.7800043860746898</v>
      </c>
      <c r="P1554" s="2" cm="1">
        <f t="array" ref="P1554">SUMPRODUCT((O1554&gt;$T$9:$T$14)*(O1554&lt;=$U$9:$U$14),$S$9:$S$14)</f>
        <v>5</v>
      </c>
    </row>
    <row r="1555" spans="1:16" x14ac:dyDescent="0.25">
      <c r="A1555">
        <v>183</v>
      </c>
      <c r="B1555">
        <v>978</v>
      </c>
      <c r="C1555">
        <v>1763</v>
      </c>
      <c r="D1555">
        <v>12.18</v>
      </c>
      <c r="E1555">
        <v>57700</v>
      </c>
      <c r="F1555">
        <v>0</v>
      </c>
      <c r="G1555">
        <v>57700000</v>
      </c>
      <c r="H1555">
        <v>552</v>
      </c>
      <c r="I1555">
        <v>50</v>
      </c>
      <c r="J1555" s="2">
        <f t="shared" si="56"/>
        <v>609</v>
      </c>
      <c r="K1555">
        <v>1554</v>
      </c>
      <c r="L1555" s="3">
        <f>SUM($I$2:$I1555)</f>
        <v>6342170</v>
      </c>
      <c r="M1555" s="3">
        <f>SUM($J$2:$J1555)</f>
        <v>25311413.89999998</v>
      </c>
      <c r="N1555" s="2">
        <f>SUM($D$2:$D1555)</f>
        <v>13100.949999999995</v>
      </c>
      <c r="O1555" s="2">
        <f t="shared" si="57"/>
        <v>0.78073023376109496</v>
      </c>
      <c r="P1555" s="2" cm="1">
        <f t="array" ref="P1555">SUMPRODUCT((O1555&gt;$T$9:$T$14)*(O1555&lt;=$U$9:$U$14),$S$9:$S$14)</f>
        <v>5</v>
      </c>
    </row>
    <row r="1556" spans="1:16" x14ac:dyDescent="0.25">
      <c r="A1556">
        <v>124</v>
      </c>
      <c r="B1556">
        <v>920</v>
      </c>
      <c r="C1556">
        <v>1679</v>
      </c>
      <c r="D1556">
        <v>11.72</v>
      </c>
      <c r="E1556">
        <v>53440</v>
      </c>
      <c r="F1556">
        <v>6.3</v>
      </c>
      <c r="G1556">
        <v>53440063</v>
      </c>
      <c r="H1556">
        <v>520</v>
      </c>
      <c r="I1556">
        <v>50</v>
      </c>
      <c r="J1556" s="2">
        <f t="shared" si="56"/>
        <v>586</v>
      </c>
      <c r="K1556">
        <v>1555</v>
      </c>
      <c r="L1556" s="3">
        <f>SUM($I$2:$I1556)</f>
        <v>6342220</v>
      </c>
      <c r="M1556" s="3">
        <f>SUM($J$2:$J1556)</f>
        <v>25311999.89999998</v>
      </c>
      <c r="N1556" s="2">
        <f>SUM($D$2:$D1556)</f>
        <v>13112.669999999995</v>
      </c>
      <c r="O1556" s="2">
        <f t="shared" si="57"/>
        <v>0.78142866848069004</v>
      </c>
      <c r="P1556" s="2" cm="1">
        <f t="array" ref="P1556">SUMPRODUCT((O1556&gt;$T$9:$T$14)*(O1556&lt;=$U$9:$U$14),$S$9:$S$14)</f>
        <v>5</v>
      </c>
    </row>
    <row r="1557" spans="1:16" x14ac:dyDescent="0.25">
      <c r="A1557">
        <v>1724</v>
      </c>
      <c r="B1557">
        <v>1724</v>
      </c>
      <c r="C1557">
        <v>2230</v>
      </c>
      <c r="D1557">
        <v>11.52</v>
      </c>
      <c r="E1557">
        <v>54200</v>
      </c>
      <c r="F1557">
        <v>0</v>
      </c>
      <c r="G1557">
        <v>54200000</v>
      </c>
      <c r="H1557">
        <v>528</v>
      </c>
      <c r="I1557">
        <v>50</v>
      </c>
      <c r="J1557" s="2">
        <f t="shared" si="56"/>
        <v>576</v>
      </c>
      <c r="K1557">
        <v>1556</v>
      </c>
      <c r="L1557" s="3">
        <f>SUM($I$2:$I1557)</f>
        <v>6342270</v>
      </c>
      <c r="M1557" s="3">
        <f>SUM($J$2:$J1557)</f>
        <v>25312575.89999998</v>
      </c>
      <c r="N1557" s="2">
        <f>SUM($D$2:$D1557)</f>
        <v>13124.189999999995</v>
      </c>
      <c r="O1557" s="2">
        <f t="shared" si="57"/>
        <v>0.78211518451906348</v>
      </c>
      <c r="P1557" s="2" cm="1">
        <f t="array" ref="P1557">SUMPRODUCT((O1557&gt;$T$9:$T$14)*(O1557&lt;=$U$9:$U$14),$S$9:$S$14)</f>
        <v>5</v>
      </c>
    </row>
    <row r="1558" spans="1:16" x14ac:dyDescent="0.25">
      <c r="A1558">
        <v>204</v>
      </c>
      <c r="B1558">
        <v>999</v>
      </c>
      <c r="C1558">
        <v>1795</v>
      </c>
      <c r="D1558">
        <v>8.64</v>
      </c>
      <c r="E1558">
        <v>65040</v>
      </c>
      <c r="F1558">
        <v>0</v>
      </c>
      <c r="G1558">
        <v>65040000</v>
      </c>
      <c r="H1558">
        <v>607</v>
      </c>
      <c r="I1558">
        <v>50</v>
      </c>
      <c r="J1558" s="2">
        <f t="shared" si="56"/>
        <v>432</v>
      </c>
      <c r="K1558">
        <v>1557</v>
      </c>
      <c r="L1558" s="3">
        <f>SUM($I$2:$I1558)</f>
        <v>6342320</v>
      </c>
      <c r="M1558" s="3">
        <f>SUM($J$2:$J1558)</f>
        <v>25313007.89999998</v>
      </c>
      <c r="N1558" s="2">
        <f>SUM($D$2:$D1558)</f>
        <v>13132.829999999994</v>
      </c>
      <c r="O1558" s="2">
        <f t="shared" si="57"/>
        <v>0.78263007154784348</v>
      </c>
      <c r="P1558" s="2" cm="1">
        <f t="array" ref="P1558">SUMPRODUCT((O1558&gt;$T$9:$T$14)*(O1558&lt;=$U$9:$U$14),$S$9:$S$14)</f>
        <v>5</v>
      </c>
    </row>
    <row r="1559" spans="1:16" x14ac:dyDescent="0.25">
      <c r="A1559">
        <v>324</v>
      </c>
      <c r="B1559">
        <v>1119</v>
      </c>
      <c r="C1559">
        <v>1961</v>
      </c>
      <c r="D1559">
        <v>8.57</v>
      </c>
      <c r="E1559">
        <v>72030</v>
      </c>
      <c r="F1559">
        <v>0</v>
      </c>
      <c r="G1559">
        <v>72030000</v>
      </c>
      <c r="H1559">
        <v>665</v>
      </c>
      <c r="I1559">
        <v>50</v>
      </c>
      <c r="J1559" s="2">
        <f t="shared" si="56"/>
        <v>428.5</v>
      </c>
      <c r="K1559">
        <v>1558</v>
      </c>
      <c r="L1559" s="3">
        <f>SUM($I$2:$I1559)</f>
        <v>6342370</v>
      </c>
      <c r="M1559" s="3">
        <f>SUM($J$2:$J1559)</f>
        <v>25313436.39999998</v>
      </c>
      <c r="N1559" s="2">
        <f>SUM($D$2:$D1559)</f>
        <v>13141.399999999994</v>
      </c>
      <c r="O1559" s="2">
        <f t="shared" si="57"/>
        <v>0.7831407870381959</v>
      </c>
      <c r="P1559" s="2" cm="1">
        <f t="array" ref="P1559">SUMPRODUCT((O1559&gt;$T$9:$T$14)*(O1559&lt;=$U$9:$U$14),$S$9:$S$14)</f>
        <v>5</v>
      </c>
    </row>
    <row r="1560" spans="1:16" x14ac:dyDescent="0.25">
      <c r="A1560">
        <v>233</v>
      </c>
      <c r="B1560">
        <v>1028</v>
      </c>
      <c r="C1560">
        <v>1842</v>
      </c>
      <c r="D1560">
        <v>7.85</v>
      </c>
      <c r="E1560">
        <v>62500</v>
      </c>
      <c r="F1560">
        <v>0</v>
      </c>
      <c r="G1560">
        <v>62500000</v>
      </c>
      <c r="H1560">
        <v>591</v>
      </c>
      <c r="I1560">
        <v>50</v>
      </c>
      <c r="J1560" s="2">
        <f t="shared" si="56"/>
        <v>392.5</v>
      </c>
      <c r="K1560">
        <v>1559</v>
      </c>
      <c r="L1560" s="3">
        <f>SUM($I$2:$I1560)</f>
        <v>6342420</v>
      </c>
      <c r="M1560" s="3">
        <f>SUM($J$2:$J1560)</f>
        <v>25313828.89999998</v>
      </c>
      <c r="N1560" s="2">
        <f>SUM($D$2:$D1560)</f>
        <v>13149.249999999995</v>
      </c>
      <c r="O1560" s="2">
        <f t="shared" si="57"/>
        <v>0.78360859527615001</v>
      </c>
      <c r="P1560" s="2" cm="1">
        <f t="array" ref="P1560">SUMPRODUCT((O1560&gt;$T$9:$T$14)*(O1560&lt;=$U$9:$U$14),$S$9:$S$14)</f>
        <v>5</v>
      </c>
    </row>
    <row r="1561" spans="1:16" x14ac:dyDescent="0.25">
      <c r="A1561">
        <v>250</v>
      </c>
      <c r="B1561">
        <v>1045</v>
      </c>
      <c r="C1561">
        <v>1861</v>
      </c>
      <c r="D1561">
        <v>6.3</v>
      </c>
      <c r="E1561">
        <v>61550</v>
      </c>
      <c r="F1561">
        <v>0</v>
      </c>
      <c r="G1561">
        <v>61550000</v>
      </c>
      <c r="H1561">
        <v>584</v>
      </c>
      <c r="I1561">
        <v>50</v>
      </c>
      <c r="J1561" s="2">
        <f t="shared" si="56"/>
        <v>315</v>
      </c>
      <c r="K1561">
        <v>1560</v>
      </c>
      <c r="L1561" s="3">
        <f>SUM($I$2:$I1561)</f>
        <v>6342470</v>
      </c>
      <c r="M1561" s="3">
        <f>SUM($J$2:$J1561)</f>
        <v>25314143.89999998</v>
      </c>
      <c r="N1561" s="2">
        <f>SUM($D$2:$D1561)</f>
        <v>13155.549999999994</v>
      </c>
      <c r="O1561" s="2">
        <f t="shared" si="57"/>
        <v>0.78398403373463543</v>
      </c>
      <c r="P1561" s="2" cm="1">
        <f t="array" ref="P1561">SUMPRODUCT((O1561&gt;$T$9:$T$14)*(O1561&lt;=$U$9:$U$14),$S$9:$S$14)</f>
        <v>5</v>
      </c>
    </row>
    <row r="1562" spans="1:16" x14ac:dyDescent="0.25">
      <c r="A1562">
        <v>1700</v>
      </c>
      <c r="B1562">
        <v>1700</v>
      </c>
      <c r="C1562">
        <v>2203</v>
      </c>
      <c r="D1562">
        <v>5.75</v>
      </c>
      <c r="E1562">
        <v>55600</v>
      </c>
      <c r="F1562">
        <v>0</v>
      </c>
      <c r="G1562">
        <v>55600000</v>
      </c>
      <c r="H1562" t="s">
        <v>15</v>
      </c>
      <c r="I1562">
        <v>50</v>
      </c>
      <c r="J1562" s="2">
        <f t="shared" si="56"/>
        <v>287.5</v>
      </c>
      <c r="K1562">
        <v>1561</v>
      </c>
      <c r="L1562" s="3">
        <f>SUM($I$2:$I1562)</f>
        <v>6342520</v>
      </c>
      <c r="M1562" s="3">
        <f>SUM($J$2:$J1562)</f>
        <v>25314431.39999998</v>
      </c>
      <c r="N1562" s="2">
        <f>SUM($D$2:$D1562)</f>
        <v>13161.299999999994</v>
      </c>
      <c r="O1562" s="2">
        <f t="shared" si="57"/>
        <v>0.784326695819761</v>
      </c>
      <c r="P1562" s="2" cm="1">
        <f t="array" ref="P1562">SUMPRODUCT((O1562&gt;$T$9:$T$14)*(O1562&lt;=$U$9:$U$14),$S$9:$S$14)</f>
        <v>5</v>
      </c>
    </row>
    <row r="1563" spans="1:16" x14ac:dyDescent="0.25">
      <c r="A1563">
        <v>182</v>
      </c>
      <c r="B1563">
        <v>977</v>
      </c>
      <c r="C1563">
        <v>1762</v>
      </c>
      <c r="D1563">
        <v>4.7300000000000004</v>
      </c>
      <c r="E1563">
        <v>57720</v>
      </c>
      <c r="F1563">
        <v>0</v>
      </c>
      <c r="G1563">
        <v>57720000</v>
      </c>
      <c r="H1563">
        <v>552</v>
      </c>
      <c r="I1563">
        <v>50</v>
      </c>
      <c r="J1563" s="2">
        <f t="shared" si="56"/>
        <v>236.50000000000003</v>
      </c>
      <c r="K1563">
        <v>1562</v>
      </c>
      <c r="L1563" s="3">
        <f>SUM($I$2:$I1563)</f>
        <v>6342570</v>
      </c>
      <c r="M1563" s="3">
        <f>SUM($J$2:$J1563)</f>
        <v>25314667.89999998</v>
      </c>
      <c r="N1563" s="2">
        <f>SUM($D$2:$D1563)</f>
        <v>13166.029999999993</v>
      </c>
      <c r="O1563" s="2">
        <f t="shared" si="57"/>
        <v>0.78460857263065564</v>
      </c>
      <c r="P1563" s="2" cm="1">
        <f t="array" ref="P1563">SUMPRODUCT((O1563&gt;$T$9:$T$14)*(O1563&lt;=$U$9:$U$14),$S$9:$S$14)</f>
        <v>5</v>
      </c>
    </row>
    <row r="1564" spans="1:16" x14ac:dyDescent="0.25">
      <c r="A1564">
        <v>1319</v>
      </c>
      <c r="B1564">
        <v>151</v>
      </c>
      <c r="C1564">
        <v>1241</v>
      </c>
      <c r="D1564">
        <v>3.81</v>
      </c>
      <c r="E1564">
        <v>34700</v>
      </c>
      <c r="F1564">
        <v>0</v>
      </c>
      <c r="G1564">
        <v>34700000</v>
      </c>
      <c r="H1564">
        <v>66</v>
      </c>
      <c r="I1564">
        <v>50</v>
      </c>
      <c r="J1564" s="2">
        <f t="shared" si="56"/>
        <v>190.5</v>
      </c>
      <c r="K1564">
        <v>1563</v>
      </c>
      <c r="L1564" s="3">
        <f>SUM($I$2:$I1564)</f>
        <v>6342620</v>
      </c>
      <c r="M1564" s="3">
        <f>SUM($J$2:$J1564)</f>
        <v>25314858.39999998</v>
      </c>
      <c r="N1564" s="2">
        <f>SUM($D$2:$D1564)</f>
        <v>13169.839999999993</v>
      </c>
      <c r="O1564" s="2">
        <f t="shared" si="57"/>
        <v>0.78483562350793012</v>
      </c>
      <c r="P1564" s="2" cm="1">
        <f t="array" ref="P1564">SUMPRODUCT((O1564&gt;$T$9:$T$14)*(O1564&lt;=$U$9:$U$14),$S$9:$S$14)</f>
        <v>5</v>
      </c>
    </row>
    <row r="1565" spans="1:16" x14ac:dyDescent="0.25">
      <c r="A1565">
        <v>1500</v>
      </c>
      <c r="B1565">
        <v>332</v>
      </c>
      <c r="C1565">
        <v>1471</v>
      </c>
      <c r="D1565">
        <v>3.48</v>
      </c>
      <c r="E1565">
        <v>44010</v>
      </c>
      <c r="F1565">
        <v>0</v>
      </c>
      <c r="G1565">
        <v>44010000</v>
      </c>
      <c r="H1565">
        <v>127</v>
      </c>
      <c r="I1565">
        <v>50</v>
      </c>
      <c r="J1565" s="2">
        <f t="shared" si="56"/>
        <v>174</v>
      </c>
      <c r="K1565">
        <v>1564</v>
      </c>
      <c r="L1565" s="3">
        <f>SUM($I$2:$I1565)</f>
        <v>6342670</v>
      </c>
      <c r="M1565" s="3">
        <f>SUM($J$2:$J1565)</f>
        <v>25315032.39999998</v>
      </c>
      <c r="N1565" s="2">
        <f>SUM($D$2:$D1565)</f>
        <v>13173.319999999992</v>
      </c>
      <c r="O1565" s="2">
        <f t="shared" si="57"/>
        <v>0.78504300856118869</v>
      </c>
      <c r="P1565" s="2" cm="1">
        <f t="array" ref="P1565">SUMPRODUCT((O1565&gt;$T$9:$T$14)*(O1565&lt;=$U$9:$U$14),$S$9:$S$14)</f>
        <v>5</v>
      </c>
    </row>
    <row r="1566" spans="1:16" x14ac:dyDescent="0.25">
      <c r="A1566">
        <v>1268</v>
      </c>
      <c r="B1566">
        <v>100</v>
      </c>
      <c r="C1566">
        <v>1176</v>
      </c>
      <c r="D1566">
        <v>2.98</v>
      </c>
      <c r="E1566">
        <v>41511</v>
      </c>
      <c r="F1566">
        <v>11.4</v>
      </c>
      <c r="G1566">
        <v>41511114</v>
      </c>
      <c r="H1566">
        <v>108</v>
      </c>
      <c r="I1566">
        <v>50</v>
      </c>
      <c r="J1566" s="2">
        <f t="shared" si="56"/>
        <v>149</v>
      </c>
      <c r="K1566">
        <v>1565</v>
      </c>
      <c r="L1566" s="3">
        <f>SUM($I$2:$I1566)</f>
        <v>6342720</v>
      </c>
      <c r="M1566" s="3">
        <f>SUM($J$2:$J1566)</f>
        <v>25315181.39999998</v>
      </c>
      <c r="N1566" s="2">
        <f>SUM($D$2:$D1566)</f>
        <v>13176.299999999992</v>
      </c>
      <c r="O1566" s="2">
        <f t="shared" si="57"/>
        <v>0.7852205969113929</v>
      </c>
      <c r="P1566" s="2" cm="1">
        <f t="array" ref="P1566">SUMPRODUCT((O1566&gt;$T$9:$T$14)*(O1566&lt;=$U$9:$U$14),$S$9:$S$14)</f>
        <v>5</v>
      </c>
    </row>
    <row r="1567" spans="1:16" x14ac:dyDescent="0.25">
      <c r="A1567">
        <v>1796</v>
      </c>
      <c r="B1567">
        <v>1796</v>
      </c>
      <c r="C1567">
        <v>0</v>
      </c>
      <c r="D1567">
        <v>1.9</v>
      </c>
      <c r="E1567">
        <v>85620</v>
      </c>
      <c r="F1567">
        <v>0</v>
      </c>
      <c r="G1567">
        <v>85620000</v>
      </c>
      <c r="H1567">
        <v>7298</v>
      </c>
      <c r="I1567">
        <v>50</v>
      </c>
      <c r="J1567" s="2">
        <f t="shared" si="56"/>
        <v>95</v>
      </c>
      <c r="K1567">
        <v>1566</v>
      </c>
      <c r="L1567" s="3">
        <f>SUM($I$2:$I1567)</f>
        <v>6342770</v>
      </c>
      <c r="M1567" s="3">
        <f>SUM($J$2:$J1567)</f>
        <v>25315276.39999998</v>
      </c>
      <c r="N1567" s="2">
        <f>SUM($D$2:$D1567)</f>
        <v>13178.199999999992</v>
      </c>
      <c r="O1567" s="2">
        <f t="shared" si="57"/>
        <v>0.78533382438299959</v>
      </c>
      <c r="P1567" s="2" cm="1">
        <f t="array" ref="P1567">SUMPRODUCT((O1567&gt;$T$9:$T$14)*(O1567&lt;=$U$9:$U$14),$S$9:$S$14)</f>
        <v>5</v>
      </c>
    </row>
    <row r="1568" spans="1:16" x14ac:dyDescent="0.25">
      <c r="A1568">
        <v>298</v>
      </c>
      <c r="B1568">
        <v>1093</v>
      </c>
      <c r="C1568">
        <v>1927</v>
      </c>
      <c r="D1568">
        <v>1.5</v>
      </c>
      <c r="E1568">
        <v>66300</v>
      </c>
      <c r="F1568">
        <v>0</v>
      </c>
      <c r="G1568">
        <v>66300000</v>
      </c>
      <c r="H1568">
        <v>618</v>
      </c>
      <c r="I1568">
        <v>50</v>
      </c>
      <c r="J1568" s="2">
        <f t="shared" si="56"/>
        <v>75</v>
      </c>
      <c r="K1568">
        <v>1567</v>
      </c>
      <c r="L1568" s="3">
        <f>SUM($I$2:$I1568)</f>
        <v>6342820</v>
      </c>
      <c r="M1568" s="3">
        <f>SUM($J$2:$J1568)</f>
        <v>25315351.39999998</v>
      </c>
      <c r="N1568" s="2">
        <f>SUM($D$2:$D1568)</f>
        <v>13179.699999999992</v>
      </c>
      <c r="O1568" s="2">
        <f t="shared" si="57"/>
        <v>0.78542321449216279</v>
      </c>
      <c r="P1568" s="2" cm="1">
        <f t="array" ref="P1568">SUMPRODUCT((O1568&gt;$T$9:$T$14)*(O1568&lt;=$U$9:$U$14),$S$9:$S$14)</f>
        <v>5</v>
      </c>
    </row>
    <row r="1569" spans="1:16" x14ac:dyDescent="0.25">
      <c r="A1569">
        <v>1725</v>
      </c>
      <c r="B1569">
        <v>1725</v>
      </c>
      <c r="C1569">
        <v>2231</v>
      </c>
      <c r="D1569">
        <v>90.39</v>
      </c>
      <c r="E1569">
        <v>54120</v>
      </c>
      <c r="F1569">
        <v>0</v>
      </c>
      <c r="G1569">
        <v>54120000</v>
      </c>
      <c r="H1569">
        <v>527</v>
      </c>
      <c r="I1569">
        <v>40</v>
      </c>
      <c r="J1569" s="2">
        <f t="shared" si="56"/>
        <v>3615.6</v>
      </c>
      <c r="K1569">
        <v>1568</v>
      </c>
      <c r="L1569" s="3">
        <f>SUM($I$2:$I1569)</f>
        <v>6342860</v>
      </c>
      <c r="M1569" s="3">
        <f>SUM($J$2:$J1569)</f>
        <v>25318966.999999981</v>
      </c>
      <c r="N1569" s="2">
        <f>SUM($D$2:$D1569)</f>
        <v>13270.089999999991</v>
      </c>
      <c r="O1569" s="2">
        <f t="shared" si="57"/>
        <v>0.79080986247033735</v>
      </c>
      <c r="P1569" s="2" cm="1">
        <f t="array" ref="P1569">SUMPRODUCT((O1569&gt;$T$9:$T$14)*(O1569&lt;=$U$9:$U$14),$S$9:$S$14)</f>
        <v>5</v>
      </c>
    </row>
    <row r="1570" spans="1:16" x14ac:dyDescent="0.25">
      <c r="A1570">
        <v>260</v>
      </c>
      <c r="B1570">
        <v>1055</v>
      </c>
      <c r="C1570">
        <v>1874</v>
      </c>
      <c r="D1570">
        <v>53.86</v>
      </c>
      <c r="E1570">
        <v>70600</v>
      </c>
      <c r="F1570">
        <v>0</v>
      </c>
      <c r="G1570">
        <v>70600000</v>
      </c>
      <c r="H1570">
        <v>651</v>
      </c>
      <c r="I1570">
        <v>40</v>
      </c>
      <c r="J1570" s="2">
        <f t="shared" si="56"/>
        <v>2154.4</v>
      </c>
      <c r="K1570">
        <v>1569</v>
      </c>
      <c r="L1570" s="3">
        <f>SUM($I$2:$I1570)</f>
        <v>6342900</v>
      </c>
      <c r="M1570" s="3">
        <f>SUM($J$2:$J1570)</f>
        <v>25321121.39999998</v>
      </c>
      <c r="N1570" s="2">
        <f>SUM($D$2:$D1570)</f>
        <v>13323.949999999992</v>
      </c>
      <c r="O1570" s="2">
        <f t="shared" si="57"/>
        <v>0.79401956332335732</v>
      </c>
      <c r="P1570" s="2" cm="1">
        <f t="array" ref="P1570">SUMPRODUCT((O1570&gt;$T$9:$T$14)*(O1570&lt;=$U$9:$U$14),$S$9:$S$14)</f>
        <v>5</v>
      </c>
    </row>
    <row r="1571" spans="1:16" x14ac:dyDescent="0.25">
      <c r="A1571">
        <v>1736</v>
      </c>
      <c r="B1571">
        <v>1736</v>
      </c>
      <c r="C1571">
        <v>2245</v>
      </c>
      <c r="D1571">
        <v>47</v>
      </c>
      <c r="E1571">
        <v>53640</v>
      </c>
      <c r="F1571">
        <v>0</v>
      </c>
      <c r="G1571">
        <v>53640000</v>
      </c>
      <c r="H1571">
        <v>522</v>
      </c>
      <c r="I1571">
        <v>40</v>
      </c>
      <c r="J1571" s="2">
        <f t="shared" si="56"/>
        <v>1880</v>
      </c>
      <c r="K1571">
        <v>1570</v>
      </c>
      <c r="L1571" s="3">
        <f>SUM($I$2:$I1571)</f>
        <v>6342940</v>
      </c>
      <c r="M1571" s="3">
        <f>SUM($J$2:$J1571)</f>
        <v>25323001.39999998</v>
      </c>
      <c r="N1571" s="2">
        <f>SUM($D$2:$D1571)</f>
        <v>13370.949999999992</v>
      </c>
      <c r="O1571" s="2">
        <f t="shared" si="57"/>
        <v>0.79682045341047103</v>
      </c>
      <c r="P1571" s="2" cm="1">
        <f t="array" ref="P1571">SUMPRODUCT((O1571&gt;$T$9:$T$14)*(O1571&lt;=$U$9:$U$14),$S$9:$S$14)</f>
        <v>5</v>
      </c>
    </row>
    <row r="1572" spans="1:16" x14ac:dyDescent="0.25">
      <c r="A1572">
        <v>299</v>
      </c>
      <c r="B1572">
        <v>1094</v>
      </c>
      <c r="C1572">
        <v>1928</v>
      </c>
      <c r="D1572">
        <v>24.46</v>
      </c>
      <c r="E1572">
        <v>66200</v>
      </c>
      <c r="F1572">
        <v>0</v>
      </c>
      <c r="G1572">
        <v>66200000</v>
      </c>
      <c r="H1572">
        <v>617</v>
      </c>
      <c r="I1572">
        <v>40</v>
      </c>
      <c r="J1572" s="2">
        <f t="shared" si="56"/>
        <v>978.40000000000009</v>
      </c>
      <c r="K1572">
        <v>1571</v>
      </c>
      <c r="L1572" s="3">
        <f>SUM($I$2:$I1572)</f>
        <v>6342980</v>
      </c>
      <c r="M1572" s="3">
        <f>SUM($J$2:$J1572)</f>
        <v>25323979.799999978</v>
      </c>
      <c r="N1572" s="2">
        <f>SUM($D$2:$D1572)</f>
        <v>13395.409999999991</v>
      </c>
      <c r="O1572" s="2">
        <f t="shared" si="57"/>
        <v>0.79827810812389222</v>
      </c>
      <c r="P1572" s="2" cm="1">
        <f t="array" ref="P1572">SUMPRODUCT((O1572&gt;$T$9:$T$14)*(O1572&lt;=$U$9:$U$14),$S$9:$S$14)</f>
        <v>5</v>
      </c>
    </row>
    <row r="1573" spans="1:16" x14ac:dyDescent="0.25">
      <c r="A1573">
        <v>1702</v>
      </c>
      <c r="B1573">
        <v>1702</v>
      </c>
      <c r="C1573">
        <v>2206</v>
      </c>
      <c r="D1573">
        <v>23.16</v>
      </c>
      <c r="E1573">
        <v>55500</v>
      </c>
      <c r="F1573">
        <v>0</v>
      </c>
      <c r="G1573">
        <v>55500000</v>
      </c>
      <c r="H1573">
        <v>539</v>
      </c>
      <c r="I1573">
        <v>40</v>
      </c>
      <c r="J1573" s="2">
        <f t="shared" si="56"/>
        <v>926.4</v>
      </c>
      <c r="K1573">
        <v>1572</v>
      </c>
      <c r="L1573" s="3">
        <f>SUM($I$2:$I1573)</f>
        <v>6343020</v>
      </c>
      <c r="M1573" s="3">
        <f>SUM($J$2:$J1573)</f>
        <v>25324906.199999977</v>
      </c>
      <c r="N1573" s="2">
        <f>SUM($D$2:$D1573)</f>
        <v>13418.569999999991</v>
      </c>
      <c r="O1573" s="2">
        <f t="shared" si="57"/>
        <v>0.79965829140937206</v>
      </c>
      <c r="P1573" s="2" cm="1">
        <f t="array" ref="P1573">SUMPRODUCT((O1573&gt;$T$9:$T$14)*(O1573&lt;=$U$9:$U$14),$S$9:$S$14)</f>
        <v>5</v>
      </c>
    </row>
    <row r="1574" spans="1:16" x14ac:dyDescent="0.25">
      <c r="A1574">
        <v>1687</v>
      </c>
      <c r="B1574">
        <v>1687</v>
      </c>
      <c r="C1574">
        <v>2187</v>
      </c>
      <c r="D1574">
        <v>20.14</v>
      </c>
      <c r="E1574">
        <v>56340</v>
      </c>
      <c r="F1574">
        <v>0</v>
      </c>
      <c r="G1574">
        <v>56340000</v>
      </c>
      <c r="H1574">
        <v>542</v>
      </c>
      <c r="I1574">
        <v>40</v>
      </c>
      <c r="J1574" s="2">
        <f t="shared" si="56"/>
        <v>805.6</v>
      </c>
      <c r="K1574">
        <v>1573</v>
      </c>
      <c r="L1574" s="3">
        <f>SUM($I$2:$I1574)</f>
        <v>6343060</v>
      </c>
      <c r="M1574" s="3">
        <f>SUM($J$2:$J1574)</f>
        <v>25325711.799999978</v>
      </c>
      <c r="N1574" s="2">
        <f>SUM($D$2:$D1574)</f>
        <v>13438.70999999999</v>
      </c>
      <c r="O1574" s="2">
        <f t="shared" si="57"/>
        <v>0.8008585026084033</v>
      </c>
      <c r="P1574" s="2" cm="1">
        <f t="array" ref="P1574">SUMPRODUCT((O1574&gt;$T$9:$T$14)*(O1574&lt;=$U$9:$U$14),$S$9:$S$14)</f>
        <v>5</v>
      </c>
    </row>
    <row r="1575" spans="1:16" x14ac:dyDescent="0.25">
      <c r="A1575">
        <v>264</v>
      </c>
      <c r="B1575">
        <v>1059</v>
      </c>
      <c r="C1575">
        <v>1879</v>
      </c>
      <c r="D1575">
        <v>19.690000000000001</v>
      </c>
      <c r="E1575">
        <v>69700</v>
      </c>
      <c r="F1575">
        <v>0</v>
      </c>
      <c r="G1575">
        <v>69700000</v>
      </c>
      <c r="H1575">
        <v>643</v>
      </c>
      <c r="I1575">
        <v>40</v>
      </c>
      <c r="J1575" s="2">
        <f t="shared" si="56"/>
        <v>787.6</v>
      </c>
      <c r="K1575">
        <v>1574</v>
      </c>
      <c r="L1575" s="3">
        <f>SUM($I$2:$I1575)</f>
        <v>6343100</v>
      </c>
      <c r="M1575" s="3">
        <f>SUM($J$2:$J1575)</f>
        <v>25326499.39999998</v>
      </c>
      <c r="N1575" s="2">
        <f>SUM($D$2:$D1575)</f>
        <v>13458.399999999991</v>
      </c>
      <c r="O1575" s="2">
        <f t="shared" si="57"/>
        <v>0.80203189677468556</v>
      </c>
      <c r="P1575" s="2" cm="1">
        <f t="array" ref="P1575">SUMPRODUCT((O1575&gt;$T$9:$T$14)*(O1575&lt;=$U$9:$U$14),$S$9:$S$14)</f>
        <v>5</v>
      </c>
    </row>
    <row r="1576" spans="1:16" x14ac:dyDescent="0.25">
      <c r="A1576">
        <v>285</v>
      </c>
      <c r="B1576">
        <v>1080</v>
      </c>
      <c r="C1576">
        <v>1910</v>
      </c>
      <c r="D1576">
        <v>17.22</v>
      </c>
      <c r="E1576">
        <v>67205</v>
      </c>
      <c r="F1576">
        <v>24.5</v>
      </c>
      <c r="G1576">
        <v>67205245</v>
      </c>
      <c r="H1576">
        <v>624</v>
      </c>
      <c r="I1576">
        <v>40</v>
      </c>
      <c r="J1576" s="2">
        <f t="shared" si="56"/>
        <v>688.8</v>
      </c>
      <c r="K1576">
        <v>1575</v>
      </c>
      <c r="L1576" s="3">
        <f>SUM($I$2:$I1576)</f>
        <v>6343140</v>
      </c>
      <c r="M1576" s="3">
        <f>SUM($J$2:$J1576)</f>
        <v>25327188.199999981</v>
      </c>
      <c r="N1576" s="2">
        <f>SUM($D$2:$D1576)</f>
        <v>13475.61999999999</v>
      </c>
      <c r="O1576" s="2">
        <f t="shared" si="57"/>
        <v>0.80305809522787908</v>
      </c>
      <c r="P1576" s="2" cm="1">
        <f t="array" ref="P1576">SUMPRODUCT((O1576&gt;$T$9:$T$14)*(O1576&lt;=$U$9:$U$14),$S$9:$S$14)</f>
        <v>5</v>
      </c>
    </row>
    <row r="1577" spans="1:16" x14ac:dyDescent="0.25">
      <c r="A1577">
        <v>1711</v>
      </c>
      <c r="B1577">
        <v>1711</v>
      </c>
      <c r="C1577">
        <v>2216</v>
      </c>
      <c r="D1577">
        <v>16.93</v>
      </c>
      <c r="E1577">
        <v>55010</v>
      </c>
      <c r="F1577">
        <v>0</v>
      </c>
      <c r="G1577">
        <v>55010000</v>
      </c>
      <c r="H1577">
        <v>534</v>
      </c>
      <c r="I1577">
        <v>40</v>
      </c>
      <c r="J1577" s="2">
        <f t="shared" si="56"/>
        <v>677.2</v>
      </c>
      <c r="K1577">
        <v>1576</v>
      </c>
      <c r="L1577" s="3">
        <f>SUM($I$2:$I1577)</f>
        <v>6343180</v>
      </c>
      <c r="M1577" s="3">
        <f>SUM($J$2:$J1577)</f>
        <v>25327865.39999998</v>
      </c>
      <c r="N1577" s="2">
        <f>SUM($D$2:$D1577)</f>
        <v>13492.54999999999</v>
      </c>
      <c r="O1577" s="2">
        <f t="shared" si="57"/>
        <v>0.80406701159330107</v>
      </c>
      <c r="P1577" s="2" cm="1">
        <f t="array" ref="P1577">SUMPRODUCT((O1577&gt;$T$9:$T$14)*(O1577&lt;=$U$9:$U$14),$S$9:$S$14)</f>
        <v>5</v>
      </c>
    </row>
    <row r="1578" spans="1:16" x14ac:dyDescent="0.25">
      <c r="A1578">
        <v>300</v>
      </c>
      <c r="B1578">
        <v>1095</v>
      </c>
      <c r="C1578">
        <v>1929</v>
      </c>
      <c r="D1578">
        <v>16.8</v>
      </c>
      <c r="E1578">
        <v>66000</v>
      </c>
      <c r="F1578">
        <v>4.8</v>
      </c>
      <c r="G1578">
        <v>66000048</v>
      </c>
      <c r="H1578">
        <v>615</v>
      </c>
      <c r="I1578">
        <v>40</v>
      </c>
      <c r="J1578" s="2">
        <f t="shared" si="56"/>
        <v>672</v>
      </c>
      <c r="K1578">
        <v>1577</v>
      </c>
      <c r="L1578" s="3">
        <f>SUM($I$2:$I1578)</f>
        <v>6343220</v>
      </c>
      <c r="M1578" s="3">
        <f>SUM($J$2:$J1578)</f>
        <v>25328537.39999998</v>
      </c>
      <c r="N1578" s="2">
        <f>SUM($D$2:$D1578)</f>
        <v>13509.349999999989</v>
      </c>
      <c r="O1578" s="2">
        <f t="shared" si="57"/>
        <v>0.8050681808159289</v>
      </c>
      <c r="P1578" s="2" cm="1">
        <f t="array" ref="P1578">SUMPRODUCT((O1578&gt;$T$9:$T$14)*(O1578&lt;=$U$9:$U$14),$S$9:$S$14)</f>
        <v>5</v>
      </c>
    </row>
    <row r="1579" spans="1:16" x14ac:dyDescent="0.25">
      <c r="A1579">
        <v>155</v>
      </c>
      <c r="B1579">
        <v>951</v>
      </c>
      <c r="C1579">
        <v>1724</v>
      </c>
      <c r="D1579">
        <v>14.49</v>
      </c>
      <c r="E1579">
        <v>59610</v>
      </c>
      <c r="F1579">
        <v>0</v>
      </c>
      <c r="G1579">
        <v>59610000</v>
      </c>
      <c r="H1579">
        <v>569</v>
      </c>
      <c r="I1579">
        <v>40</v>
      </c>
      <c r="J1579" s="2">
        <f t="shared" si="56"/>
        <v>579.6</v>
      </c>
      <c r="K1579">
        <v>1578</v>
      </c>
      <c r="L1579" s="3">
        <f>SUM($I$2:$I1579)</f>
        <v>6343260</v>
      </c>
      <c r="M1579" s="3">
        <f>SUM($J$2:$J1579)</f>
        <v>25329116.999999981</v>
      </c>
      <c r="N1579" s="2">
        <f>SUM($D$2:$D1579)</f>
        <v>13523.839999999989</v>
      </c>
      <c r="O1579" s="2">
        <f t="shared" si="57"/>
        <v>0.80593168927044545</v>
      </c>
      <c r="P1579" s="2" cm="1">
        <f t="array" ref="P1579">SUMPRODUCT((O1579&gt;$T$9:$T$14)*(O1579&lt;=$U$9:$U$14),$S$9:$S$14)</f>
        <v>5</v>
      </c>
    </row>
    <row r="1580" spans="1:16" x14ac:dyDescent="0.25">
      <c r="A1580">
        <v>328</v>
      </c>
      <c r="B1580">
        <v>1123</v>
      </c>
      <c r="C1580">
        <v>1965</v>
      </c>
      <c r="D1580">
        <v>13.15</v>
      </c>
      <c r="E1580">
        <v>71410</v>
      </c>
      <c r="F1580">
        <v>0</v>
      </c>
      <c r="G1580">
        <v>71410000</v>
      </c>
      <c r="H1580">
        <v>658</v>
      </c>
      <c r="I1580">
        <v>40</v>
      </c>
      <c r="J1580" s="2">
        <f t="shared" si="56"/>
        <v>526</v>
      </c>
      <c r="K1580">
        <v>1579</v>
      </c>
      <c r="L1580" s="3">
        <f>SUM($I$2:$I1580)</f>
        <v>6343300</v>
      </c>
      <c r="M1580" s="3">
        <f>SUM($J$2:$J1580)</f>
        <v>25329642.999999981</v>
      </c>
      <c r="N1580" s="2">
        <f>SUM($D$2:$D1580)</f>
        <v>13536.989999999989</v>
      </c>
      <c r="O1580" s="2">
        <f t="shared" si="57"/>
        <v>0.80671534256077615</v>
      </c>
      <c r="P1580" s="2" cm="1">
        <f t="array" ref="P1580">SUMPRODUCT((O1580&gt;$T$9:$T$14)*(O1580&lt;=$U$9:$U$14),$S$9:$S$14)</f>
        <v>5</v>
      </c>
    </row>
    <row r="1581" spans="1:16" x14ac:dyDescent="0.25">
      <c r="A1581">
        <v>1686</v>
      </c>
      <c r="B1581">
        <v>1686</v>
      </c>
      <c r="C1581">
        <v>2185</v>
      </c>
      <c r="D1581">
        <v>12.99</v>
      </c>
      <c r="E1581">
        <v>56350</v>
      </c>
      <c r="F1581">
        <v>0</v>
      </c>
      <c r="G1581">
        <v>56350000</v>
      </c>
      <c r="H1581">
        <v>542</v>
      </c>
      <c r="I1581">
        <v>40</v>
      </c>
      <c r="J1581" s="2">
        <f t="shared" si="56"/>
        <v>519.6</v>
      </c>
      <c r="K1581">
        <v>1580</v>
      </c>
      <c r="L1581" s="3">
        <f>SUM($I$2:$I1581)</f>
        <v>6343340</v>
      </c>
      <c r="M1581" s="3">
        <f>SUM($J$2:$J1581)</f>
        <v>25330162.599999983</v>
      </c>
      <c r="N1581" s="2">
        <f>SUM($D$2:$D1581)</f>
        <v>13549.979999999989</v>
      </c>
      <c r="O1581" s="2">
        <f t="shared" si="57"/>
        <v>0.8074894609061295</v>
      </c>
      <c r="P1581" s="2" cm="1">
        <f t="array" ref="P1581">SUMPRODUCT((O1581&gt;$T$9:$T$14)*(O1581&lt;=$U$9:$U$14),$S$9:$S$14)</f>
        <v>5</v>
      </c>
    </row>
    <row r="1582" spans="1:16" x14ac:dyDescent="0.25">
      <c r="A1582">
        <v>143</v>
      </c>
      <c r="B1582">
        <v>939</v>
      </c>
      <c r="C1582">
        <v>1712</v>
      </c>
      <c r="D1582">
        <v>10.56</v>
      </c>
      <c r="E1582">
        <v>60500</v>
      </c>
      <c r="F1582">
        <v>0</v>
      </c>
      <c r="G1582">
        <v>60500000</v>
      </c>
      <c r="H1582">
        <v>577</v>
      </c>
      <c r="I1582">
        <v>40</v>
      </c>
      <c r="J1582" s="2">
        <f t="shared" si="56"/>
        <v>422.40000000000003</v>
      </c>
      <c r="K1582">
        <v>1581</v>
      </c>
      <c r="L1582" s="3">
        <f>SUM($I$2:$I1582)</f>
        <v>6343380</v>
      </c>
      <c r="M1582" s="3">
        <f>SUM($J$2:$J1582)</f>
        <v>25330584.999999981</v>
      </c>
      <c r="N1582" s="2">
        <f>SUM($D$2:$D1582)</f>
        <v>13560.539999999988</v>
      </c>
      <c r="O1582" s="2">
        <f t="shared" si="57"/>
        <v>0.80811876727463838</v>
      </c>
      <c r="P1582" s="2" cm="1">
        <f t="array" ref="P1582">SUMPRODUCT((O1582&gt;$T$9:$T$14)*(O1582&lt;=$U$9:$U$14),$S$9:$S$14)</f>
        <v>5</v>
      </c>
    </row>
    <row r="1583" spans="1:16" x14ac:dyDescent="0.25">
      <c r="A1583">
        <v>243</v>
      </c>
      <c r="B1583">
        <v>1038</v>
      </c>
      <c r="C1583">
        <v>1853</v>
      </c>
      <c r="D1583">
        <v>9.16</v>
      </c>
      <c r="E1583">
        <v>62010</v>
      </c>
      <c r="F1583">
        <v>0</v>
      </c>
      <c r="G1583">
        <v>62010000</v>
      </c>
      <c r="H1583">
        <v>588</v>
      </c>
      <c r="I1583">
        <v>40</v>
      </c>
      <c r="J1583" s="2">
        <f t="shared" si="56"/>
        <v>366.4</v>
      </c>
      <c r="K1583">
        <v>1582</v>
      </c>
      <c r="L1583" s="3">
        <f>SUM($I$2:$I1583)</f>
        <v>6343420</v>
      </c>
      <c r="M1583" s="3">
        <f>SUM($J$2:$J1583)</f>
        <v>25330951.39999998</v>
      </c>
      <c r="N1583" s="2">
        <f>SUM($D$2:$D1583)</f>
        <v>13569.699999999988</v>
      </c>
      <c r="O1583" s="2">
        <f t="shared" si="57"/>
        <v>0.80866464287459494</v>
      </c>
      <c r="P1583" s="2" cm="1">
        <f t="array" ref="P1583">SUMPRODUCT((O1583&gt;$T$9:$T$14)*(O1583&lt;=$U$9:$U$14),$S$9:$S$14)</f>
        <v>5</v>
      </c>
    </row>
    <row r="1584" spans="1:16" x14ac:dyDescent="0.25">
      <c r="A1584">
        <v>150</v>
      </c>
      <c r="B1584">
        <v>946</v>
      </c>
      <c r="C1584">
        <v>1719</v>
      </c>
      <c r="D1584">
        <v>8.4700000000000006</v>
      </c>
      <c r="E1584">
        <v>59900</v>
      </c>
      <c r="F1584">
        <v>0</v>
      </c>
      <c r="G1584">
        <v>59900000</v>
      </c>
      <c r="H1584">
        <v>572</v>
      </c>
      <c r="I1584">
        <v>40</v>
      </c>
      <c r="J1584" s="2">
        <f t="shared" si="56"/>
        <v>338.8</v>
      </c>
      <c r="K1584">
        <v>1583</v>
      </c>
      <c r="L1584" s="3">
        <f>SUM($I$2:$I1584)</f>
        <v>6343460</v>
      </c>
      <c r="M1584" s="3">
        <f>SUM($J$2:$J1584)</f>
        <v>25331290.199999981</v>
      </c>
      <c r="N1584" s="2">
        <f>SUM($D$2:$D1584)</f>
        <v>13578.169999999987</v>
      </c>
      <c r="O1584" s="2">
        <f t="shared" si="57"/>
        <v>0.80916939902433649</v>
      </c>
      <c r="P1584" s="2" cm="1">
        <f t="array" ref="P1584">SUMPRODUCT((O1584&gt;$T$9:$T$14)*(O1584&lt;=$U$9:$U$14),$S$9:$S$14)</f>
        <v>5</v>
      </c>
    </row>
    <row r="1585" spans="1:16" x14ac:dyDescent="0.25">
      <c r="A1585">
        <v>1749</v>
      </c>
      <c r="B1585">
        <v>1749</v>
      </c>
      <c r="C1585">
        <v>0</v>
      </c>
      <c r="D1585">
        <v>8.4</v>
      </c>
      <c r="E1585">
        <v>83671</v>
      </c>
      <c r="F1585">
        <v>0</v>
      </c>
      <c r="G1585">
        <v>83671000</v>
      </c>
      <c r="H1585">
        <v>7242</v>
      </c>
      <c r="I1585">
        <v>40</v>
      </c>
      <c r="J1585" s="2">
        <f t="shared" si="56"/>
        <v>336</v>
      </c>
      <c r="K1585">
        <v>1584</v>
      </c>
      <c r="L1585" s="3">
        <f>SUM($I$2:$I1585)</f>
        <v>6343500</v>
      </c>
      <c r="M1585" s="3">
        <f>SUM($J$2:$J1585)</f>
        <v>25331626.199999981</v>
      </c>
      <c r="N1585" s="2">
        <f>SUM($D$2:$D1585)</f>
        <v>13586.569999999987</v>
      </c>
      <c r="O1585" s="2">
        <f t="shared" si="57"/>
        <v>0.80966998363565035</v>
      </c>
      <c r="P1585" s="2" cm="1">
        <f t="array" ref="P1585">SUMPRODUCT((O1585&gt;$T$9:$T$14)*(O1585&lt;=$U$9:$U$14),$S$9:$S$14)</f>
        <v>5</v>
      </c>
    </row>
    <row r="1586" spans="1:16" x14ac:dyDescent="0.25">
      <c r="A1586">
        <v>202</v>
      </c>
      <c r="B1586">
        <v>997</v>
      </c>
      <c r="C1586">
        <v>1793</v>
      </c>
      <c r="D1586">
        <v>8.35</v>
      </c>
      <c r="E1586">
        <v>65200</v>
      </c>
      <c r="F1586">
        <v>0</v>
      </c>
      <c r="G1586">
        <v>65200000</v>
      </c>
      <c r="H1586">
        <v>608</v>
      </c>
      <c r="I1586">
        <v>40</v>
      </c>
      <c r="J1586" s="2">
        <f t="shared" si="56"/>
        <v>334</v>
      </c>
      <c r="K1586">
        <v>1585</v>
      </c>
      <c r="L1586" s="3">
        <f>SUM($I$2:$I1586)</f>
        <v>6343540</v>
      </c>
      <c r="M1586" s="3">
        <f>SUM($J$2:$J1586)</f>
        <v>25331960.199999981</v>
      </c>
      <c r="N1586" s="2">
        <f>SUM($D$2:$D1586)</f>
        <v>13594.919999999987</v>
      </c>
      <c r="O1586" s="2">
        <f t="shared" si="57"/>
        <v>0.81016758857665894</v>
      </c>
      <c r="P1586" s="2" cm="1">
        <f t="array" ref="P1586">SUMPRODUCT((O1586&gt;$T$9:$T$14)*(O1586&lt;=$U$9:$U$14),$S$9:$S$14)</f>
        <v>5</v>
      </c>
    </row>
    <row r="1587" spans="1:16" x14ac:dyDescent="0.25">
      <c r="A1587">
        <v>270</v>
      </c>
      <c r="B1587">
        <v>1065</v>
      </c>
      <c r="C1587">
        <v>1887</v>
      </c>
      <c r="D1587">
        <v>5.3</v>
      </c>
      <c r="E1587">
        <v>68920</v>
      </c>
      <c r="F1587">
        <v>7.6</v>
      </c>
      <c r="G1587">
        <v>68920076</v>
      </c>
      <c r="H1587">
        <v>638</v>
      </c>
      <c r="I1587">
        <v>40</v>
      </c>
      <c r="J1587" s="2">
        <f t="shared" si="56"/>
        <v>212</v>
      </c>
      <c r="K1587">
        <v>1586</v>
      </c>
      <c r="L1587" s="3">
        <f>SUM($I$2:$I1587)</f>
        <v>6343580</v>
      </c>
      <c r="M1587" s="3">
        <f>SUM($J$2:$J1587)</f>
        <v>25332172.199999981</v>
      </c>
      <c r="N1587" s="2">
        <f>SUM($D$2:$D1587)</f>
        <v>13600.219999999987</v>
      </c>
      <c r="O1587" s="2">
        <f t="shared" si="57"/>
        <v>0.81048343362903552</v>
      </c>
      <c r="P1587" s="2" cm="1">
        <f t="array" ref="P1587">SUMPRODUCT((O1587&gt;$T$9:$T$14)*(O1587&lt;=$U$9:$U$14),$S$9:$S$14)</f>
        <v>5</v>
      </c>
    </row>
    <row r="1588" spans="1:16" x14ac:dyDescent="0.25">
      <c r="A1588">
        <v>327</v>
      </c>
      <c r="B1588">
        <v>1122</v>
      </c>
      <c r="C1588">
        <v>1964</v>
      </c>
      <c r="D1588">
        <v>4.5</v>
      </c>
      <c r="E1588">
        <v>71800</v>
      </c>
      <c r="F1588">
        <v>0</v>
      </c>
      <c r="G1588">
        <v>71800000</v>
      </c>
      <c r="H1588">
        <v>661</v>
      </c>
      <c r="I1588">
        <v>40</v>
      </c>
      <c r="J1588" s="2">
        <f t="shared" si="56"/>
        <v>180</v>
      </c>
      <c r="K1588">
        <v>1587</v>
      </c>
      <c r="L1588" s="3">
        <f>SUM($I$2:$I1588)</f>
        <v>6343620</v>
      </c>
      <c r="M1588" s="3">
        <f>SUM($J$2:$J1588)</f>
        <v>25332352.199999981</v>
      </c>
      <c r="N1588" s="2">
        <f>SUM($D$2:$D1588)</f>
        <v>13604.719999999987</v>
      </c>
      <c r="O1588" s="2">
        <f t="shared" si="57"/>
        <v>0.81075160395652512</v>
      </c>
      <c r="P1588" s="2" cm="1">
        <f t="array" ref="P1588">SUMPRODUCT((O1588&gt;$T$9:$T$14)*(O1588&lt;=$U$9:$U$14),$S$9:$S$14)</f>
        <v>5</v>
      </c>
    </row>
    <row r="1589" spans="1:16" x14ac:dyDescent="0.25">
      <c r="A1589">
        <v>1731</v>
      </c>
      <c r="B1589">
        <v>1731</v>
      </c>
      <c r="C1589">
        <v>2237</v>
      </c>
      <c r="D1589">
        <v>3.88</v>
      </c>
      <c r="E1589">
        <v>54000</v>
      </c>
      <c r="F1589">
        <v>0</v>
      </c>
      <c r="G1589">
        <v>54000000</v>
      </c>
      <c r="H1589">
        <v>526</v>
      </c>
      <c r="I1589">
        <v>40</v>
      </c>
      <c r="J1589" s="2">
        <f t="shared" si="56"/>
        <v>155.19999999999999</v>
      </c>
      <c r="K1589">
        <v>1588</v>
      </c>
      <c r="L1589" s="3">
        <f>SUM($I$2:$I1589)</f>
        <v>6343660</v>
      </c>
      <c r="M1589" s="3">
        <f>SUM($J$2:$J1589)</f>
        <v>25332507.39999998</v>
      </c>
      <c r="N1589" s="2">
        <f>SUM($D$2:$D1589)</f>
        <v>13608.599999999986</v>
      </c>
      <c r="O1589" s="2">
        <f t="shared" si="57"/>
        <v>0.81098282637222718</v>
      </c>
      <c r="P1589" s="2" cm="1">
        <f t="array" ref="P1589">SUMPRODUCT((O1589&gt;$T$9:$T$14)*(O1589&lt;=$U$9:$U$14),$S$9:$S$14)</f>
        <v>5</v>
      </c>
    </row>
    <row r="1590" spans="1:16" x14ac:dyDescent="0.25">
      <c r="A1590">
        <v>1767</v>
      </c>
      <c r="B1590">
        <v>1767</v>
      </c>
      <c r="C1590">
        <v>0</v>
      </c>
      <c r="D1590">
        <v>1.81</v>
      </c>
      <c r="E1590">
        <v>68927</v>
      </c>
      <c r="F1590">
        <v>0</v>
      </c>
      <c r="G1590">
        <v>68927000</v>
      </c>
      <c r="H1590">
        <v>17</v>
      </c>
      <c r="I1590">
        <v>40</v>
      </c>
      <c r="J1590" s="2">
        <f t="shared" si="56"/>
        <v>72.400000000000006</v>
      </c>
      <c r="K1590">
        <v>1589</v>
      </c>
      <c r="L1590" s="3">
        <f>SUM($I$2:$I1590)</f>
        <v>6343700</v>
      </c>
      <c r="M1590" s="3">
        <f>SUM($J$2:$J1590)</f>
        <v>25332579.799999978</v>
      </c>
      <c r="N1590" s="2">
        <f>SUM($D$2:$D1590)</f>
        <v>13610.409999999985</v>
      </c>
      <c r="O1590" s="2">
        <f t="shared" si="57"/>
        <v>0.8110906904372841</v>
      </c>
      <c r="P1590" s="2" cm="1">
        <f t="array" ref="P1590">SUMPRODUCT((O1590&gt;$T$9:$T$14)*(O1590&lt;=$U$9:$U$14),$S$9:$S$14)</f>
        <v>5</v>
      </c>
    </row>
    <row r="1591" spans="1:16" x14ac:dyDescent="0.25">
      <c r="A1591">
        <v>1714</v>
      </c>
      <c r="B1591">
        <v>1714</v>
      </c>
      <c r="C1591">
        <v>2219</v>
      </c>
      <c r="D1591">
        <v>47.23</v>
      </c>
      <c r="E1591">
        <v>54910</v>
      </c>
      <c r="F1591">
        <v>0</v>
      </c>
      <c r="G1591">
        <v>54910000</v>
      </c>
      <c r="H1591">
        <v>533</v>
      </c>
      <c r="I1591">
        <v>30</v>
      </c>
      <c r="J1591" s="2">
        <f t="shared" si="56"/>
        <v>1416.8999999999999</v>
      </c>
      <c r="K1591">
        <v>1590</v>
      </c>
      <c r="L1591" s="3">
        <f>SUM($I$2:$I1591)</f>
        <v>6343730</v>
      </c>
      <c r="M1591" s="3">
        <f>SUM($J$2:$J1591)</f>
        <v>25333996.699999977</v>
      </c>
      <c r="N1591" s="2">
        <f>SUM($D$2:$D1591)</f>
        <v>13657.639999999985</v>
      </c>
      <c r="O1591" s="2">
        <f t="shared" si="57"/>
        <v>0.81390528700780274</v>
      </c>
      <c r="P1591" s="2" cm="1">
        <f t="array" ref="P1591">SUMPRODUCT((O1591&gt;$T$9:$T$14)*(O1591&lt;=$U$9:$U$14),$S$9:$S$14)</f>
        <v>5</v>
      </c>
    </row>
    <row r="1592" spans="1:16" x14ac:dyDescent="0.25">
      <c r="A1592">
        <v>310</v>
      </c>
      <c r="B1592">
        <v>1105</v>
      </c>
      <c r="C1592">
        <v>1945</v>
      </c>
      <c r="D1592">
        <v>46.67</v>
      </c>
      <c r="E1592">
        <v>72800</v>
      </c>
      <c r="F1592">
        <v>0</v>
      </c>
      <c r="G1592">
        <v>72800000</v>
      </c>
      <c r="H1592">
        <v>805</v>
      </c>
      <c r="I1592">
        <v>30</v>
      </c>
      <c r="J1592" s="2">
        <f t="shared" si="56"/>
        <v>1400.1000000000001</v>
      </c>
      <c r="K1592">
        <v>1591</v>
      </c>
      <c r="L1592" s="3">
        <f>SUM($I$2:$I1592)</f>
        <v>6343760</v>
      </c>
      <c r="M1592" s="3">
        <f>SUM($J$2:$J1592)</f>
        <v>25335396.799999978</v>
      </c>
      <c r="N1592" s="2">
        <f>SUM($D$2:$D1592)</f>
        <v>13704.309999999985</v>
      </c>
      <c r="O1592" s="2">
        <f t="shared" si="57"/>
        <v>0.81668651127090053</v>
      </c>
      <c r="P1592" s="2" cm="1">
        <f t="array" ref="P1592">SUMPRODUCT((O1592&gt;$T$9:$T$14)*(O1592&lt;=$U$9:$U$14),$S$9:$S$14)</f>
        <v>5</v>
      </c>
    </row>
    <row r="1593" spans="1:16" x14ac:dyDescent="0.25">
      <c r="A1593">
        <v>294</v>
      </c>
      <c r="B1593">
        <v>1089</v>
      </c>
      <c r="C1593">
        <v>1922</v>
      </c>
      <c r="D1593">
        <v>37.24</v>
      </c>
      <c r="E1593">
        <v>66800</v>
      </c>
      <c r="F1593">
        <v>0</v>
      </c>
      <c r="G1593">
        <v>66800000</v>
      </c>
      <c r="H1593">
        <v>621</v>
      </c>
      <c r="I1593">
        <v>30</v>
      </c>
      <c r="J1593" s="2">
        <f t="shared" si="56"/>
        <v>1117.2</v>
      </c>
      <c r="K1593">
        <v>1592</v>
      </c>
      <c r="L1593" s="3">
        <f>SUM($I$2:$I1593)</f>
        <v>6343790</v>
      </c>
      <c r="M1593" s="3">
        <f>SUM($J$2:$J1593)</f>
        <v>25336513.999999978</v>
      </c>
      <c r="N1593" s="2">
        <f>SUM($D$2:$D1593)</f>
        <v>13741.549999999985</v>
      </c>
      <c r="O1593" s="2">
        <f t="shared" si="57"/>
        <v>0.81890576971439222</v>
      </c>
      <c r="P1593" s="2" cm="1">
        <f t="array" ref="P1593">SUMPRODUCT((O1593&gt;$T$9:$T$14)*(O1593&lt;=$U$9:$U$14),$S$9:$S$14)</f>
        <v>5</v>
      </c>
    </row>
    <row r="1594" spans="1:16" x14ac:dyDescent="0.25">
      <c r="A1594">
        <v>168</v>
      </c>
      <c r="B1594">
        <v>964</v>
      </c>
      <c r="C1594">
        <v>1743</v>
      </c>
      <c r="D1594">
        <v>30.65</v>
      </c>
      <c r="E1594">
        <v>58610</v>
      </c>
      <c r="F1594">
        <v>0</v>
      </c>
      <c r="G1594">
        <v>58610000</v>
      </c>
      <c r="H1594">
        <v>560</v>
      </c>
      <c r="I1594">
        <v>30</v>
      </c>
      <c r="J1594" s="2">
        <f t="shared" si="56"/>
        <v>919.5</v>
      </c>
      <c r="K1594">
        <v>1593</v>
      </c>
      <c r="L1594" s="3">
        <f>SUM($I$2:$I1594)</f>
        <v>6343820</v>
      </c>
      <c r="M1594" s="3">
        <f>SUM($J$2:$J1594)</f>
        <v>25337433.499999978</v>
      </c>
      <c r="N1594" s="2">
        <f>SUM($D$2:$D1594)</f>
        <v>13772.199999999984</v>
      </c>
      <c r="O1594" s="2">
        <f t="shared" si="57"/>
        <v>0.82073230761162697</v>
      </c>
      <c r="P1594" s="2" cm="1">
        <f t="array" ref="P1594">SUMPRODUCT((O1594&gt;$T$9:$T$14)*(O1594&lt;=$U$9:$U$14),$S$9:$S$14)</f>
        <v>5</v>
      </c>
    </row>
    <row r="1595" spans="1:16" x14ac:dyDescent="0.25">
      <c r="A1595">
        <v>281</v>
      </c>
      <c r="B1595">
        <v>1076</v>
      </c>
      <c r="C1595">
        <v>1904</v>
      </c>
      <c r="D1595">
        <v>28.46</v>
      </c>
      <c r="E1595">
        <v>67900</v>
      </c>
      <c r="F1595">
        <v>0</v>
      </c>
      <c r="G1595">
        <v>67900000</v>
      </c>
      <c r="H1595">
        <v>630</v>
      </c>
      <c r="I1595">
        <v>30</v>
      </c>
      <c r="J1595" s="2">
        <f t="shared" si="56"/>
        <v>853.80000000000007</v>
      </c>
      <c r="K1595">
        <v>1594</v>
      </c>
      <c r="L1595" s="3">
        <f>SUM($I$2:$I1595)</f>
        <v>6343850</v>
      </c>
      <c r="M1595" s="3">
        <f>SUM($J$2:$J1595)</f>
        <v>25338287.299999978</v>
      </c>
      <c r="N1595" s="2">
        <f>SUM($D$2:$D1595)</f>
        <v>13800.659999999983</v>
      </c>
      <c r="O1595" s="2">
        <f t="shared" si="57"/>
        <v>0.82242833594948339</v>
      </c>
      <c r="P1595" s="2" cm="1">
        <f t="array" ref="P1595">SUMPRODUCT((O1595&gt;$T$9:$T$14)*(O1595&lt;=$U$9:$U$14),$S$9:$S$14)</f>
        <v>5</v>
      </c>
    </row>
    <row r="1596" spans="1:16" x14ac:dyDescent="0.25">
      <c r="A1596">
        <v>304</v>
      </c>
      <c r="B1596">
        <v>1099</v>
      </c>
      <c r="C1596">
        <v>1938</v>
      </c>
      <c r="D1596">
        <v>23.23</v>
      </c>
      <c r="E1596">
        <v>73730</v>
      </c>
      <c r="F1596">
        <v>0</v>
      </c>
      <c r="G1596">
        <v>73730000</v>
      </c>
      <c r="H1596">
        <v>7044</v>
      </c>
      <c r="I1596">
        <v>30</v>
      </c>
      <c r="J1596" s="2">
        <f t="shared" si="56"/>
        <v>696.9</v>
      </c>
      <c r="K1596">
        <v>1595</v>
      </c>
      <c r="L1596" s="3">
        <f>SUM($I$2:$I1596)</f>
        <v>6343880</v>
      </c>
      <c r="M1596" s="3">
        <f>SUM($J$2:$J1596)</f>
        <v>25338984.199999977</v>
      </c>
      <c r="N1596" s="2">
        <f>SUM($D$2:$D1596)</f>
        <v>13823.889999999983</v>
      </c>
      <c r="O1596" s="2">
        <f t="shared" si="57"/>
        <v>0.82381269077339081</v>
      </c>
      <c r="P1596" s="2" cm="1">
        <f t="array" ref="P1596">SUMPRODUCT((O1596&gt;$T$9:$T$14)*(O1596&lt;=$U$9:$U$14),$S$9:$S$14)</f>
        <v>5</v>
      </c>
    </row>
    <row r="1597" spans="1:16" x14ac:dyDescent="0.25">
      <c r="A1597">
        <v>228</v>
      </c>
      <c r="B1597">
        <v>1023</v>
      </c>
      <c r="C1597">
        <v>1833</v>
      </c>
      <c r="D1597">
        <v>21.23</v>
      </c>
      <c r="E1597">
        <v>62805</v>
      </c>
      <c r="F1597">
        <v>0</v>
      </c>
      <c r="G1597">
        <v>62805000</v>
      </c>
      <c r="H1597">
        <v>594</v>
      </c>
      <c r="I1597">
        <v>30</v>
      </c>
      <c r="J1597" s="2">
        <f t="shared" si="56"/>
        <v>636.9</v>
      </c>
      <c r="K1597">
        <v>1596</v>
      </c>
      <c r="L1597" s="3">
        <f>SUM($I$2:$I1597)</f>
        <v>6343910</v>
      </c>
      <c r="M1597" s="3">
        <f>SUM($J$2:$J1597)</f>
        <v>25339621.099999975</v>
      </c>
      <c r="N1597" s="2">
        <f>SUM($D$2:$D1597)</f>
        <v>13845.119999999983</v>
      </c>
      <c r="O1597" s="2">
        <f t="shared" si="57"/>
        <v>0.82507785878508055</v>
      </c>
      <c r="P1597" s="2" cm="1">
        <f t="array" ref="P1597">SUMPRODUCT((O1597&gt;$T$9:$T$14)*(O1597&lt;=$U$9:$U$14),$S$9:$S$14)</f>
        <v>5</v>
      </c>
    </row>
    <row r="1598" spans="1:16" x14ac:dyDescent="0.25">
      <c r="A1598">
        <v>173</v>
      </c>
      <c r="B1598">
        <v>969</v>
      </c>
      <c r="C1598">
        <v>1751</v>
      </c>
      <c r="D1598">
        <v>19.420000000000002</v>
      </c>
      <c r="E1598">
        <v>58240</v>
      </c>
      <c r="F1598">
        <v>0</v>
      </c>
      <c r="G1598">
        <v>58240000</v>
      </c>
      <c r="H1598">
        <v>557</v>
      </c>
      <c r="I1598">
        <v>30</v>
      </c>
      <c r="J1598" s="2">
        <f t="shared" si="56"/>
        <v>582.6</v>
      </c>
      <c r="K1598">
        <v>1597</v>
      </c>
      <c r="L1598" s="3">
        <f>SUM($I$2:$I1598)</f>
        <v>6343940</v>
      </c>
      <c r="M1598" s="3">
        <f>SUM($J$2:$J1598)</f>
        <v>25340203.699999977</v>
      </c>
      <c r="N1598" s="2">
        <f>SUM($D$2:$D1598)</f>
        <v>13864.539999999983</v>
      </c>
      <c r="O1598" s="2">
        <f t="shared" si="57"/>
        <v>0.82623516273171349</v>
      </c>
      <c r="P1598" s="2" cm="1">
        <f t="array" ref="P1598">SUMPRODUCT((O1598&gt;$T$9:$T$14)*(O1598&lt;=$U$9:$U$14),$S$9:$S$14)</f>
        <v>5</v>
      </c>
    </row>
    <row r="1599" spans="1:16" x14ac:dyDescent="0.25">
      <c r="A1599">
        <v>268</v>
      </c>
      <c r="B1599">
        <v>1063</v>
      </c>
      <c r="C1599">
        <v>1883</v>
      </c>
      <c r="D1599">
        <v>13.53</v>
      </c>
      <c r="E1599">
        <v>69300</v>
      </c>
      <c r="F1599">
        <v>0</v>
      </c>
      <c r="G1599">
        <v>69300000</v>
      </c>
      <c r="H1599">
        <v>641</v>
      </c>
      <c r="I1599">
        <v>30</v>
      </c>
      <c r="J1599" s="2">
        <f t="shared" si="56"/>
        <v>405.9</v>
      </c>
      <c r="K1599">
        <v>1598</v>
      </c>
      <c r="L1599" s="3">
        <f>SUM($I$2:$I1599)</f>
        <v>6343970</v>
      </c>
      <c r="M1599" s="3">
        <f>SUM($J$2:$J1599)</f>
        <v>25340609.599999975</v>
      </c>
      <c r="N1599" s="2">
        <f>SUM($D$2:$D1599)</f>
        <v>13878.069999999983</v>
      </c>
      <c r="O1599" s="2">
        <f t="shared" si="57"/>
        <v>0.82704146151636559</v>
      </c>
      <c r="P1599" s="2" cm="1">
        <f t="array" ref="P1599">SUMPRODUCT((O1599&gt;$T$9:$T$14)*(O1599&lt;=$U$9:$U$14),$S$9:$S$14)</f>
        <v>5</v>
      </c>
    </row>
    <row r="1600" spans="1:16" x14ac:dyDescent="0.25">
      <c r="A1600">
        <v>132</v>
      </c>
      <c r="B1600">
        <v>928</v>
      </c>
      <c r="C1600">
        <v>1690</v>
      </c>
      <c r="D1600">
        <v>13.02</v>
      </c>
      <c r="E1600">
        <v>53060</v>
      </c>
      <c r="F1600">
        <v>0</v>
      </c>
      <c r="G1600">
        <v>53060000</v>
      </c>
      <c r="H1600">
        <v>518</v>
      </c>
      <c r="I1600">
        <v>30</v>
      </c>
      <c r="J1600" s="2">
        <f t="shared" si="56"/>
        <v>390.59999999999997</v>
      </c>
      <c r="K1600">
        <v>1599</v>
      </c>
      <c r="L1600" s="3">
        <f>SUM($I$2:$I1600)</f>
        <v>6344000</v>
      </c>
      <c r="M1600" s="3">
        <f>SUM($J$2:$J1600)</f>
        <v>25341000.199999977</v>
      </c>
      <c r="N1600" s="2">
        <f>SUM($D$2:$D1600)</f>
        <v>13891.089999999984</v>
      </c>
      <c r="O1600" s="2">
        <f t="shared" si="57"/>
        <v>0.82781736766390224</v>
      </c>
      <c r="P1600" s="2" cm="1">
        <f t="array" ref="P1600">SUMPRODUCT((O1600&gt;$T$9:$T$14)*(O1600&lt;=$U$9:$U$14),$S$9:$S$14)</f>
        <v>5</v>
      </c>
    </row>
    <row r="1601" spans="1:16" x14ac:dyDescent="0.25">
      <c r="A1601">
        <v>140</v>
      </c>
      <c r="B1601">
        <v>936</v>
      </c>
      <c r="C1601">
        <v>1705</v>
      </c>
      <c r="D1601">
        <v>12.55</v>
      </c>
      <c r="E1601">
        <v>61000</v>
      </c>
      <c r="F1601">
        <v>0</v>
      </c>
      <c r="G1601">
        <v>61000000</v>
      </c>
      <c r="H1601">
        <v>580</v>
      </c>
      <c r="I1601">
        <v>30</v>
      </c>
      <c r="J1601" s="2">
        <f t="shared" si="56"/>
        <v>376.5</v>
      </c>
      <c r="K1601">
        <v>1600</v>
      </c>
      <c r="L1601" s="3">
        <f>SUM($I$2:$I1601)</f>
        <v>6344030</v>
      </c>
      <c r="M1601" s="3">
        <f>SUM($J$2:$J1601)</f>
        <v>25341376.699999977</v>
      </c>
      <c r="N1601" s="2">
        <f>SUM($D$2:$D1601)</f>
        <v>13903.639999999983</v>
      </c>
      <c r="O1601" s="2">
        <f t="shared" si="57"/>
        <v>0.8285652649105677</v>
      </c>
      <c r="P1601" s="2" cm="1">
        <f t="array" ref="P1601">SUMPRODUCT((O1601&gt;$T$9:$T$14)*(O1601&lt;=$U$9:$U$14),$S$9:$S$14)</f>
        <v>5</v>
      </c>
    </row>
    <row r="1602" spans="1:16" x14ac:dyDescent="0.25">
      <c r="A1602">
        <v>194</v>
      </c>
      <c r="B1602">
        <v>989</v>
      </c>
      <c r="C1602">
        <v>1784</v>
      </c>
      <c r="D1602">
        <v>12.39</v>
      </c>
      <c r="E1602">
        <v>56920</v>
      </c>
      <c r="F1602">
        <v>0</v>
      </c>
      <c r="G1602">
        <v>56920000</v>
      </c>
      <c r="H1602">
        <v>546</v>
      </c>
      <c r="I1602">
        <v>30</v>
      </c>
      <c r="J1602" s="2">
        <f t="shared" ref="J1602:J1665" si="58">I1602*D1602</f>
        <v>371.70000000000005</v>
      </c>
      <c r="K1602">
        <v>1601</v>
      </c>
      <c r="L1602" s="3">
        <f>SUM($I$2:$I1602)</f>
        <v>6344060</v>
      </c>
      <c r="M1602" s="3">
        <f>SUM($J$2:$J1602)</f>
        <v>25341748.399999976</v>
      </c>
      <c r="N1602" s="2">
        <f>SUM($D$2:$D1602)</f>
        <v>13916.029999999982</v>
      </c>
      <c r="O1602" s="2">
        <f t="shared" ref="O1602:O1665" si="59">N1602/$T$4</f>
        <v>0.8293036272122557</v>
      </c>
      <c r="P1602" s="2" cm="1">
        <f t="array" ref="P1602">SUMPRODUCT((O1602&gt;$T$9:$T$14)*(O1602&lt;=$U$9:$U$14),$S$9:$S$14)</f>
        <v>5</v>
      </c>
    </row>
    <row r="1603" spans="1:16" x14ac:dyDescent="0.25">
      <c r="A1603">
        <v>283</v>
      </c>
      <c r="B1603">
        <v>1078</v>
      </c>
      <c r="C1603">
        <v>1906</v>
      </c>
      <c r="D1603">
        <v>12.36</v>
      </c>
      <c r="E1603">
        <v>67600</v>
      </c>
      <c r="F1603">
        <v>0</v>
      </c>
      <c r="G1603">
        <v>67600000</v>
      </c>
      <c r="H1603">
        <v>627</v>
      </c>
      <c r="I1603">
        <v>30</v>
      </c>
      <c r="J1603" s="2">
        <f t="shared" si="58"/>
        <v>370.79999999999995</v>
      </c>
      <c r="K1603">
        <v>1602</v>
      </c>
      <c r="L1603" s="3">
        <f>SUM($I$2:$I1603)</f>
        <v>6344090</v>
      </c>
      <c r="M1603" s="3">
        <f>SUM($J$2:$J1603)</f>
        <v>25342119.199999977</v>
      </c>
      <c r="N1603" s="2">
        <f>SUM($D$2:$D1603)</f>
        <v>13928.389999999983</v>
      </c>
      <c r="O1603" s="2">
        <f t="shared" si="59"/>
        <v>0.83004020171176052</v>
      </c>
      <c r="P1603" s="2" cm="1">
        <f t="array" ref="P1603">SUMPRODUCT((O1603&gt;$T$9:$T$14)*(O1603&lt;=$U$9:$U$14),$S$9:$S$14)</f>
        <v>5</v>
      </c>
    </row>
    <row r="1604" spans="1:16" x14ac:dyDescent="0.25">
      <c r="A1604">
        <v>1684</v>
      </c>
      <c r="B1604">
        <v>1684</v>
      </c>
      <c r="C1604">
        <v>2183</v>
      </c>
      <c r="D1604">
        <v>10.93</v>
      </c>
      <c r="E1604">
        <v>56900</v>
      </c>
      <c r="F1604">
        <v>0</v>
      </c>
      <c r="G1604">
        <v>56900000</v>
      </c>
      <c r="H1604">
        <v>546</v>
      </c>
      <c r="I1604">
        <v>30</v>
      </c>
      <c r="J1604" s="2">
        <f t="shared" si="58"/>
        <v>327.9</v>
      </c>
      <c r="K1604">
        <v>1603</v>
      </c>
      <c r="L1604" s="3">
        <f>SUM($I$2:$I1604)</f>
        <v>6344120</v>
      </c>
      <c r="M1604" s="3">
        <f>SUM($J$2:$J1604)</f>
        <v>25342447.099999975</v>
      </c>
      <c r="N1604" s="2">
        <f>SUM($D$2:$D1604)</f>
        <v>13939.319999999983</v>
      </c>
      <c r="O1604" s="2">
        <f t="shared" si="59"/>
        <v>0.83069155764052971</v>
      </c>
      <c r="P1604" s="2" cm="1">
        <f t="array" ref="P1604">SUMPRODUCT((O1604&gt;$T$9:$T$14)*(O1604&lt;=$U$9:$U$14),$S$9:$S$14)</f>
        <v>5</v>
      </c>
    </row>
    <row r="1605" spans="1:16" x14ac:dyDescent="0.25">
      <c r="A1605">
        <v>201</v>
      </c>
      <c r="B1605">
        <v>996</v>
      </c>
      <c r="C1605">
        <v>1792</v>
      </c>
      <c r="D1605">
        <v>10.81</v>
      </c>
      <c r="E1605">
        <v>65210</v>
      </c>
      <c r="F1605">
        <v>0</v>
      </c>
      <c r="G1605">
        <v>65210000</v>
      </c>
      <c r="H1605">
        <v>608</v>
      </c>
      <c r="I1605">
        <v>30</v>
      </c>
      <c r="J1605" s="2">
        <f t="shared" si="58"/>
        <v>324.3</v>
      </c>
      <c r="K1605">
        <v>1604</v>
      </c>
      <c r="L1605" s="3">
        <f>SUM($I$2:$I1605)</f>
        <v>6344150</v>
      </c>
      <c r="M1605" s="3">
        <f>SUM($J$2:$J1605)</f>
        <v>25342771.399999976</v>
      </c>
      <c r="N1605" s="2">
        <f>SUM($D$2:$D1605)</f>
        <v>13950.129999999983</v>
      </c>
      <c r="O1605" s="2">
        <f t="shared" si="59"/>
        <v>0.83133576236056583</v>
      </c>
      <c r="P1605" s="2" cm="1">
        <f t="array" ref="P1605">SUMPRODUCT((O1605&gt;$T$9:$T$14)*(O1605&lt;=$U$9:$U$14),$S$9:$S$14)</f>
        <v>5</v>
      </c>
    </row>
    <row r="1606" spans="1:16" x14ac:dyDescent="0.25">
      <c r="A1606">
        <v>1707</v>
      </c>
      <c r="B1606">
        <v>1707</v>
      </c>
      <c r="C1606">
        <v>2212</v>
      </c>
      <c r="D1606">
        <v>10.130000000000001</v>
      </c>
      <c r="E1606">
        <v>55130</v>
      </c>
      <c r="F1606">
        <v>0</v>
      </c>
      <c r="G1606">
        <v>55130000</v>
      </c>
      <c r="H1606">
        <v>535</v>
      </c>
      <c r="I1606">
        <v>30</v>
      </c>
      <c r="J1606" s="2">
        <f t="shared" si="58"/>
        <v>303.90000000000003</v>
      </c>
      <c r="K1606">
        <v>1605</v>
      </c>
      <c r="L1606" s="3">
        <f>SUM($I$2:$I1606)</f>
        <v>6344180</v>
      </c>
      <c r="M1606" s="3">
        <f>SUM($J$2:$J1606)</f>
        <v>25343075.299999975</v>
      </c>
      <c r="N1606" s="2">
        <f>SUM($D$2:$D1606)</f>
        <v>13960.259999999982</v>
      </c>
      <c r="O1606" s="2">
        <f t="shared" si="59"/>
        <v>0.83193944356444793</v>
      </c>
      <c r="P1606" s="2" cm="1">
        <f t="array" ref="P1606">SUMPRODUCT((O1606&gt;$T$9:$T$14)*(O1606&lt;=$U$9:$U$14),$S$9:$S$14)</f>
        <v>5</v>
      </c>
    </row>
    <row r="1607" spans="1:16" x14ac:dyDescent="0.25">
      <c r="A1607">
        <v>353</v>
      </c>
      <c r="B1607">
        <v>1148</v>
      </c>
      <c r="C1607">
        <v>2017</v>
      </c>
      <c r="D1607">
        <v>9.84</v>
      </c>
      <c r="E1607">
        <v>81020</v>
      </c>
      <c r="F1607">
        <v>8.9</v>
      </c>
      <c r="G1607">
        <v>81020089</v>
      </c>
      <c r="H1607">
        <v>7182</v>
      </c>
      <c r="I1607">
        <v>30</v>
      </c>
      <c r="J1607" s="2">
        <f t="shared" si="58"/>
        <v>295.2</v>
      </c>
      <c r="K1607">
        <v>1606</v>
      </c>
      <c r="L1607" s="3">
        <f>SUM($I$2:$I1607)</f>
        <v>6344210</v>
      </c>
      <c r="M1607" s="3">
        <f>SUM($J$2:$J1607)</f>
        <v>25343370.499999974</v>
      </c>
      <c r="N1607" s="2">
        <f>SUM($D$2:$D1607)</f>
        <v>13970.099999999982</v>
      </c>
      <c r="O1607" s="2">
        <f t="shared" si="59"/>
        <v>0.83252584268055851</v>
      </c>
      <c r="P1607" s="2" cm="1">
        <f t="array" ref="P1607">SUMPRODUCT((O1607&gt;$T$9:$T$14)*(O1607&lt;=$U$9:$U$14),$S$9:$S$14)</f>
        <v>5</v>
      </c>
    </row>
    <row r="1608" spans="1:16" x14ac:dyDescent="0.25">
      <c r="A1608">
        <v>1776</v>
      </c>
      <c r="B1608">
        <v>1776</v>
      </c>
      <c r="C1608">
        <v>2017</v>
      </c>
      <c r="D1608">
        <v>8.82</v>
      </c>
      <c r="E1608">
        <v>81020</v>
      </c>
      <c r="F1608">
        <v>0</v>
      </c>
      <c r="G1608">
        <v>81020000</v>
      </c>
      <c r="H1608">
        <v>7182</v>
      </c>
      <c r="I1608">
        <v>30</v>
      </c>
      <c r="J1608" s="2">
        <f t="shared" si="58"/>
        <v>264.60000000000002</v>
      </c>
      <c r="K1608">
        <v>1607</v>
      </c>
      <c r="L1608" s="3">
        <f>SUM($I$2:$I1608)</f>
        <v>6344240</v>
      </c>
      <c r="M1608" s="3">
        <f>SUM($J$2:$J1608)</f>
        <v>25343635.099999975</v>
      </c>
      <c r="N1608" s="2">
        <f>SUM($D$2:$D1608)</f>
        <v>13978.919999999982</v>
      </c>
      <c r="O1608" s="2">
        <f t="shared" si="59"/>
        <v>0.83305145652243817</v>
      </c>
      <c r="P1608" s="2" cm="1">
        <f t="array" ref="P1608">SUMPRODUCT((O1608&gt;$T$9:$T$14)*(O1608&lt;=$U$9:$U$14),$S$9:$S$14)</f>
        <v>5</v>
      </c>
    </row>
    <row r="1609" spans="1:16" x14ac:dyDescent="0.25">
      <c r="A1609">
        <v>643</v>
      </c>
      <c r="B1609">
        <v>1430</v>
      </c>
      <c r="C1609">
        <v>870</v>
      </c>
      <c r="D1609">
        <v>8.52</v>
      </c>
      <c r="E1609">
        <v>27360</v>
      </c>
      <c r="F1609">
        <v>0</v>
      </c>
      <c r="G1609">
        <v>27360000</v>
      </c>
      <c r="H1609">
        <v>33</v>
      </c>
      <c r="I1609">
        <v>30</v>
      </c>
      <c r="J1609" s="2">
        <f t="shared" si="58"/>
        <v>255.6</v>
      </c>
      <c r="K1609">
        <v>1608</v>
      </c>
      <c r="L1609" s="3">
        <f>SUM($I$2:$I1609)</f>
        <v>6344270</v>
      </c>
      <c r="M1609" s="3">
        <f>SUM($J$2:$J1609)</f>
        <v>25343890.699999977</v>
      </c>
      <c r="N1609" s="2">
        <f>SUM($D$2:$D1609)</f>
        <v>13987.439999999982</v>
      </c>
      <c r="O1609" s="2">
        <f t="shared" si="59"/>
        <v>0.8335591923424851</v>
      </c>
      <c r="P1609" s="2" cm="1">
        <f t="array" ref="P1609">SUMPRODUCT((O1609&gt;$T$9:$T$14)*(O1609&lt;=$U$9:$U$14),$S$9:$S$14)</f>
        <v>5</v>
      </c>
    </row>
    <row r="1610" spans="1:16" x14ac:dyDescent="0.25">
      <c r="A1610">
        <v>296</v>
      </c>
      <c r="B1610">
        <v>1091</v>
      </c>
      <c r="C1610">
        <v>1925</v>
      </c>
      <c r="D1610">
        <v>7.59</v>
      </c>
      <c r="E1610">
        <v>66300</v>
      </c>
      <c r="F1610">
        <v>4.0999999999999996</v>
      </c>
      <c r="G1610">
        <v>66300041</v>
      </c>
      <c r="H1610">
        <v>618</v>
      </c>
      <c r="I1610">
        <v>30</v>
      </c>
      <c r="J1610" s="2">
        <f t="shared" si="58"/>
        <v>227.7</v>
      </c>
      <c r="K1610">
        <v>1609</v>
      </c>
      <c r="L1610" s="3">
        <f>SUM($I$2:$I1610)</f>
        <v>6344300</v>
      </c>
      <c r="M1610" s="3">
        <f>SUM($J$2:$J1610)</f>
        <v>25344118.399999976</v>
      </c>
      <c r="N1610" s="2">
        <f>SUM($D$2:$D1610)</f>
        <v>13995.029999999982</v>
      </c>
      <c r="O1610" s="2">
        <f t="shared" si="59"/>
        <v>0.83401150629485088</v>
      </c>
      <c r="P1610" s="2" cm="1">
        <f t="array" ref="P1610">SUMPRODUCT((O1610&gt;$T$9:$T$14)*(O1610&lt;=$U$9:$U$14),$S$9:$S$14)</f>
        <v>5</v>
      </c>
    </row>
    <row r="1611" spans="1:16" x14ac:dyDescent="0.25">
      <c r="A1611">
        <v>1740</v>
      </c>
      <c r="B1611">
        <v>1740</v>
      </c>
      <c r="C1611">
        <v>2251</v>
      </c>
      <c r="D1611">
        <v>7.31</v>
      </c>
      <c r="E1611">
        <v>53440</v>
      </c>
      <c r="F1611">
        <v>18</v>
      </c>
      <c r="G1611">
        <v>53440180</v>
      </c>
      <c r="H1611">
        <v>520</v>
      </c>
      <c r="I1611">
        <v>30</v>
      </c>
      <c r="J1611" s="2">
        <f t="shared" si="58"/>
        <v>219.29999999999998</v>
      </c>
      <c r="K1611">
        <v>1610</v>
      </c>
      <c r="L1611" s="3">
        <f>SUM($I$2:$I1611)</f>
        <v>6344330</v>
      </c>
      <c r="M1611" s="3">
        <f>SUM($J$2:$J1611)</f>
        <v>25344337.699999977</v>
      </c>
      <c r="N1611" s="2">
        <f>SUM($D$2:$D1611)</f>
        <v>14002.339999999982</v>
      </c>
      <c r="O1611" s="2">
        <f t="shared" si="59"/>
        <v>0.83444713409350624</v>
      </c>
      <c r="P1611" s="2" cm="1">
        <f t="array" ref="P1611">SUMPRODUCT((O1611&gt;$T$9:$T$14)*(O1611&lt;=$U$9:$U$14),$S$9:$S$14)</f>
        <v>5</v>
      </c>
    </row>
    <row r="1612" spans="1:16" x14ac:dyDescent="0.25">
      <c r="A1612">
        <v>164</v>
      </c>
      <c r="B1612">
        <v>960</v>
      </c>
      <c r="C1612">
        <v>1735</v>
      </c>
      <c r="D1612">
        <v>6.44</v>
      </c>
      <c r="E1612">
        <v>59000</v>
      </c>
      <c r="F1612">
        <v>0</v>
      </c>
      <c r="G1612">
        <v>59000000</v>
      </c>
      <c r="H1612">
        <v>562</v>
      </c>
      <c r="I1612">
        <v>30</v>
      </c>
      <c r="J1612" s="2">
        <f t="shared" si="58"/>
        <v>193.20000000000002</v>
      </c>
      <c r="K1612">
        <v>1611</v>
      </c>
      <c r="L1612" s="3">
        <f>SUM($I$2:$I1612)</f>
        <v>6344360</v>
      </c>
      <c r="M1612" s="3">
        <f>SUM($J$2:$J1612)</f>
        <v>25344530.899999976</v>
      </c>
      <c r="N1612" s="2">
        <f>SUM($D$2:$D1612)</f>
        <v>14008.779999999982</v>
      </c>
      <c r="O1612" s="2">
        <f t="shared" si="59"/>
        <v>0.83483091562884693</v>
      </c>
      <c r="P1612" s="2" cm="1">
        <f t="array" ref="P1612">SUMPRODUCT((O1612&gt;$T$9:$T$14)*(O1612&lt;=$U$9:$U$14),$S$9:$S$14)</f>
        <v>5</v>
      </c>
    </row>
    <row r="1613" spans="1:16" x14ac:dyDescent="0.25">
      <c r="A1613">
        <v>257</v>
      </c>
      <c r="B1613">
        <v>1052</v>
      </c>
      <c r="C1613">
        <v>1870</v>
      </c>
      <c r="D1613">
        <v>5.61</v>
      </c>
      <c r="E1613">
        <v>61115</v>
      </c>
      <c r="F1613">
        <v>0</v>
      </c>
      <c r="G1613">
        <v>61115000</v>
      </c>
      <c r="H1613">
        <v>581</v>
      </c>
      <c r="I1613">
        <v>30</v>
      </c>
      <c r="J1613" s="2">
        <f t="shared" si="58"/>
        <v>168.3</v>
      </c>
      <c r="K1613">
        <v>1612</v>
      </c>
      <c r="L1613" s="3">
        <f>SUM($I$2:$I1613)</f>
        <v>6344390</v>
      </c>
      <c r="M1613" s="3">
        <f>SUM($J$2:$J1613)</f>
        <v>25344699.199999977</v>
      </c>
      <c r="N1613" s="2">
        <f>SUM($D$2:$D1613)</f>
        <v>14014.389999999983</v>
      </c>
      <c r="O1613" s="2">
        <f t="shared" si="59"/>
        <v>0.83516523463711734</v>
      </c>
      <c r="P1613" s="2" cm="1">
        <f t="array" ref="P1613">SUMPRODUCT((O1613&gt;$T$9:$T$14)*(O1613&lt;=$U$9:$U$14),$S$9:$S$14)</f>
        <v>5</v>
      </c>
    </row>
    <row r="1614" spans="1:16" x14ac:dyDescent="0.25">
      <c r="A1614">
        <v>134</v>
      </c>
      <c r="B1614">
        <v>930</v>
      </c>
      <c r="C1614">
        <v>1692</v>
      </c>
      <c r="D1614">
        <v>5.0599999999999996</v>
      </c>
      <c r="E1614">
        <v>53050</v>
      </c>
      <c r="F1614">
        <v>0</v>
      </c>
      <c r="G1614">
        <v>53050000</v>
      </c>
      <c r="H1614">
        <v>518</v>
      </c>
      <c r="I1614">
        <v>30</v>
      </c>
      <c r="J1614" s="2">
        <f t="shared" si="58"/>
        <v>151.79999999999998</v>
      </c>
      <c r="K1614">
        <v>1613</v>
      </c>
      <c r="L1614" s="3">
        <f>SUM($I$2:$I1614)</f>
        <v>6344420</v>
      </c>
      <c r="M1614" s="3">
        <f>SUM($J$2:$J1614)</f>
        <v>25344850.999999978</v>
      </c>
      <c r="N1614" s="2">
        <f>SUM($D$2:$D1614)</f>
        <v>14019.449999999983</v>
      </c>
      <c r="O1614" s="2">
        <f t="shared" si="59"/>
        <v>0.83546677727202789</v>
      </c>
      <c r="P1614" s="2" cm="1">
        <f t="array" ref="P1614">SUMPRODUCT((O1614&gt;$T$9:$T$14)*(O1614&lt;=$U$9:$U$14),$S$9:$S$14)</f>
        <v>5</v>
      </c>
    </row>
    <row r="1615" spans="1:16" x14ac:dyDescent="0.25">
      <c r="A1615">
        <v>146</v>
      </c>
      <c r="B1615">
        <v>942</v>
      </c>
      <c r="C1615">
        <v>1715</v>
      </c>
      <c r="D1615">
        <v>4.84</v>
      </c>
      <c r="E1615">
        <v>60210</v>
      </c>
      <c r="F1615">
        <v>0</v>
      </c>
      <c r="G1615">
        <v>60210000</v>
      </c>
      <c r="H1615">
        <v>574</v>
      </c>
      <c r="I1615">
        <v>30</v>
      </c>
      <c r="J1615" s="2">
        <f t="shared" si="58"/>
        <v>145.19999999999999</v>
      </c>
      <c r="K1615">
        <v>1614</v>
      </c>
      <c r="L1615" s="3">
        <f>SUM($I$2:$I1615)</f>
        <v>6344450</v>
      </c>
      <c r="M1615" s="3">
        <f>SUM($J$2:$J1615)</f>
        <v>25344996.199999977</v>
      </c>
      <c r="N1615" s="2">
        <f>SUM($D$2:$D1615)</f>
        <v>14024.289999999983</v>
      </c>
      <c r="O1615" s="2">
        <f t="shared" si="59"/>
        <v>0.83575520935759451</v>
      </c>
      <c r="P1615" s="2" cm="1">
        <f t="array" ref="P1615">SUMPRODUCT((O1615&gt;$T$9:$T$14)*(O1615&lt;=$U$9:$U$14),$S$9:$S$14)</f>
        <v>5</v>
      </c>
    </row>
    <row r="1616" spans="1:16" x14ac:dyDescent="0.25">
      <c r="A1616">
        <v>1733</v>
      </c>
      <c r="B1616">
        <v>1733</v>
      </c>
      <c r="C1616">
        <v>2239</v>
      </c>
      <c r="D1616">
        <v>4.62</v>
      </c>
      <c r="E1616">
        <v>53800</v>
      </c>
      <c r="F1616">
        <v>0</v>
      </c>
      <c r="G1616">
        <v>53800000</v>
      </c>
      <c r="H1616">
        <v>524</v>
      </c>
      <c r="I1616">
        <v>30</v>
      </c>
      <c r="J1616" s="2">
        <f t="shared" si="58"/>
        <v>138.6</v>
      </c>
      <c r="K1616">
        <v>1615</v>
      </c>
      <c r="L1616" s="3">
        <f>SUM($I$2:$I1616)</f>
        <v>6344480</v>
      </c>
      <c r="M1616" s="3">
        <f>SUM($J$2:$J1616)</f>
        <v>25345134.799999978</v>
      </c>
      <c r="N1616" s="2">
        <f>SUM($D$2:$D1616)</f>
        <v>14028.909999999983</v>
      </c>
      <c r="O1616" s="2">
        <f t="shared" si="59"/>
        <v>0.83603053089381718</v>
      </c>
      <c r="P1616" s="2" cm="1">
        <f t="array" ref="P1616">SUMPRODUCT((O1616&gt;$T$9:$T$14)*(O1616&lt;=$U$9:$U$14),$S$9:$S$14)</f>
        <v>5</v>
      </c>
    </row>
    <row r="1617" spans="1:16" x14ac:dyDescent="0.25">
      <c r="A1617">
        <v>317</v>
      </c>
      <c r="B1617">
        <v>1112</v>
      </c>
      <c r="C1617">
        <v>1953</v>
      </c>
      <c r="D1617">
        <v>3.38</v>
      </c>
      <c r="E1617">
        <v>72200</v>
      </c>
      <c r="F1617">
        <v>0</v>
      </c>
      <c r="G1617">
        <v>72200000</v>
      </c>
      <c r="H1617">
        <v>672</v>
      </c>
      <c r="I1617">
        <v>30</v>
      </c>
      <c r="J1617" s="2">
        <f t="shared" si="58"/>
        <v>101.39999999999999</v>
      </c>
      <c r="K1617">
        <v>1616</v>
      </c>
      <c r="L1617" s="3">
        <f>SUM($I$2:$I1617)</f>
        <v>6344510</v>
      </c>
      <c r="M1617" s="3">
        <f>SUM($J$2:$J1617)</f>
        <v>25345236.199999977</v>
      </c>
      <c r="N1617" s="2">
        <f>SUM($D$2:$D1617)</f>
        <v>14032.289999999983</v>
      </c>
      <c r="O1617" s="2">
        <f t="shared" si="59"/>
        <v>0.83623195660646488</v>
      </c>
      <c r="P1617" s="2" cm="1">
        <f t="array" ref="P1617">SUMPRODUCT((O1617&gt;$T$9:$T$14)*(O1617&lt;=$U$9:$U$14),$S$9:$S$14)</f>
        <v>5</v>
      </c>
    </row>
    <row r="1618" spans="1:16" x14ac:dyDescent="0.25">
      <c r="A1618">
        <v>1800</v>
      </c>
      <c r="B1618">
        <v>1800</v>
      </c>
      <c r="C1618">
        <v>0</v>
      </c>
      <c r="D1618">
        <v>3.03</v>
      </c>
      <c r="E1618">
        <v>81090</v>
      </c>
      <c r="F1618">
        <v>0</v>
      </c>
      <c r="G1618">
        <v>81090000</v>
      </c>
      <c r="H1618">
        <v>7188</v>
      </c>
      <c r="I1618">
        <v>30</v>
      </c>
      <c r="J1618" s="2">
        <f t="shared" si="58"/>
        <v>90.899999999999991</v>
      </c>
      <c r="K1618">
        <v>1617</v>
      </c>
      <c r="L1618" s="3">
        <f>SUM($I$2:$I1618)</f>
        <v>6344540</v>
      </c>
      <c r="M1618" s="3">
        <f>SUM($J$2:$J1618)</f>
        <v>25345327.099999975</v>
      </c>
      <c r="N1618" s="2">
        <f>SUM($D$2:$D1618)</f>
        <v>14035.319999999983</v>
      </c>
      <c r="O1618" s="2">
        <f t="shared" si="59"/>
        <v>0.83641252462697457</v>
      </c>
      <c r="P1618" s="2" cm="1">
        <f t="array" ref="P1618">SUMPRODUCT((O1618&gt;$T$9:$T$14)*(O1618&lt;=$U$9:$U$14),$S$9:$S$14)</f>
        <v>5</v>
      </c>
    </row>
    <row r="1619" spans="1:16" x14ac:dyDescent="0.25">
      <c r="A1619">
        <v>1723</v>
      </c>
      <c r="B1619">
        <v>1723</v>
      </c>
      <c r="C1619">
        <v>2229</v>
      </c>
      <c r="D1619">
        <v>1.57</v>
      </c>
      <c r="E1619">
        <v>54210</v>
      </c>
      <c r="F1619">
        <v>0</v>
      </c>
      <c r="G1619">
        <v>54210000</v>
      </c>
      <c r="H1619">
        <v>528</v>
      </c>
      <c r="I1619">
        <v>30</v>
      </c>
      <c r="J1619" s="2">
        <f t="shared" si="58"/>
        <v>47.1</v>
      </c>
      <c r="K1619">
        <v>1618</v>
      </c>
      <c r="L1619" s="3">
        <f>SUM($I$2:$I1619)</f>
        <v>6344570</v>
      </c>
      <c r="M1619" s="3">
        <f>SUM($J$2:$J1619)</f>
        <v>25345374.199999977</v>
      </c>
      <c r="N1619" s="2">
        <f>SUM($D$2:$D1619)</f>
        <v>14036.889999999983</v>
      </c>
      <c r="O1619" s="2">
        <f t="shared" si="59"/>
        <v>0.83650608627456535</v>
      </c>
      <c r="P1619" s="2" cm="1">
        <f t="array" ref="P1619">SUMPRODUCT((O1619&gt;$T$9:$T$14)*(O1619&lt;=$U$9:$U$14),$S$9:$S$14)</f>
        <v>5</v>
      </c>
    </row>
    <row r="1620" spans="1:16" x14ac:dyDescent="0.25">
      <c r="A1620">
        <v>1779</v>
      </c>
      <c r="B1620">
        <v>1779</v>
      </c>
      <c r="C1620">
        <v>0</v>
      </c>
      <c r="D1620">
        <v>1.5</v>
      </c>
      <c r="E1620">
        <v>98115</v>
      </c>
      <c r="F1620">
        <v>0</v>
      </c>
      <c r="G1620">
        <v>98115000</v>
      </c>
      <c r="H1620">
        <v>7910</v>
      </c>
      <c r="I1620">
        <v>30</v>
      </c>
      <c r="J1620" s="2">
        <f t="shared" si="58"/>
        <v>45</v>
      </c>
      <c r="K1620">
        <v>1619</v>
      </c>
      <c r="L1620" s="3">
        <f>SUM($I$2:$I1620)</f>
        <v>6344600</v>
      </c>
      <c r="M1620" s="3">
        <f>SUM($J$2:$J1620)</f>
        <v>25345419.199999977</v>
      </c>
      <c r="N1620" s="2">
        <f>SUM($D$2:$D1620)</f>
        <v>14038.389999999983</v>
      </c>
      <c r="O1620" s="2">
        <f t="shared" si="59"/>
        <v>0.83659547638372855</v>
      </c>
      <c r="P1620" s="2" cm="1">
        <f t="array" ref="P1620">SUMPRODUCT((O1620&gt;$T$9:$T$14)*(O1620&lt;=$U$9:$U$14),$S$9:$S$14)</f>
        <v>5</v>
      </c>
    </row>
    <row r="1621" spans="1:16" x14ac:dyDescent="0.25">
      <c r="A1621">
        <v>306</v>
      </c>
      <c r="B1621">
        <v>1101</v>
      </c>
      <c r="C1621">
        <v>1940</v>
      </c>
      <c r="D1621">
        <v>1.33</v>
      </c>
      <c r="E1621">
        <v>73710</v>
      </c>
      <c r="F1621">
        <v>0</v>
      </c>
      <c r="G1621">
        <v>73710000</v>
      </c>
      <c r="H1621">
        <v>7041</v>
      </c>
      <c r="I1621">
        <v>30</v>
      </c>
      <c r="J1621" s="2">
        <f t="shared" si="58"/>
        <v>39.900000000000006</v>
      </c>
      <c r="K1621">
        <v>1620</v>
      </c>
      <c r="L1621" s="3">
        <f>SUM($I$2:$I1621)</f>
        <v>6344630</v>
      </c>
      <c r="M1621" s="3">
        <f>SUM($J$2:$J1621)</f>
        <v>25345459.099999975</v>
      </c>
      <c r="N1621" s="2">
        <f>SUM($D$2:$D1621)</f>
        <v>14039.719999999983</v>
      </c>
      <c r="O1621" s="2">
        <f t="shared" si="59"/>
        <v>0.8366747356138533</v>
      </c>
      <c r="P1621" s="2" cm="1">
        <f t="array" ref="P1621">SUMPRODUCT((O1621&gt;$T$9:$T$14)*(O1621&lt;=$U$9:$U$14),$S$9:$S$14)</f>
        <v>5</v>
      </c>
    </row>
    <row r="1622" spans="1:16" x14ac:dyDescent="0.25">
      <c r="A1622">
        <v>839</v>
      </c>
      <c r="B1622">
        <v>465</v>
      </c>
      <c r="C1622">
        <v>80</v>
      </c>
      <c r="D1622">
        <v>0.36</v>
      </c>
      <c r="E1622">
        <v>18420</v>
      </c>
      <c r="F1622">
        <v>0</v>
      </c>
      <c r="G1622">
        <v>18420000</v>
      </c>
      <c r="H1622">
        <v>11</v>
      </c>
      <c r="I1622">
        <v>30</v>
      </c>
      <c r="J1622" s="2">
        <f t="shared" si="58"/>
        <v>10.799999999999999</v>
      </c>
      <c r="K1622">
        <v>1621</v>
      </c>
      <c r="L1622" s="3">
        <f>SUM($I$2:$I1622)</f>
        <v>6344660</v>
      </c>
      <c r="M1622" s="3">
        <f>SUM($J$2:$J1622)</f>
        <v>25345469.899999976</v>
      </c>
      <c r="N1622" s="2">
        <f>SUM($D$2:$D1622)</f>
        <v>14040.079999999984</v>
      </c>
      <c r="O1622" s="2">
        <f t="shared" si="59"/>
        <v>0.83669618924005251</v>
      </c>
      <c r="P1622" s="2" cm="1">
        <f t="array" ref="P1622">SUMPRODUCT((O1622&gt;$T$9:$T$14)*(O1622&lt;=$U$9:$U$14),$S$9:$S$14)</f>
        <v>5</v>
      </c>
    </row>
    <row r="1623" spans="1:16" x14ac:dyDescent="0.25">
      <c r="A1623">
        <v>195</v>
      </c>
      <c r="B1623">
        <v>990</v>
      </c>
      <c r="C1623">
        <v>1785</v>
      </c>
      <c r="D1623">
        <v>53.2</v>
      </c>
      <c r="E1623">
        <v>56910</v>
      </c>
      <c r="F1623">
        <v>0</v>
      </c>
      <c r="G1623">
        <v>56910000</v>
      </c>
      <c r="H1623">
        <v>546</v>
      </c>
      <c r="I1623">
        <v>20</v>
      </c>
      <c r="J1623" s="2">
        <f t="shared" si="58"/>
        <v>1064</v>
      </c>
      <c r="K1623">
        <v>1622</v>
      </c>
      <c r="L1623" s="3">
        <f>SUM($I$2:$I1623)</f>
        <v>6344680</v>
      </c>
      <c r="M1623" s="3">
        <f>SUM($J$2:$J1623)</f>
        <v>25346533.899999976</v>
      </c>
      <c r="N1623" s="2">
        <f>SUM($D$2:$D1623)</f>
        <v>14093.279999999984</v>
      </c>
      <c r="O1623" s="2">
        <f t="shared" si="59"/>
        <v>0.83986655844504077</v>
      </c>
      <c r="P1623" s="2" cm="1">
        <f t="array" ref="P1623">SUMPRODUCT((O1623&gt;$T$9:$T$14)*(O1623&lt;=$U$9:$U$14),$S$9:$S$14)</f>
        <v>5</v>
      </c>
    </row>
    <row r="1624" spans="1:16" x14ac:dyDescent="0.25">
      <c r="A1624">
        <v>214</v>
      </c>
      <c r="B1624">
        <v>1009</v>
      </c>
      <c r="C1624">
        <v>1812</v>
      </c>
      <c r="D1624">
        <v>43.27</v>
      </c>
      <c r="E1624">
        <v>64100</v>
      </c>
      <c r="F1624">
        <v>0</v>
      </c>
      <c r="G1624">
        <v>64100000</v>
      </c>
      <c r="H1624">
        <v>600</v>
      </c>
      <c r="I1624">
        <v>20</v>
      </c>
      <c r="J1624" s="2">
        <f t="shared" si="58"/>
        <v>865.40000000000009</v>
      </c>
      <c r="K1624">
        <v>1623</v>
      </c>
      <c r="L1624" s="3">
        <f>SUM($I$2:$I1624)</f>
        <v>6344700</v>
      </c>
      <c r="M1624" s="3">
        <f>SUM($J$2:$J1624)</f>
        <v>25347399.299999975</v>
      </c>
      <c r="N1624" s="2">
        <f>SUM($D$2:$D1624)</f>
        <v>14136.549999999985</v>
      </c>
      <c r="O1624" s="2">
        <f t="shared" si="59"/>
        <v>0.84244516512736856</v>
      </c>
      <c r="P1624" s="2" cm="1">
        <f t="array" ref="P1624">SUMPRODUCT((O1624&gt;$T$9:$T$14)*(O1624&lt;=$U$9:$U$14),$S$9:$S$14)</f>
        <v>5</v>
      </c>
    </row>
    <row r="1625" spans="1:16" x14ac:dyDescent="0.25">
      <c r="A1625">
        <v>1732</v>
      </c>
      <c r="B1625">
        <v>1732</v>
      </c>
      <c r="C1625">
        <v>2238</v>
      </c>
      <c r="D1625">
        <v>35.9</v>
      </c>
      <c r="E1625">
        <v>53830</v>
      </c>
      <c r="F1625">
        <v>0</v>
      </c>
      <c r="G1625">
        <v>53830000</v>
      </c>
      <c r="H1625">
        <v>525</v>
      </c>
      <c r="I1625">
        <v>20</v>
      </c>
      <c r="J1625" s="2">
        <f t="shared" si="58"/>
        <v>718</v>
      </c>
      <c r="K1625">
        <v>1624</v>
      </c>
      <c r="L1625" s="3">
        <f>SUM($I$2:$I1625)</f>
        <v>6344720</v>
      </c>
      <c r="M1625" s="3">
        <f>SUM($J$2:$J1625)</f>
        <v>25348117.299999975</v>
      </c>
      <c r="N1625" s="2">
        <f>SUM($D$2:$D1625)</f>
        <v>14172.449999999984</v>
      </c>
      <c r="O1625" s="2">
        <f t="shared" si="59"/>
        <v>0.84458456840667451</v>
      </c>
      <c r="P1625" s="2" cm="1">
        <f t="array" ref="P1625">SUMPRODUCT((O1625&gt;$T$9:$T$14)*(O1625&lt;=$U$9:$U$14),$S$9:$S$14)</f>
        <v>5</v>
      </c>
    </row>
    <row r="1626" spans="1:16" x14ac:dyDescent="0.25">
      <c r="A1626">
        <v>179</v>
      </c>
      <c r="B1626">
        <v>975</v>
      </c>
      <c r="C1626">
        <v>1759</v>
      </c>
      <c r="D1626">
        <v>33.450000000000003</v>
      </c>
      <c r="E1626">
        <v>57800</v>
      </c>
      <c r="F1626">
        <v>1.5</v>
      </c>
      <c r="G1626">
        <v>57800015</v>
      </c>
      <c r="H1626">
        <v>553</v>
      </c>
      <c r="I1626">
        <v>20</v>
      </c>
      <c r="J1626" s="2">
        <f t="shared" si="58"/>
        <v>669</v>
      </c>
      <c r="K1626">
        <v>1625</v>
      </c>
      <c r="L1626" s="3">
        <f>SUM($I$2:$I1626)</f>
        <v>6344740</v>
      </c>
      <c r="M1626" s="3">
        <f>SUM($J$2:$J1626)</f>
        <v>25348786.299999975</v>
      </c>
      <c r="N1626" s="2">
        <f>SUM($D$2:$D1626)</f>
        <v>14205.899999999985</v>
      </c>
      <c r="O1626" s="2">
        <f t="shared" si="59"/>
        <v>0.84657796784101391</v>
      </c>
      <c r="P1626" s="2" cm="1">
        <f t="array" ref="P1626">SUMPRODUCT((O1626&gt;$T$9:$T$14)*(O1626&lt;=$U$9:$U$14),$S$9:$S$14)</f>
        <v>5</v>
      </c>
    </row>
    <row r="1627" spans="1:16" x14ac:dyDescent="0.25">
      <c r="A1627">
        <v>1726</v>
      </c>
      <c r="B1627">
        <v>1726</v>
      </c>
      <c r="C1627">
        <v>2232</v>
      </c>
      <c r="D1627">
        <v>32.22</v>
      </c>
      <c r="E1627">
        <v>54100</v>
      </c>
      <c r="F1627">
        <v>0</v>
      </c>
      <c r="G1627">
        <v>54100000</v>
      </c>
      <c r="H1627">
        <v>527</v>
      </c>
      <c r="I1627">
        <v>20</v>
      </c>
      <c r="J1627" s="2">
        <f t="shared" si="58"/>
        <v>644.4</v>
      </c>
      <c r="K1627">
        <v>1626</v>
      </c>
      <c r="L1627" s="3">
        <f>SUM($I$2:$I1627)</f>
        <v>6344760</v>
      </c>
      <c r="M1627" s="3">
        <f>SUM($J$2:$J1627)</f>
        <v>25349430.699999973</v>
      </c>
      <c r="N1627" s="2">
        <f>SUM($D$2:$D1627)</f>
        <v>14238.119999999984</v>
      </c>
      <c r="O1627" s="2">
        <f t="shared" si="59"/>
        <v>0.84849806738583944</v>
      </c>
      <c r="P1627" s="2" cm="1">
        <f t="array" ref="P1627">SUMPRODUCT((O1627&gt;$T$9:$T$14)*(O1627&lt;=$U$9:$U$14),$S$9:$S$14)</f>
        <v>5</v>
      </c>
    </row>
    <row r="1628" spans="1:16" x14ac:dyDescent="0.25">
      <c r="A1628">
        <v>315</v>
      </c>
      <c r="B1628">
        <v>1110</v>
      </c>
      <c r="C1628">
        <v>1951</v>
      </c>
      <c r="D1628">
        <v>29.76</v>
      </c>
      <c r="E1628">
        <v>72205</v>
      </c>
      <c r="F1628">
        <v>0</v>
      </c>
      <c r="G1628">
        <v>72205000</v>
      </c>
      <c r="H1628">
        <v>672</v>
      </c>
      <c r="I1628">
        <v>20</v>
      </c>
      <c r="J1628" s="2">
        <f t="shared" si="58"/>
        <v>595.20000000000005</v>
      </c>
      <c r="K1628">
        <v>1627</v>
      </c>
      <c r="L1628" s="3">
        <f>SUM($I$2:$I1628)</f>
        <v>6344780</v>
      </c>
      <c r="M1628" s="3">
        <f>SUM($J$2:$J1628)</f>
        <v>25350025.899999972</v>
      </c>
      <c r="N1628" s="2">
        <f>SUM($D$2:$D1628)</f>
        <v>14267.879999999985</v>
      </c>
      <c r="O1628" s="2">
        <f t="shared" si="59"/>
        <v>0.85027156715163743</v>
      </c>
      <c r="P1628" s="2" cm="1">
        <f t="array" ref="P1628">SUMPRODUCT((O1628&gt;$T$9:$T$14)*(O1628&lt;=$U$9:$U$14),$S$9:$S$14)</f>
        <v>5</v>
      </c>
    </row>
    <row r="1629" spans="1:16" x14ac:dyDescent="0.25">
      <c r="A1629">
        <v>255</v>
      </c>
      <c r="B1629">
        <v>1050</v>
      </c>
      <c r="C1629">
        <v>1868</v>
      </c>
      <c r="D1629">
        <v>27.88</v>
      </c>
      <c r="E1629">
        <v>61300</v>
      </c>
      <c r="F1629">
        <v>0</v>
      </c>
      <c r="G1629">
        <v>61300000</v>
      </c>
      <c r="H1629">
        <v>583</v>
      </c>
      <c r="I1629">
        <v>20</v>
      </c>
      <c r="J1629" s="2">
        <f t="shared" si="58"/>
        <v>557.6</v>
      </c>
      <c r="K1629">
        <v>1628</v>
      </c>
      <c r="L1629" s="3">
        <f>SUM($I$2:$I1629)</f>
        <v>6344800</v>
      </c>
      <c r="M1629" s="3">
        <f>SUM($J$2:$J1629)</f>
        <v>25350583.499999974</v>
      </c>
      <c r="N1629" s="2">
        <f>SUM($D$2:$D1629)</f>
        <v>14295.759999999984</v>
      </c>
      <c r="O1629" s="2">
        <f t="shared" si="59"/>
        <v>0.85193303131395071</v>
      </c>
      <c r="P1629" s="2" cm="1">
        <f t="array" ref="P1629">SUMPRODUCT((O1629&gt;$T$9:$T$14)*(O1629&lt;=$U$9:$U$14),$S$9:$S$14)</f>
        <v>5</v>
      </c>
    </row>
    <row r="1630" spans="1:16" x14ac:dyDescent="0.25">
      <c r="A1630">
        <v>286</v>
      </c>
      <c r="B1630">
        <v>1081</v>
      </c>
      <c r="C1630">
        <v>1911</v>
      </c>
      <c r="D1630">
        <v>24.25</v>
      </c>
      <c r="E1630">
        <v>67205</v>
      </c>
      <c r="F1630">
        <v>0</v>
      </c>
      <c r="G1630">
        <v>67205000</v>
      </c>
      <c r="H1630">
        <v>624</v>
      </c>
      <c r="I1630">
        <v>20</v>
      </c>
      <c r="J1630" s="2">
        <f t="shared" si="58"/>
        <v>485</v>
      </c>
      <c r="K1630">
        <v>1629</v>
      </c>
      <c r="L1630" s="3">
        <f>SUM($I$2:$I1630)</f>
        <v>6344820</v>
      </c>
      <c r="M1630" s="3">
        <f>SUM($J$2:$J1630)</f>
        <v>25351068.499999974</v>
      </c>
      <c r="N1630" s="2">
        <f>SUM($D$2:$D1630)</f>
        <v>14320.009999999984</v>
      </c>
      <c r="O1630" s="2">
        <f t="shared" si="59"/>
        <v>0.85337817141208916</v>
      </c>
      <c r="P1630" s="2" cm="1">
        <f t="array" ref="P1630">SUMPRODUCT((O1630&gt;$T$9:$T$14)*(O1630&lt;=$U$9:$U$14),$S$9:$S$14)</f>
        <v>5</v>
      </c>
    </row>
    <row r="1631" spans="1:16" x14ac:dyDescent="0.25">
      <c r="A1631">
        <v>225</v>
      </c>
      <c r="B1631">
        <v>1020</v>
      </c>
      <c r="C1631">
        <v>1829</v>
      </c>
      <c r="D1631">
        <v>18.579999999999998</v>
      </c>
      <c r="E1631">
        <v>62910</v>
      </c>
      <c r="F1631">
        <v>0</v>
      </c>
      <c r="G1631">
        <v>62910000</v>
      </c>
      <c r="H1631">
        <v>595</v>
      </c>
      <c r="I1631">
        <v>20</v>
      </c>
      <c r="J1631" s="2">
        <f t="shared" si="58"/>
        <v>371.59999999999997</v>
      </c>
      <c r="K1631">
        <v>1630</v>
      </c>
      <c r="L1631" s="3">
        <f>SUM($I$2:$I1631)</f>
        <v>6344840</v>
      </c>
      <c r="M1631" s="3">
        <f>SUM($J$2:$J1631)</f>
        <v>25351440.099999975</v>
      </c>
      <c r="N1631" s="2">
        <f>SUM($D$2:$D1631)</f>
        <v>14338.589999999984</v>
      </c>
      <c r="O1631" s="2">
        <f t="shared" si="59"/>
        <v>0.85448541689759061</v>
      </c>
      <c r="P1631" s="2" cm="1">
        <f t="array" ref="P1631">SUMPRODUCT((O1631&gt;$T$9:$T$14)*(O1631&lt;=$U$9:$U$14),$S$9:$S$14)</f>
        <v>5</v>
      </c>
    </row>
    <row r="1632" spans="1:16" x14ac:dyDescent="0.25">
      <c r="A1632">
        <v>172</v>
      </c>
      <c r="B1632">
        <v>968</v>
      </c>
      <c r="C1632">
        <v>1749</v>
      </c>
      <c r="D1632">
        <v>16.52</v>
      </c>
      <c r="E1632">
        <v>58410</v>
      </c>
      <c r="F1632">
        <v>3.2</v>
      </c>
      <c r="G1632">
        <v>58410032</v>
      </c>
      <c r="H1632">
        <v>558</v>
      </c>
      <c r="I1632">
        <v>20</v>
      </c>
      <c r="J1632" s="2">
        <f t="shared" si="58"/>
        <v>330.4</v>
      </c>
      <c r="K1632">
        <v>1631</v>
      </c>
      <c r="L1632" s="3">
        <f>SUM($I$2:$I1632)</f>
        <v>6344860</v>
      </c>
      <c r="M1632" s="3">
        <f>SUM($J$2:$J1632)</f>
        <v>25351770.499999974</v>
      </c>
      <c r="N1632" s="2">
        <f>SUM($D$2:$D1632)</f>
        <v>14355.109999999984</v>
      </c>
      <c r="O1632" s="2">
        <f t="shared" si="59"/>
        <v>0.85546989996650802</v>
      </c>
      <c r="P1632" s="2" cm="1">
        <f t="array" ref="P1632">SUMPRODUCT((O1632&gt;$T$9:$T$14)*(O1632&lt;=$U$9:$U$14),$S$9:$S$14)</f>
        <v>5</v>
      </c>
    </row>
    <row r="1633" spans="1:16" x14ac:dyDescent="0.25">
      <c r="A1633">
        <v>221</v>
      </c>
      <c r="B1633">
        <v>1016</v>
      </c>
      <c r="C1633">
        <v>1823</v>
      </c>
      <c r="D1633">
        <v>15.46</v>
      </c>
      <c r="E1633">
        <v>63301</v>
      </c>
      <c r="F1633">
        <v>0</v>
      </c>
      <c r="G1633">
        <v>63301000</v>
      </c>
      <c r="H1633">
        <v>597</v>
      </c>
      <c r="I1633">
        <v>20</v>
      </c>
      <c r="J1633" s="2">
        <f t="shared" si="58"/>
        <v>309.20000000000005</v>
      </c>
      <c r="K1633">
        <v>1632</v>
      </c>
      <c r="L1633" s="3">
        <f>SUM($I$2:$I1633)</f>
        <v>6344880</v>
      </c>
      <c r="M1633" s="3">
        <f>SUM($J$2:$J1633)</f>
        <v>25352079.699999973</v>
      </c>
      <c r="N1633" s="2">
        <f>SUM($D$2:$D1633)</f>
        <v>14370.569999999983</v>
      </c>
      <c r="O1633" s="2">
        <f t="shared" si="59"/>
        <v>0.85639121402495011</v>
      </c>
      <c r="P1633" s="2" cm="1">
        <f t="array" ref="P1633">SUMPRODUCT((O1633&gt;$T$9:$T$14)*(O1633&lt;=$U$9:$U$14),$S$9:$S$14)</f>
        <v>5</v>
      </c>
    </row>
    <row r="1634" spans="1:16" x14ac:dyDescent="0.25">
      <c r="A1634">
        <v>321</v>
      </c>
      <c r="B1634">
        <v>1116</v>
      </c>
      <c r="C1634">
        <v>1958</v>
      </c>
      <c r="D1634">
        <v>13.5</v>
      </c>
      <c r="E1634">
        <v>72120</v>
      </c>
      <c r="F1634">
        <v>0</v>
      </c>
      <c r="G1634">
        <v>72120000</v>
      </c>
      <c r="H1634">
        <v>668</v>
      </c>
      <c r="I1634">
        <v>20</v>
      </c>
      <c r="J1634" s="2">
        <f t="shared" si="58"/>
        <v>270</v>
      </c>
      <c r="K1634">
        <v>1633</v>
      </c>
      <c r="L1634" s="3">
        <f>SUM($I$2:$I1634)</f>
        <v>6344900</v>
      </c>
      <c r="M1634" s="3">
        <f>SUM($J$2:$J1634)</f>
        <v>25352349.699999973</v>
      </c>
      <c r="N1634" s="2">
        <f>SUM($D$2:$D1634)</f>
        <v>14384.069999999983</v>
      </c>
      <c r="O1634" s="2">
        <f t="shared" si="59"/>
        <v>0.85719572500741892</v>
      </c>
      <c r="P1634" s="2" cm="1">
        <f t="array" ref="P1634">SUMPRODUCT((O1634&gt;$T$9:$T$14)*(O1634&lt;=$U$9:$U$14),$S$9:$S$14)</f>
        <v>5</v>
      </c>
    </row>
    <row r="1635" spans="1:16" x14ac:dyDescent="0.25">
      <c r="A1635">
        <v>323</v>
      </c>
      <c r="B1635">
        <v>1118</v>
      </c>
      <c r="C1635">
        <v>1960</v>
      </c>
      <c r="D1635">
        <v>12.79</v>
      </c>
      <c r="E1635">
        <v>72030</v>
      </c>
      <c r="F1635">
        <v>8.5</v>
      </c>
      <c r="G1635">
        <v>72030085</v>
      </c>
      <c r="H1635">
        <v>665</v>
      </c>
      <c r="I1635">
        <v>20</v>
      </c>
      <c r="J1635" s="2">
        <f t="shared" si="58"/>
        <v>255.79999999999998</v>
      </c>
      <c r="K1635">
        <v>1634</v>
      </c>
      <c r="L1635" s="3">
        <f>SUM($I$2:$I1635)</f>
        <v>6344920</v>
      </c>
      <c r="M1635" s="3">
        <f>SUM($J$2:$J1635)</f>
        <v>25352605.499999974</v>
      </c>
      <c r="N1635" s="2">
        <f>SUM($D$2:$D1635)</f>
        <v>14396.859999999984</v>
      </c>
      <c r="O1635" s="2">
        <f t="shared" si="59"/>
        <v>0.85795792467155052</v>
      </c>
      <c r="P1635" s="2" cm="1">
        <f t="array" ref="P1635">SUMPRODUCT((O1635&gt;$T$9:$T$14)*(O1635&lt;=$U$9:$U$14),$S$9:$S$14)</f>
        <v>5</v>
      </c>
    </row>
    <row r="1636" spans="1:16" x14ac:dyDescent="0.25">
      <c r="A1636">
        <v>236</v>
      </c>
      <c r="B1636">
        <v>1031</v>
      </c>
      <c r="C1636">
        <v>1845</v>
      </c>
      <c r="D1636">
        <v>8.76</v>
      </c>
      <c r="E1636">
        <v>62210</v>
      </c>
      <c r="F1636">
        <v>9.5</v>
      </c>
      <c r="G1636">
        <v>62210095</v>
      </c>
      <c r="H1636">
        <v>589</v>
      </c>
      <c r="I1636">
        <v>20</v>
      </c>
      <c r="J1636" s="2">
        <f t="shared" si="58"/>
        <v>175.2</v>
      </c>
      <c r="K1636">
        <v>1635</v>
      </c>
      <c r="L1636" s="3">
        <f>SUM($I$2:$I1636)</f>
        <v>6344940</v>
      </c>
      <c r="M1636" s="3">
        <f>SUM($J$2:$J1636)</f>
        <v>25352780.699999973</v>
      </c>
      <c r="N1636" s="2">
        <f>SUM($D$2:$D1636)</f>
        <v>14405.619999999984</v>
      </c>
      <c r="O1636" s="2">
        <f t="shared" si="59"/>
        <v>0.85847996290906359</v>
      </c>
      <c r="P1636" s="2" cm="1">
        <f t="array" ref="P1636">SUMPRODUCT((O1636&gt;$T$9:$T$14)*(O1636&lt;=$U$9:$U$14),$S$9:$S$14)</f>
        <v>5</v>
      </c>
    </row>
    <row r="1637" spans="1:16" x14ac:dyDescent="0.25">
      <c r="A1637">
        <v>149</v>
      </c>
      <c r="B1637">
        <v>945</v>
      </c>
      <c r="C1637">
        <v>1718</v>
      </c>
      <c r="D1637">
        <v>8.07</v>
      </c>
      <c r="E1637">
        <v>59900</v>
      </c>
      <c r="F1637">
        <v>8.5</v>
      </c>
      <c r="G1637">
        <v>59900085</v>
      </c>
      <c r="H1637">
        <v>572</v>
      </c>
      <c r="I1637">
        <v>20</v>
      </c>
      <c r="J1637" s="2">
        <f t="shared" si="58"/>
        <v>161.4</v>
      </c>
      <c r="K1637">
        <v>1636</v>
      </c>
      <c r="L1637" s="3">
        <f>SUM($I$2:$I1637)</f>
        <v>6344960</v>
      </c>
      <c r="M1637" s="3">
        <f>SUM($J$2:$J1637)</f>
        <v>25352942.099999972</v>
      </c>
      <c r="N1637" s="2">
        <f>SUM($D$2:$D1637)</f>
        <v>14413.689999999984</v>
      </c>
      <c r="O1637" s="2">
        <f t="shared" si="59"/>
        <v>0.85896088169636164</v>
      </c>
      <c r="P1637" s="2" cm="1">
        <f t="array" ref="P1637">SUMPRODUCT((O1637&gt;$T$9:$T$14)*(O1637&lt;=$U$9:$U$14),$S$9:$S$14)</f>
        <v>5</v>
      </c>
    </row>
    <row r="1638" spans="1:16" x14ac:dyDescent="0.25">
      <c r="A1638">
        <v>163</v>
      </c>
      <c r="B1638">
        <v>959</v>
      </c>
      <c r="C1638">
        <v>1734</v>
      </c>
      <c r="D1638">
        <v>8.0500000000000007</v>
      </c>
      <c r="E1638">
        <v>59010</v>
      </c>
      <c r="F1638">
        <v>0</v>
      </c>
      <c r="G1638">
        <v>59010000</v>
      </c>
      <c r="H1638">
        <v>562</v>
      </c>
      <c r="I1638">
        <v>20</v>
      </c>
      <c r="J1638" s="2">
        <f t="shared" si="58"/>
        <v>161</v>
      </c>
      <c r="K1638">
        <v>1637</v>
      </c>
      <c r="L1638" s="3">
        <f>SUM($I$2:$I1638)</f>
        <v>6344980</v>
      </c>
      <c r="M1638" s="3">
        <f>SUM($J$2:$J1638)</f>
        <v>25353103.099999972</v>
      </c>
      <c r="N1638" s="2">
        <f>SUM($D$2:$D1638)</f>
        <v>14421.739999999983</v>
      </c>
      <c r="O1638" s="2">
        <f t="shared" si="59"/>
        <v>0.85944060861553739</v>
      </c>
      <c r="P1638" s="2" cm="1">
        <f t="array" ref="P1638">SUMPRODUCT((O1638&gt;$T$9:$T$14)*(O1638&lt;=$U$9:$U$14),$S$9:$S$14)</f>
        <v>5</v>
      </c>
    </row>
    <row r="1639" spans="1:16" x14ac:dyDescent="0.25">
      <c r="A1639">
        <v>252</v>
      </c>
      <c r="B1639">
        <v>1047</v>
      </c>
      <c r="C1639">
        <v>1864</v>
      </c>
      <c r="D1639">
        <v>6.68</v>
      </c>
      <c r="E1639">
        <v>61340</v>
      </c>
      <c r="F1639">
        <v>5.2</v>
      </c>
      <c r="G1639">
        <v>61340052</v>
      </c>
      <c r="H1639">
        <v>583</v>
      </c>
      <c r="I1639">
        <v>20</v>
      </c>
      <c r="J1639" s="2">
        <f t="shared" si="58"/>
        <v>133.6</v>
      </c>
      <c r="K1639">
        <v>1638</v>
      </c>
      <c r="L1639" s="3">
        <f>SUM($I$2:$I1639)</f>
        <v>6345000</v>
      </c>
      <c r="M1639" s="3">
        <f>SUM($J$2:$J1639)</f>
        <v>25353236.699999973</v>
      </c>
      <c r="N1639" s="2">
        <f>SUM($D$2:$D1639)</f>
        <v>14428.419999999984</v>
      </c>
      <c r="O1639" s="2">
        <f t="shared" si="59"/>
        <v>0.85983869256834422</v>
      </c>
      <c r="P1639" s="2" cm="1">
        <f t="array" ref="P1639">SUMPRODUCT((O1639&gt;$T$9:$T$14)*(O1639&lt;=$U$9:$U$14),$S$9:$S$14)</f>
        <v>5</v>
      </c>
    </row>
    <row r="1640" spans="1:16" x14ac:dyDescent="0.25">
      <c r="A1640">
        <v>1692</v>
      </c>
      <c r="B1640">
        <v>1692</v>
      </c>
      <c r="C1640">
        <v>2194</v>
      </c>
      <c r="D1640">
        <v>5.57</v>
      </c>
      <c r="E1640">
        <v>55900</v>
      </c>
      <c r="F1640">
        <v>0</v>
      </c>
      <c r="G1640">
        <v>55900000</v>
      </c>
      <c r="H1640" t="s">
        <v>14</v>
      </c>
      <c r="I1640">
        <v>20</v>
      </c>
      <c r="J1640" s="2">
        <f t="shared" si="58"/>
        <v>111.4</v>
      </c>
      <c r="K1640">
        <v>1639</v>
      </c>
      <c r="L1640" s="3">
        <f>SUM($I$2:$I1640)</f>
        <v>6345020</v>
      </c>
      <c r="M1640" s="3">
        <f>SUM($J$2:$J1640)</f>
        <v>25353348.099999972</v>
      </c>
      <c r="N1640" s="2">
        <f>SUM($D$2:$D1640)</f>
        <v>14433.989999999983</v>
      </c>
      <c r="O1640" s="2">
        <f t="shared" si="59"/>
        <v>0.86017062784037024</v>
      </c>
      <c r="P1640" s="2" cm="1">
        <f t="array" ref="P1640">SUMPRODUCT((O1640&gt;$T$9:$T$14)*(O1640&lt;=$U$9:$U$14),$S$9:$S$14)</f>
        <v>5</v>
      </c>
    </row>
    <row r="1641" spans="1:16" x14ac:dyDescent="0.25">
      <c r="A1641">
        <v>276</v>
      </c>
      <c r="B1641">
        <v>1071</v>
      </c>
      <c r="C1641">
        <v>1896</v>
      </c>
      <c r="D1641">
        <v>5.25</v>
      </c>
      <c r="E1641">
        <v>68300</v>
      </c>
      <c r="F1641">
        <v>0</v>
      </c>
      <c r="G1641">
        <v>68300000</v>
      </c>
      <c r="H1641">
        <v>633</v>
      </c>
      <c r="I1641">
        <v>20</v>
      </c>
      <c r="J1641" s="2">
        <f t="shared" si="58"/>
        <v>105</v>
      </c>
      <c r="K1641">
        <v>1640</v>
      </c>
      <c r="L1641" s="3">
        <f>SUM($I$2:$I1641)</f>
        <v>6345040</v>
      </c>
      <c r="M1641" s="3">
        <f>SUM($J$2:$J1641)</f>
        <v>25353453.099999972</v>
      </c>
      <c r="N1641" s="2">
        <f>SUM($D$2:$D1641)</f>
        <v>14439.239999999983</v>
      </c>
      <c r="O1641" s="2">
        <f t="shared" si="59"/>
        <v>0.86048349322244144</v>
      </c>
      <c r="P1641" s="2" cm="1">
        <f t="array" ref="P1641">SUMPRODUCT((O1641&gt;$T$9:$T$14)*(O1641&lt;=$U$9:$U$14),$S$9:$S$14)</f>
        <v>5</v>
      </c>
    </row>
    <row r="1642" spans="1:16" x14ac:dyDescent="0.25">
      <c r="A1642">
        <v>287</v>
      </c>
      <c r="B1642">
        <v>1082</v>
      </c>
      <c r="C1642">
        <v>1912</v>
      </c>
      <c r="D1642">
        <v>5.04</v>
      </c>
      <c r="E1642">
        <v>67100</v>
      </c>
      <c r="F1642">
        <v>0</v>
      </c>
      <c r="G1642">
        <v>67100000</v>
      </c>
      <c r="H1642">
        <v>623</v>
      </c>
      <c r="I1642">
        <v>20</v>
      </c>
      <c r="J1642" s="2">
        <f t="shared" si="58"/>
        <v>100.8</v>
      </c>
      <c r="K1642">
        <v>1641</v>
      </c>
      <c r="L1642" s="3">
        <f>SUM($I$2:$I1642)</f>
        <v>6345060</v>
      </c>
      <c r="M1642" s="3">
        <f>SUM($J$2:$J1642)</f>
        <v>25353553.899999972</v>
      </c>
      <c r="N1642" s="2">
        <f>SUM($D$2:$D1642)</f>
        <v>14444.279999999984</v>
      </c>
      <c r="O1642" s="2">
        <f t="shared" si="59"/>
        <v>0.8607838439892298</v>
      </c>
      <c r="P1642" s="2" cm="1">
        <f t="array" ref="P1642">SUMPRODUCT((O1642&gt;$T$9:$T$14)*(O1642&lt;=$U$9:$U$14),$S$9:$S$14)</f>
        <v>5</v>
      </c>
    </row>
    <row r="1643" spans="1:16" x14ac:dyDescent="0.25">
      <c r="A1643">
        <v>301</v>
      </c>
      <c r="B1643">
        <v>1096</v>
      </c>
      <c r="C1643">
        <v>1930</v>
      </c>
      <c r="D1643">
        <v>4.87</v>
      </c>
      <c r="E1643">
        <v>66000</v>
      </c>
      <c r="F1643">
        <v>0</v>
      </c>
      <c r="G1643">
        <v>66000000</v>
      </c>
      <c r="H1643">
        <v>615</v>
      </c>
      <c r="I1643">
        <v>20</v>
      </c>
      <c r="J1643" s="2">
        <f t="shared" si="58"/>
        <v>97.4</v>
      </c>
      <c r="K1643">
        <v>1642</v>
      </c>
      <c r="L1643" s="3">
        <f>SUM($I$2:$I1643)</f>
        <v>6345080</v>
      </c>
      <c r="M1643" s="3">
        <f>SUM($J$2:$J1643)</f>
        <v>25353651.299999971</v>
      </c>
      <c r="N1643" s="2">
        <f>SUM($D$2:$D1643)</f>
        <v>14449.149999999985</v>
      </c>
      <c r="O1643" s="2">
        <f t="shared" si="59"/>
        <v>0.86107406387697971</v>
      </c>
      <c r="P1643" s="2" cm="1">
        <f t="array" ref="P1643">SUMPRODUCT((O1643&gt;$T$9:$T$14)*(O1643&lt;=$U$9:$U$14),$S$9:$S$14)</f>
        <v>5</v>
      </c>
    </row>
    <row r="1644" spans="1:16" x14ac:dyDescent="0.25">
      <c r="A1644">
        <v>1772</v>
      </c>
      <c r="B1644">
        <v>1772</v>
      </c>
      <c r="C1644">
        <v>0</v>
      </c>
      <c r="D1644">
        <v>4.6900000000000004</v>
      </c>
      <c r="E1644">
        <v>73723</v>
      </c>
      <c r="F1644">
        <v>0</v>
      </c>
      <c r="G1644">
        <v>73723000</v>
      </c>
      <c r="H1644">
        <v>7042</v>
      </c>
      <c r="I1644">
        <v>20</v>
      </c>
      <c r="J1644" s="2">
        <f t="shared" si="58"/>
        <v>93.800000000000011</v>
      </c>
      <c r="K1644">
        <v>1643</v>
      </c>
      <c r="L1644" s="3">
        <f>SUM($I$2:$I1644)</f>
        <v>6345100</v>
      </c>
      <c r="M1644" s="3">
        <f>SUM($J$2:$J1644)</f>
        <v>25353745.099999972</v>
      </c>
      <c r="N1644" s="2">
        <f>SUM($D$2:$D1644)</f>
        <v>14453.839999999986</v>
      </c>
      <c r="O1644" s="2">
        <f t="shared" si="59"/>
        <v>0.86135355695163007</v>
      </c>
      <c r="P1644" s="2" cm="1">
        <f t="array" ref="P1644">SUMPRODUCT((O1644&gt;$T$9:$T$14)*(O1644&lt;=$U$9:$U$14),$S$9:$S$14)</f>
        <v>5</v>
      </c>
    </row>
    <row r="1645" spans="1:16" x14ac:dyDescent="0.25">
      <c r="A1645">
        <v>263</v>
      </c>
      <c r="B1645">
        <v>1058</v>
      </c>
      <c r="C1645">
        <v>1877</v>
      </c>
      <c r="D1645">
        <v>4.07</v>
      </c>
      <c r="E1645">
        <v>69900</v>
      </c>
      <c r="F1645">
        <v>0</v>
      </c>
      <c r="G1645">
        <v>69900000</v>
      </c>
      <c r="H1645">
        <v>645</v>
      </c>
      <c r="I1645">
        <v>20</v>
      </c>
      <c r="J1645" s="2">
        <f t="shared" si="58"/>
        <v>81.400000000000006</v>
      </c>
      <c r="K1645">
        <v>1644</v>
      </c>
      <c r="L1645" s="3">
        <f>SUM($I$2:$I1645)</f>
        <v>6345120</v>
      </c>
      <c r="M1645" s="3">
        <f>SUM($J$2:$J1645)</f>
        <v>25353826.49999997</v>
      </c>
      <c r="N1645" s="2">
        <f>SUM($D$2:$D1645)</f>
        <v>14457.909999999985</v>
      </c>
      <c r="O1645" s="2">
        <f t="shared" si="59"/>
        <v>0.86159610211449289</v>
      </c>
      <c r="P1645" s="2" cm="1">
        <f t="array" ref="P1645">SUMPRODUCT((O1645&gt;$T$9:$T$14)*(O1645&lt;=$U$9:$U$14),$S$9:$S$14)</f>
        <v>5</v>
      </c>
    </row>
    <row r="1646" spans="1:16" x14ac:dyDescent="0.25">
      <c r="A1646">
        <v>332</v>
      </c>
      <c r="B1646">
        <v>1127</v>
      </c>
      <c r="C1646">
        <v>1970</v>
      </c>
      <c r="D1646">
        <v>3.73</v>
      </c>
      <c r="E1646">
        <v>71200</v>
      </c>
      <c r="F1646">
        <v>0</v>
      </c>
      <c r="G1646">
        <v>71200000</v>
      </c>
      <c r="H1646">
        <v>656</v>
      </c>
      <c r="I1646">
        <v>20</v>
      </c>
      <c r="J1646" s="2">
        <f t="shared" si="58"/>
        <v>74.599999999999994</v>
      </c>
      <c r="K1646">
        <v>1645</v>
      </c>
      <c r="L1646" s="3">
        <f>SUM($I$2:$I1646)</f>
        <v>6345140</v>
      </c>
      <c r="M1646" s="3">
        <f>SUM($J$2:$J1646)</f>
        <v>25353901.099999972</v>
      </c>
      <c r="N1646" s="2">
        <f>SUM($D$2:$D1646)</f>
        <v>14461.639999999985</v>
      </c>
      <c r="O1646" s="2">
        <f t="shared" si="59"/>
        <v>0.8618183855192787</v>
      </c>
      <c r="P1646" s="2" cm="1">
        <f t="array" ref="P1646">SUMPRODUCT((O1646&gt;$T$9:$T$14)*(O1646&lt;=$U$9:$U$14),$S$9:$S$14)</f>
        <v>5</v>
      </c>
    </row>
    <row r="1647" spans="1:16" x14ac:dyDescent="0.25">
      <c r="A1647">
        <v>203</v>
      </c>
      <c r="B1647">
        <v>998</v>
      </c>
      <c r="C1647">
        <v>1794</v>
      </c>
      <c r="D1647">
        <v>2.61</v>
      </c>
      <c r="E1647">
        <v>65100</v>
      </c>
      <c r="F1647">
        <v>0</v>
      </c>
      <c r="G1647">
        <v>65100000</v>
      </c>
      <c r="H1647" t="s">
        <v>13</v>
      </c>
      <c r="I1647">
        <v>20</v>
      </c>
      <c r="J1647" s="2">
        <f t="shared" si="58"/>
        <v>52.199999999999996</v>
      </c>
      <c r="K1647">
        <v>1646</v>
      </c>
      <c r="L1647" s="3">
        <f>SUM($I$2:$I1647)</f>
        <v>6345160</v>
      </c>
      <c r="M1647" s="3">
        <f>SUM($J$2:$J1647)</f>
        <v>25353953.299999971</v>
      </c>
      <c r="N1647" s="2">
        <f>SUM($D$2:$D1647)</f>
        <v>14464.249999999985</v>
      </c>
      <c r="O1647" s="2">
        <f t="shared" si="59"/>
        <v>0.86197392430922271</v>
      </c>
      <c r="P1647" s="2" cm="1">
        <f t="array" ref="P1647">SUMPRODUCT((O1647&gt;$T$9:$T$14)*(O1647&lt;=$U$9:$U$14),$S$9:$S$14)</f>
        <v>5</v>
      </c>
    </row>
    <row r="1648" spans="1:16" x14ac:dyDescent="0.25">
      <c r="A1648">
        <v>1685</v>
      </c>
      <c r="B1648">
        <v>1685</v>
      </c>
      <c r="C1648">
        <v>2184</v>
      </c>
      <c r="D1648">
        <v>2.4900000000000002</v>
      </c>
      <c r="E1648">
        <v>56500</v>
      </c>
      <c r="F1648">
        <v>0</v>
      </c>
      <c r="G1648">
        <v>56500000</v>
      </c>
      <c r="H1648" t="s">
        <v>12</v>
      </c>
      <c r="I1648">
        <v>20</v>
      </c>
      <c r="J1648" s="2">
        <f t="shared" si="58"/>
        <v>49.800000000000004</v>
      </c>
      <c r="K1648">
        <v>1647</v>
      </c>
      <c r="L1648" s="3">
        <f>SUM($I$2:$I1648)</f>
        <v>6345180</v>
      </c>
      <c r="M1648" s="3">
        <f>SUM($J$2:$J1648)</f>
        <v>25354003.099999972</v>
      </c>
      <c r="N1648" s="2">
        <f>SUM($D$2:$D1648)</f>
        <v>14466.739999999985</v>
      </c>
      <c r="O1648" s="2">
        <f t="shared" si="59"/>
        <v>0.86212231189043353</v>
      </c>
      <c r="P1648" s="2" cm="1">
        <f t="array" ref="P1648">SUMPRODUCT((O1648&gt;$T$9:$T$14)*(O1648&lt;=$U$9:$U$14),$S$9:$S$14)</f>
        <v>5</v>
      </c>
    </row>
    <row r="1649" spans="1:16" x14ac:dyDescent="0.25">
      <c r="A1649">
        <v>157</v>
      </c>
      <c r="B1649">
        <v>953</v>
      </c>
      <c r="C1649">
        <v>1726</v>
      </c>
      <c r="D1649">
        <v>2.41</v>
      </c>
      <c r="E1649">
        <v>59500</v>
      </c>
      <c r="F1649">
        <v>0</v>
      </c>
      <c r="G1649">
        <v>59500000</v>
      </c>
      <c r="H1649">
        <v>568</v>
      </c>
      <c r="I1649">
        <v>20</v>
      </c>
      <c r="J1649" s="2">
        <f t="shared" si="58"/>
        <v>48.2</v>
      </c>
      <c r="K1649">
        <v>1648</v>
      </c>
      <c r="L1649" s="3">
        <f>SUM($I$2:$I1649)</f>
        <v>6345200</v>
      </c>
      <c r="M1649" s="3">
        <f>SUM($J$2:$J1649)</f>
        <v>25354051.299999971</v>
      </c>
      <c r="N1649" s="2">
        <f>SUM($D$2:$D1649)</f>
        <v>14469.149999999985</v>
      </c>
      <c r="O1649" s="2">
        <f t="shared" si="59"/>
        <v>0.8622659319991558</v>
      </c>
      <c r="P1649" s="2" cm="1">
        <f t="array" ref="P1649">SUMPRODUCT((O1649&gt;$T$9:$T$14)*(O1649&lt;=$U$9:$U$14),$S$9:$S$14)</f>
        <v>5</v>
      </c>
    </row>
    <row r="1650" spans="1:16" x14ac:dyDescent="0.25">
      <c r="A1650">
        <v>253</v>
      </c>
      <c r="B1650">
        <v>1048</v>
      </c>
      <c r="C1650">
        <v>1865</v>
      </c>
      <c r="D1650">
        <v>1.6</v>
      </c>
      <c r="E1650">
        <v>61340</v>
      </c>
      <c r="F1650">
        <v>3.6</v>
      </c>
      <c r="G1650">
        <v>61340036</v>
      </c>
      <c r="H1650">
        <v>583</v>
      </c>
      <c r="I1650">
        <v>20</v>
      </c>
      <c r="J1650" s="2">
        <f t="shared" si="58"/>
        <v>32</v>
      </c>
      <c r="K1650">
        <v>1649</v>
      </c>
      <c r="L1650" s="3">
        <f>SUM($I$2:$I1650)</f>
        <v>6345220</v>
      </c>
      <c r="M1650" s="3">
        <f>SUM($J$2:$J1650)</f>
        <v>25354083.299999971</v>
      </c>
      <c r="N1650" s="2">
        <f>SUM($D$2:$D1650)</f>
        <v>14470.749999999985</v>
      </c>
      <c r="O1650" s="2">
        <f t="shared" si="59"/>
        <v>0.86236128144892987</v>
      </c>
      <c r="P1650" s="2" cm="1">
        <f t="array" ref="P1650">SUMPRODUCT((O1650&gt;$T$9:$T$14)*(O1650&lt;=$U$9:$U$14),$S$9:$S$14)</f>
        <v>5</v>
      </c>
    </row>
    <row r="1651" spans="1:16" x14ac:dyDescent="0.25">
      <c r="A1651">
        <v>1753</v>
      </c>
      <c r="B1651">
        <v>1753</v>
      </c>
      <c r="C1651">
        <v>0</v>
      </c>
      <c r="D1651">
        <v>0.64</v>
      </c>
      <c r="E1651">
        <v>73840</v>
      </c>
      <c r="F1651">
        <v>0</v>
      </c>
      <c r="G1651">
        <v>73840000</v>
      </c>
      <c r="H1651">
        <v>7090</v>
      </c>
      <c r="I1651">
        <v>20</v>
      </c>
      <c r="J1651" s="2">
        <f t="shared" si="58"/>
        <v>12.8</v>
      </c>
      <c r="K1651">
        <v>1650</v>
      </c>
      <c r="L1651" s="3">
        <f>SUM($I$2:$I1651)</f>
        <v>6345240</v>
      </c>
      <c r="M1651" s="3">
        <f>SUM($J$2:$J1651)</f>
        <v>25354096.099999972</v>
      </c>
      <c r="N1651" s="2">
        <f>SUM($D$2:$D1651)</f>
        <v>14471.389999999985</v>
      </c>
      <c r="O1651" s="2">
        <f t="shared" si="59"/>
        <v>0.8623994212288395</v>
      </c>
      <c r="P1651" s="2" cm="1">
        <f t="array" ref="P1651">SUMPRODUCT((O1651&gt;$T$9:$T$14)*(O1651&lt;=$U$9:$U$14),$S$9:$S$14)</f>
        <v>5</v>
      </c>
    </row>
    <row r="1652" spans="1:16" x14ac:dyDescent="0.25">
      <c r="A1652">
        <v>1791</v>
      </c>
      <c r="B1652">
        <v>1791</v>
      </c>
      <c r="C1652">
        <v>0</v>
      </c>
      <c r="D1652">
        <v>0.31</v>
      </c>
      <c r="E1652">
        <v>85550</v>
      </c>
      <c r="F1652">
        <v>0</v>
      </c>
      <c r="G1652">
        <v>85550000</v>
      </c>
      <c r="H1652">
        <v>7291</v>
      </c>
      <c r="I1652">
        <v>20</v>
      </c>
      <c r="J1652" s="2">
        <f t="shared" si="58"/>
        <v>6.2</v>
      </c>
      <c r="K1652">
        <v>1651</v>
      </c>
      <c r="L1652" s="3">
        <f>SUM($I$2:$I1652)</f>
        <v>6345260</v>
      </c>
      <c r="M1652" s="3">
        <f>SUM($J$2:$J1652)</f>
        <v>25354102.299999971</v>
      </c>
      <c r="N1652" s="2">
        <f>SUM($D$2:$D1652)</f>
        <v>14471.699999999984</v>
      </c>
      <c r="O1652" s="2">
        <f t="shared" si="59"/>
        <v>0.86241789518473322</v>
      </c>
      <c r="P1652" s="2" cm="1">
        <f t="array" ref="P1652">SUMPRODUCT((O1652&gt;$T$9:$T$14)*(O1652&lt;=$U$9:$U$14),$S$9:$S$14)</f>
        <v>5</v>
      </c>
    </row>
    <row r="1653" spans="1:16" x14ac:dyDescent="0.25">
      <c r="A1653">
        <v>308</v>
      </c>
      <c r="B1653">
        <v>1103</v>
      </c>
      <c r="C1653">
        <v>1943</v>
      </c>
      <c r="D1653">
        <v>61.42</v>
      </c>
      <c r="E1653">
        <v>73380</v>
      </c>
      <c r="F1653">
        <v>0</v>
      </c>
      <c r="G1653">
        <v>73380000</v>
      </c>
      <c r="H1653">
        <v>811</v>
      </c>
      <c r="I1653">
        <v>10</v>
      </c>
      <c r="J1653" s="2">
        <f t="shared" si="58"/>
        <v>614.20000000000005</v>
      </c>
      <c r="K1653">
        <v>1652</v>
      </c>
      <c r="L1653" s="3">
        <f>SUM($I$2:$I1653)</f>
        <v>6345270</v>
      </c>
      <c r="M1653" s="3">
        <f>SUM($J$2:$J1653)</f>
        <v>25354716.49999997</v>
      </c>
      <c r="N1653" s="2">
        <f>SUM($D$2:$D1653)</f>
        <v>14533.119999999984</v>
      </c>
      <c r="O1653" s="2">
        <f t="shared" si="59"/>
        <v>0.86607812218793578</v>
      </c>
      <c r="P1653" s="2" cm="1">
        <f t="array" ref="P1653">SUMPRODUCT((O1653&gt;$T$9:$T$14)*(O1653&lt;=$U$9:$U$14),$S$9:$S$14)</f>
        <v>5</v>
      </c>
    </row>
    <row r="1654" spans="1:16" x14ac:dyDescent="0.25">
      <c r="A1654">
        <v>340</v>
      </c>
      <c r="B1654">
        <v>1135</v>
      </c>
      <c r="C1654">
        <v>1979</v>
      </c>
      <c r="D1654">
        <v>58.08</v>
      </c>
      <c r="E1654">
        <v>70830</v>
      </c>
      <c r="F1654">
        <v>0</v>
      </c>
      <c r="G1654">
        <v>70830000</v>
      </c>
      <c r="H1654">
        <v>652</v>
      </c>
      <c r="I1654">
        <v>10</v>
      </c>
      <c r="J1654" s="2">
        <f t="shared" si="58"/>
        <v>580.79999999999995</v>
      </c>
      <c r="K1654">
        <v>1653</v>
      </c>
      <c r="L1654" s="3">
        <f>SUM($I$2:$I1654)</f>
        <v>6345280</v>
      </c>
      <c r="M1654" s="3">
        <f>SUM($J$2:$J1654)</f>
        <v>25355297.299999971</v>
      </c>
      <c r="N1654" s="2">
        <f>SUM($D$2:$D1654)</f>
        <v>14591.199999999984</v>
      </c>
      <c r="O1654" s="2">
        <f t="shared" si="59"/>
        <v>0.86953930721473494</v>
      </c>
      <c r="P1654" s="2" cm="1">
        <f t="array" ref="P1654">SUMPRODUCT((O1654&gt;$T$9:$T$14)*(O1654&lt;=$U$9:$U$14),$S$9:$S$14)</f>
        <v>5</v>
      </c>
    </row>
    <row r="1655" spans="1:16" x14ac:dyDescent="0.25">
      <c r="A1655">
        <v>175</v>
      </c>
      <c r="B1655">
        <v>971</v>
      </c>
      <c r="C1655">
        <v>1754</v>
      </c>
      <c r="D1655">
        <v>49.45</v>
      </c>
      <c r="E1655">
        <v>58135</v>
      </c>
      <c r="F1655">
        <v>0</v>
      </c>
      <c r="G1655">
        <v>58135000</v>
      </c>
      <c r="H1655">
        <v>556</v>
      </c>
      <c r="I1655">
        <v>10</v>
      </c>
      <c r="J1655" s="2">
        <f t="shared" si="58"/>
        <v>494.5</v>
      </c>
      <c r="K1655">
        <v>1654</v>
      </c>
      <c r="L1655" s="3">
        <f>SUM($I$2:$I1655)</f>
        <v>6345290</v>
      </c>
      <c r="M1655" s="3">
        <f>SUM($J$2:$J1655)</f>
        <v>25355791.799999971</v>
      </c>
      <c r="N1655" s="2">
        <f>SUM($D$2:$D1655)</f>
        <v>14640.649999999985</v>
      </c>
      <c r="O1655" s="2">
        <f t="shared" si="59"/>
        <v>0.87248620114681519</v>
      </c>
      <c r="P1655" s="2" cm="1">
        <f t="array" ref="P1655">SUMPRODUCT((O1655&gt;$T$9:$T$14)*(O1655&lt;=$U$9:$U$14),$S$9:$S$14)</f>
        <v>5</v>
      </c>
    </row>
    <row r="1656" spans="1:16" x14ac:dyDescent="0.25">
      <c r="A1656">
        <v>230</v>
      </c>
      <c r="B1656">
        <v>1025</v>
      </c>
      <c r="C1656">
        <v>1839</v>
      </c>
      <c r="D1656">
        <v>48.13</v>
      </c>
      <c r="E1656">
        <v>62700</v>
      </c>
      <c r="F1656">
        <v>0</v>
      </c>
      <c r="G1656">
        <v>62700000</v>
      </c>
      <c r="H1656">
        <v>593</v>
      </c>
      <c r="I1656">
        <v>10</v>
      </c>
      <c r="J1656" s="2">
        <f t="shared" si="58"/>
        <v>481.3</v>
      </c>
      <c r="K1656">
        <v>1655</v>
      </c>
      <c r="L1656" s="3">
        <f>SUM($I$2:$I1656)</f>
        <v>6345300</v>
      </c>
      <c r="M1656" s="3">
        <f>SUM($J$2:$J1656)</f>
        <v>25356273.099999972</v>
      </c>
      <c r="N1656" s="2">
        <f>SUM($D$2:$D1656)</f>
        <v>14688.779999999984</v>
      </c>
      <c r="O1656" s="2">
        <f t="shared" si="59"/>
        <v>0.87535443178283168</v>
      </c>
      <c r="P1656" s="2" cm="1">
        <f t="array" ref="P1656">SUMPRODUCT((O1656&gt;$T$9:$T$14)*(O1656&lt;=$U$9:$U$14),$S$9:$S$14)</f>
        <v>5</v>
      </c>
    </row>
    <row r="1657" spans="1:16" x14ac:dyDescent="0.25">
      <c r="A1657">
        <v>309</v>
      </c>
      <c r="B1657">
        <v>1104</v>
      </c>
      <c r="C1657">
        <v>1944</v>
      </c>
      <c r="D1657">
        <v>42.25</v>
      </c>
      <c r="E1657">
        <v>73340</v>
      </c>
      <c r="F1657">
        <v>0</v>
      </c>
      <c r="G1657">
        <v>73340000</v>
      </c>
      <c r="H1657">
        <v>810</v>
      </c>
      <c r="I1657">
        <v>10</v>
      </c>
      <c r="J1657" s="2">
        <f t="shared" si="58"/>
        <v>422.5</v>
      </c>
      <c r="K1657">
        <v>1656</v>
      </c>
      <c r="L1657" s="3">
        <f>SUM($I$2:$I1657)</f>
        <v>6345310</v>
      </c>
      <c r="M1657" s="3">
        <f>SUM($J$2:$J1657)</f>
        <v>25356695.599999972</v>
      </c>
      <c r="N1657" s="2">
        <f>SUM($D$2:$D1657)</f>
        <v>14731.029999999984</v>
      </c>
      <c r="O1657" s="2">
        <f t="shared" si="59"/>
        <v>0.87787225319092854</v>
      </c>
      <c r="P1657" s="2" cm="1">
        <f t="array" ref="P1657">SUMPRODUCT((O1657&gt;$T$9:$T$14)*(O1657&lt;=$U$9:$U$14),$S$9:$S$14)</f>
        <v>5</v>
      </c>
    </row>
    <row r="1658" spans="1:16" x14ac:dyDescent="0.25">
      <c r="A1658">
        <v>341</v>
      </c>
      <c r="B1658">
        <v>1136</v>
      </c>
      <c r="C1658">
        <v>1980</v>
      </c>
      <c r="D1658">
        <v>41.43</v>
      </c>
      <c r="E1658">
        <v>70811</v>
      </c>
      <c r="F1658">
        <v>20.9</v>
      </c>
      <c r="G1658">
        <v>70811209</v>
      </c>
      <c r="H1658">
        <v>652</v>
      </c>
      <c r="I1658">
        <v>10</v>
      </c>
      <c r="J1658" s="2">
        <f t="shared" si="58"/>
        <v>414.3</v>
      </c>
      <c r="K1658">
        <v>1657</v>
      </c>
      <c r="L1658" s="3">
        <f>SUM($I$2:$I1658)</f>
        <v>6345320</v>
      </c>
      <c r="M1658" s="3">
        <f>SUM($J$2:$J1658)</f>
        <v>25357109.899999972</v>
      </c>
      <c r="N1658" s="2">
        <f>SUM($D$2:$D1658)</f>
        <v>14772.459999999985</v>
      </c>
      <c r="O1658" s="2">
        <f t="shared" si="59"/>
        <v>0.88034120800601612</v>
      </c>
      <c r="P1658" s="2" cm="1">
        <f t="array" ref="P1658">SUMPRODUCT((O1658&gt;$T$9:$T$14)*(O1658&lt;=$U$9:$U$14),$S$9:$S$14)</f>
        <v>5</v>
      </c>
    </row>
    <row r="1659" spans="1:16" x14ac:dyDescent="0.25">
      <c r="A1659">
        <v>318</v>
      </c>
      <c r="B1659">
        <v>1113</v>
      </c>
      <c r="C1659">
        <v>1955</v>
      </c>
      <c r="D1659">
        <v>32.33</v>
      </c>
      <c r="E1659">
        <v>72160</v>
      </c>
      <c r="F1659">
        <v>0</v>
      </c>
      <c r="G1659">
        <v>72160000</v>
      </c>
      <c r="H1659">
        <v>671</v>
      </c>
      <c r="I1659">
        <v>10</v>
      </c>
      <c r="J1659" s="2">
        <f t="shared" si="58"/>
        <v>323.29999999999995</v>
      </c>
      <c r="K1659">
        <v>1658</v>
      </c>
      <c r="L1659" s="3">
        <f>SUM($I$2:$I1659)</f>
        <v>6345330</v>
      </c>
      <c r="M1659" s="3">
        <f>SUM($J$2:$J1659)</f>
        <v>25357433.199999973</v>
      </c>
      <c r="N1659" s="2">
        <f>SUM($D$2:$D1659)</f>
        <v>14804.789999999985</v>
      </c>
      <c r="O1659" s="2">
        <f t="shared" si="59"/>
        <v>0.88226786282551373</v>
      </c>
      <c r="P1659" s="2" cm="1">
        <f t="array" ref="P1659">SUMPRODUCT((O1659&gt;$T$9:$T$14)*(O1659&lt;=$U$9:$U$14),$S$9:$S$14)</f>
        <v>5</v>
      </c>
    </row>
    <row r="1660" spans="1:16" x14ac:dyDescent="0.25">
      <c r="A1660">
        <v>284</v>
      </c>
      <c r="B1660">
        <v>1079</v>
      </c>
      <c r="C1660">
        <v>1909</v>
      </c>
      <c r="D1660">
        <v>30.05</v>
      </c>
      <c r="E1660">
        <v>67301</v>
      </c>
      <c r="F1660">
        <v>0</v>
      </c>
      <c r="G1660">
        <v>67301000</v>
      </c>
      <c r="H1660">
        <v>625</v>
      </c>
      <c r="I1660">
        <v>10</v>
      </c>
      <c r="J1660" s="2">
        <f t="shared" si="58"/>
        <v>300.5</v>
      </c>
      <c r="K1660">
        <v>1659</v>
      </c>
      <c r="L1660" s="3">
        <f>SUM($I$2:$I1660)</f>
        <v>6345340</v>
      </c>
      <c r="M1660" s="3">
        <f>SUM($J$2:$J1660)</f>
        <v>25357733.699999973</v>
      </c>
      <c r="N1660" s="2">
        <f>SUM($D$2:$D1660)</f>
        <v>14834.839999999984</v>
      </c>
      <c r="O1660" s="2">
        <f t="shared" si="59"/>
        <v>0.88405864467908313</v>
      </c>
      <c r="P1660" s="2" cm="1">
        <f t="array" ref="P1660">SUMPRODUCT((O1660&gt;$T$9:$T$14)*(O1660&lt;=$U$9:$U$14),$S$9:$S$14)</f>
        <v>5</v>
      </c>
    </row>
    <row r="1661" spans="1:16" x14ac:dyDescent="0.25">
      <c r="A1661">
        <v>213</v>
      </c>
      <c r="B1661">
        <v>1008</v>
      </c>
      <c r="C1661">
        <v>1810</v>
      </c>
      <c r="D1661">
        <v>29.7</v>
      </c>
      <c r="E1661">
        <v>64130</v>
      </c>
      <c r="F1661">
        <v>0</v>
      </c>
      <c r="G1661">
        <v>64130000</v>
      </c>
      <c r="H1661">
        <v>600</v>
      </c>
      <c r="I1661">
        <v>10</v>
      </c>
      <c r="J1661" s="2">
        <f t="shared" si="58"/>
        <v>297</v>
      </c>
      <c r="K1661">
        <v>1660</v>
      </c>
      <c r="L1661" s="3">
        <f>SUM($I$2:$I1661)</f>
        <v>6345350</v>
      </c>
      <c r="M1661" s="3">
        <f>SUM($J$2:$J1661)</f>
        <v>25358030.699999973</v>
      </c>
      <c r="N1661" s="2">
        <f>SUM($D$2:$D1661)</f>
        <v>14864.539999999985</v>
      </c>
      <c r="O1661" s="2">
        <f t="shared" si="59"/>
        <v>0.88582856884051453</v>
      </c>
      <c r="P1661" s="2" cm="1">
        <f t="array" ref="P1661">SUMPRODUCT((O1661&gt;$T$9:$T$14)*(O1661&lt;=$U$9:$U$14),$S$9:$S$14)</f>
        <v>5</v>
      </c>
    </row>
    <row r="1662" spans="1:16" x14ac:dyDescent="0.25">
      <c r="A1662">
        <v>189</v>
      </c>
      <c r="B1662">
        <v>984</v>
      </c>
      <c r="C1662">
        <v>1773</v>
      </c>
      <c r="D1662">
        <v>24.08</v>
      </c>
      <c r="E1662">
        <v>57130</v>
      </c>
      <c r="F1662">
        <v>0.5</v>
      </c>
      <c r="G1662">
        <v>57130005</v>
      </c>
      <c r="H1662">
        <v>548</v>
      </c>
      <c r="I1662">
        <v>10</v>
      </c>
      <c r="J1662" s="2">
        <f t="shared" si="58"/>
        <v>240.79999999999998</v>
      </c>
      <c r="K1662">
        <v>1661</v>
      </c>
      <c r="L1662" s="3">
        <f>SUM($I$2:$I1662)</f>
        <v>6345360</v>
      </c>
      <c r="M1662" s="3">
        <f>SUM($J$2:$J1662)</f>
        <v>25358271.499999974</v>
      </c>
      <c r="N1662" s="2">
        <f>SUM($D$2:$D1662)</f>
        <v>14888.619999999984</v>
      </c>
      <c r="O1662" s="2">
        <f t="shared" si="59"/>
        <v>0.88726357805961442</v>
      </c>
      <c r="P1662" s="2" cm="1">
        <f t="array" ref="P1662">SUMPRODUCT((O1662&gt;$T$9:$T$14)*(O1662&lt;=$U$9:$U$14),$S$9:$S$14)</f>
        <v>5</v>
      </c>
    </row>
    <row r="1663" spans="1:16" x14ac:dyDescent="0.25">
      <c r="A1663">
        <v>311</v>
      </c>
      <c r="B1663">
        <v>1106</v>
      </c>
      <c r="C1663">
        <v>1946</v>
      </c>
      <c r="D1663">
        <v>21.52</v>
      </c>
      <c r="E1663">
        <v>72700</v>
      </c>
      <c r="F1663">
        <v>0</v>
      </c>
      <c r="G1663">
        <v>72700000</v>
      </c>
      <c r="H1663">
        <v>804</v>
      </c>
      <c r="I1663">
        <v>10</v>
      </c>
      <c r="J1663" s="2">
        <f t="shared" si="58"/>
        <v>215.2</v>
      </c>
      <c r="K1663">
        <v>1662</v>
      </c>
      <c r="L1663" s="3">
        <f>SUM($I$2:$I1663)</f>
        <v>6345370</v>
      </c>
      <c r="M1663" s="3">
        <f>SUM($J$2:$J1663)</f>
        <v>25358486.699999973</v>
      </c>
      <c r="N1663" s="2">
        <f>SUM($D$2:$D1663)</f>
        <v>14910.139999999985</v>
      </c>
      <c r="O1663" s="2">
        <f t="shared" si="59"/>
        <v>0.88854602815907591</v>
      </c>
      <c r="P1663" s="2" cm="1">
        <f t="array" ref="P1663">SUMPRODUCT((O1663&gt;$T$9:$T$14)*(O1663&lt;=$U$9:$U$14),$S$9:$S$14)</f>
        <v>5</v>
      </c>
    </row>
    <row r="1664" spans="1:16" x14ac:dyDescent="0.25">
      <c r="A1664">
        <v>148</v>
      </c>
      <c r="B1664">
        <v>944</v>
      </c>
      <c r="C1664">
        <v>1717</v>
      </c>
      <c r="D1664">
        <v>19.59</v>
      </c>
      <c r="E1664">
        <v>60100</v>
      </c>
      <c r="F1664">
        <v>0</v>
      </c>
      <c r="G1664">
        <v>60100000</v>
      </c>
      <c r="H1664">
        <v>573</v>
      </c>
      <c r="I1664">
        <v>10</v>
      </c>
      <c r="J1664" s="2">
        <f t="shared" si="58"/>
        <v>195.9</v>
      </c>
      <c r="K1664">
        <v>1663</v>
      </c>
      <c r="L1664" s="3">
        <f>SUM($I$2:$I1664)</f>
        <v>6345380</v>
      </c>
      <c r="M1664" s="3">
        <f>SUM($J$2:$J1664)</f>
        <v>25358682.599999972</v>
      </c>
      <c r="N1664" s="2">
        <f>SUM($D$2:$D1664)</f>
        <v>14929.729999999985</v>
      </c>
      <c r="O1664" s="2">
        <f t="shared" si="59"/>
        <v>0.88971346298474729</v>
      </c>
      <c r="P1664" s="2" cm="1">
        <f t="array" ref="P1664">SUMPRODUCT((O1664&gt;$T$9:$T$14)*(O1664&lt;=$U$9:$U$14),$S$9:$S$14)</f>
        <v>5</v>
      </c>
    </row>
    <row r="1665" spans="1:16" x14ac:dyDescent="0.25">
      <c r="A1665">
        <v>1720</v>
      </c>
      <c r="B1665">
        <v>1720</v>
      </c>
      <c r="C1665">
        <v>2226</v>
      </c>
      <c r="D1665">
        <v>16.920000000000002</v>
      </c>
      <c r="E1665">
        <v>54410</v>
      </c>
      <c r="F1665">
        <v>0</v>
      </c>
      <c r="G1665">
        <v>54410000</v>
      </c>
      <c r="H1665">
        <v>529</v>
      </c>
      <c r="I1665">
        <v>10</v>
      </c>
      <c r="J1665" s="2">
        <f t="shared" si="58"/>
        <v>169.20000000000002</v>
      </c>
      <c r="K1665">
        <v>1664</v>
      </c>
      <c r="L1665" s="3">
        <f>SUM($I$2:$I1665)</f>
        <v>6345390</v>
      </c>
      <c r="M1665" s="3">
        <f>SUM($J$2:$J1665)</f>
        <v>25358851.799999971</v>
      </c>
      <c r="N1665" s="2">
        <f>SUM($D$2:$D1665)</f>
        <v>14946.649999999985</v>
      </c>
      <c r="O1665" s="2">
        <f t="shared" si="59"/>
        <v>0.89072178341610819</v>
      </c>
      <c r="P1665" s="2" cm="1">
        <f t="array" ref="P1665">SUMPRODUCT((O1665&gt;$T$9:$T$14)*(O1665&lt;=$U$9:$U$14),$S$9:$S$14)</f>
        <v>5</v>
      </c>
    </row>
    <row r="1666" spans="1:16" x14ac:dyDescent="0.25">
      <c r="A1666">
        <v>212</v>
      </c>
      <c r="B1666">
        <v>1007</v>
      </c>
      <c r="C1666">
        <v>1808</v>
      </c>
      <c r="D1666">
        <v>15.31</v>
      </c>
      <c r="E1666">
        <v>64150</v>
      </c>
      <c r="F1666">
        <v>0</v>
      </c>
      <c r="G1666">
        <v>64150000</v>
      </c>
      <c r="H1666">
        <v>600</v>
      </c>
      <c r="I1666">
        <v>10</v>
      </c>
      <c r="J1666" s="2">
        <f t="shared" ref="J1666:J1729" si="60">I1666*D1666</f>
        <v>153.1</v>
      </c>
      <c r="K1666">
        <v>1665</v>
      </c>
      <c r="L1666" s="3">
        <f>SUM($I$2:$I1666)</f>
        <v>6345400</v>
      </c>
      <c r="M1666" s="3">
        <f>SUM($J$2:$J1666)</f>
        <v>25359004.899999972</v>
      </c>
      <c r="N1666" s="2">
        <f>SUM($D$2:$D1666)</f>
        <v>14961.959999999985</v>
      </c>
      <c r="O1666" s="2">
        <f t="shared" ref="O1666:O1729" si="61">N1666/$T$4</f>
        <v>0.89163415846363392</v>
      </c>
      <c r="P1666" s="2" cm="1">
        <f t="array" ref="P1666">SUMPRODUCT((O1666&gt;$T$9:$T$14)*(O1666&lt;=$U$9:$U$14),$S$9:$S$14)</f>
        <v>5</v>
      </c>
    </row>
    <row r="1667" spans="1:16" x14ac:dyDescent="0.25">
      <c r="A1667">
        <v>133</v>
      </c>
      <c r="B1667">
        <v>929</v>
      </c>
      <c r="C1667">
        <v>1691</v>
      </c>
      <c r="D1667">
        <v>14.88</v>
      </c>
      <c r="E1667">
        <v>53050</v>
      </c>
      <c r="F1667">
        <v>5.0999999999999996</v>
      </c>
      <c r="G1667">
        <v>53050051</v>
      </c>
      <c r="H1667">
        <v>518</v>
      </c>
      <c r="I1667">
        <v>10</v>
      </c>
      <c r="J1667" s="2">
        <f t="shared" si="60"/>
        <v>148.80000000000001</v>
      </c>
      <c r="K1667">
        <v>1666</v>
      </c>
      <c r="L1667" s="3">
        <f>SUM($I$2:$I1667)</f>
        <v>6345410</v>
      </c>
      <c r="M1667" s="3">
        <f>SUM($J$2:$J1667)</f>
        <v>25359153.699999973</v>
      </c>
      <c r="N1667" s="2">
        <f>SUM($D$2:$D1667)</f>
        <v>14976.839999999984</v>
      </c>
      <c r="O1667" s="2">
        <f t="shared" si="61"/>
        <v>0.89252090834653286</v>
      </c>
      <c r="P1667" s="2" cm="1">
        <f t="array" ref="P1667">SUMPRODUCT((O1667&gt;$T$9:$T$14)*(O1667&lt;=$U$9:$U$14),$S$9:$S$14)</f>
        <v>5</v>
      </c>
    </row>
    <row r="1668" spans="1:16" x14ac:dyDescent="0.25">
      <c r="A1668">
        <v>198</v>
      </c>
      <c r="B1668">
        <v>993</v>
      </c>
      <c r="C1668">
        <v>1788</v>
      </c>
      <c r="D1668">
        <v>12.93</v>
      </c>
      <c r="E1668">
        <v>65520</v>
      </c>
      <c r="F1668">
        <v>0</v>
      </c>
      <c r="G1668">
        <v>65520000</v>
      </c>
      <c r="H1668">
        <v>611</v>
      </c>
      <c r="I1668">
        <v>10</v>
      </c>
      <c r="J1668" s="2">
        <f t="shared" si="60"/>
        <v>129.30000000000001</v>
      </c>
      <c r="K1668">
        <v>1667</v>
      </c>
      <c r="L1668" s="3">
        <f>SUM($I$2:$I1668)</f>
        <v>6345420</v>
      </c>
      <c r="M1668" s="3">
        <f>SUM($J$2:$J1668)</f>
        <v>25359282.999999974</v>
      </c>
      <c r="N1668" s="2">
        <f>SUM($D$2:$D1668)</f>
        <v>14989.769999999984</v>
      </c>
      <c r="O1668" s="2">
        <f t="shared" si="61"/>
        <v>0.89329145108751962</v>
      </c>
      <c r="P1668" s="2" cm="1">
        <f t="array" ref="P1668">SUMPRODUCT((O1668&gt;$T$9:$T$14)*(O1668&lt;=$U$9:$U$14),$S$9:$S$14)</f>
        <v>5</v>
      </c>
    </row>
    <row r="1669" spans="1:16" x14ac:dyDescent="0.25">
      <c r="A1669">
        <v>206</v>
      </c>
      <c r="B1669">
        <v>1001</v>
      </c>
      <c r="C1669">
        <v>1797</v>
      </c>
      <c r="D1669">
        <v>12.6</v>
      </c>
      <c r="E1669">
        <v>64800</v>
      </c>
      <c r="F1669">
        <v>0</v>
      </c>
      <c r="G1669">
        <v>64800000</v>
      </c>
      <c r="H1669">
        <v>605</v>
      </c>
      <c r="I1669">
        <v>10</v>
      </c>
      <c r="J1669" s="2">
        <f t="shared" si="60"/>
        <v>126</v>
      </c>
      <c r="K1669">
        <v>1668</v>
      </c>
      <c r="L1669" s="3">
        <f>SUM($I$2:$I1669)</f>
        <v>6345430</v>
      </c>
      <c r="M1669" s="3">
        <f>SUM($J$2:$J1669)</f>
        <v>25359408.999999974</v>
      </c>
      <c r="N1669" s="2">
        <f>SUM($D$2:$D1669)</f>
        <v>15002.369999999984</v>
      </c>
      <c r="O1669" s="2">
        <f t="shared" si="61"/>
        <v>0.89404232800449057</v>
      </c>
      <c r="P1669" s="2" cm="1">
        <f t="array" ref="P1669">SUMPRODUCT((O1669&gt;$T$9:$T$14)*(O1669&lt;=$U$9:$U$14),$S$9:$S$14)</f>
        <v>5</v>
      </c>
    </row>
    <row r="1670" spans="1:16" x14ac:dyDescent="0.25">
      <c r="A1670">
        <v>196</v>
      </c>
      <c r="B1670">
        <v>991</v>
      </c>
      <c r="C1670">
        <v>1786</v>
      </c>
      <c r="D1670">
        <v>11.24</v>
      </c>
      <c r="E1670">
        <v>65700</v>
      </c>
      <c r="F1670">
        <v>0</v>
      </c>
      <c r="G1670">
        <v>65700000</v>
      </c>
      <c r="H1670">
        <v>613</v>
      </c>
      <c r="I1670">
        <v>10</v>
      </c>
      <c r="J1670" s="2">
        <f t="shared" si="60"/>
        <v>112.4</v>
      </c>
      <c r="K1670">
        <v>1669</v>
      </c>
      <c r="L1670" s="3">
        <f>SUM($I$2:$I1670)</f>
        <v>6345440</v>
      </c>
      <c r="M1670" s="3">
        <f>SUM($J$2:$J1670)</f>
        <v>25359521.399999972</v>
      </c>
      <c r="N1670" s="2">
        <f>SUM($D$2:$D1670)</f>
        <v>15013.609999999984</v>
      </c>
      <c r="O1670" s="2">
        <f t="shared" si="61"/>
        <v>0.89471215788915348</v>
      </c>
      <c r="P1670" s="2" cm="1">
        <f t="array" ref="P1670">SUMPRODUCT((O1670&gt;$T$9:$T$14)*(O1670&lt;=$U$9:$U$14),$S$9:$S$14)</f>
        <v>5</v>
      </c>
    </row>
    <row r="1671" spans="1:16" x14ac:dyDescent="0.25">
      <c r="A1671">
        <v>147</v>
      </c>
      <c r="B1671">
        <v>943</v>
      </c>
      <c r="C1671">
        <v>1716</v>
      </c>
      <c r="D1671">
        <v>11.08</v>
      </c>
      <c r="E1671">
        <v>60200</v>
      </c>
      <c r="F1671">
        <v>0</v>
      </c>
      <c r="G1671">
        <v>60200000</v>
      </c>
      <c r="H1671">
        <v>574</v>
      </c>
      <c r="I1671">
        <v>10</v>
      </c>
      <c r="J1671" s="2">
        <f t="shared" si="60"/>
        <v>110.8</v>
      </c>
      <c r="K1671">
        <v>1670</v>
      </c>
      <c r="L1671" s="3">
        <f>SUM($I$2:$I1671)</f>
        <v>6345450</v>
      </c>
      <c r="M1671" s="3">
        <f>SUM($J$2:$J1671)</f>
        <v>25359632.199999973</v>
      </c>
      <c r="N1671" s="2">
        <f>SUM($D$2:$D1671)</f>
        <v>15024.689999999984</v>
      </c>
      <c r="O1671" s="2">
        <f t="shared" si="61"/>
        <v>0.89537245282883893</v>
      </c>
      <c r="P1671" s="2" cm="1">
        <f t="array" ref="P1671">SUMPRODUCT((O1671&gt;$T$9:$T$14)*(O1671&lt;=$U$9:$U$14),$S$9:$S$14)</f>
        <v>5</v>
      </c>
    </row>
    <row r="1672" spans="1:16" x14ac:dyDescent="0.25">
      <c r="A1672">
        <v>165</v>
      </c>
      <c r="B1672">
        <v>961</v>
      </c>
      <c r="C1672">
        <v>1736</v>
      </c>
      <c r="D1672">
        <v>9.66</v>
      </c>
      <c r="E1672">
        <v>58800</v>
      </c>
      <c r="F1672">
        <v>0</v>
      </c>
      <c r="G1672">
        <v>58800000</v>
      </c>
      <c r="H1672" t="s">
        <v>11</v>
      </c>
      <c r="I1672">
        <v>10</v>
      </c>
      <c r="J1672" s="2">
        <f t="shared" si="60"/>
        <v>96.6</v>
      </c>
      <c r="K1672">
        <v>1671</v>
      </c>
      <c r="L1672" s="3">
        <f>SUM($I$2:$I1672)</f>
        <v>6345460</v>
      </c>
      <c r="M1672" s="3">
        <f>SUM($J$2:$J1672)</f>
        <v>25359728.799999975</v>
      </c>
      <c r="N1672" s="2">
        <f>SUM($D$2:$D1672)</f>
        <v>15034.349999999984</v>
      </c>
      <c r="O1672" s="2">
        <f t="shared" si="61"/>
        <v>0.89594812513184996</v>
      </c>
      <c r="P1672" s="2" cm="1">
        <f t="array" ref="P1672">SUMPRODUCT((O1672&gt;$T$9:$T$14)*(O1672&lt;=$U$9:$U$14),$S$9:$S$14)</f>
        <v>5</v>
      </c>
    </row>
    <row r="1673" spans="1:16" x14ac:dyDescent="0.25">
      <c r="A1673">
        <v>320</v>
      </c>
      <c r="B1673">
        <v>1115</v>
      </c>
      <c r="C1673">
        <v>1957</v>
      </c>
      <c r="D1673">
        <v>9.4600000000000009</v>
      </c>
      <c r="E1673">
        <v>72141</v>
      </c>
      <c r="F1673">
        <v>0</v>
      </c>
      <c r="G1673">
        <v>72141000</v>
      </c>
      <c r="H1673">
        <v>670</v>
      </c>
      <c r="I1673">
        <v>10</v>
      </c>
      <c r="J1673" s="2">
        <f t="shared" si="60"/>
        <v>94.600000000000009</v>
      </c>
      <c r="K1673">
        <v>1672</v>
      </c>
      <c r="L1673" s="3">
        <f>SUM($I$2:$I1673)</f>
        <v>6345470</v>
      </c>
      <c r="M1673" s="3">
        <f>SUM($J$2:$J1673)</f>
        <v>25359823.399999976</v>
      </c>
      <c r="N1673" s="2">
        <f>SUM($D$2:$D1673)</f>
        <v>15043.809999999983</v>
      </c>
      <c r="O1673" s="2">
        <f t="shared" si="61"/>
        <v>0.89651187875363914</v>
      </c>
      <c r="P1673" s="2" cm="1">
        <f t="array" ref="P1673">SUMPRODUCT((O1673&gt;$T$9:$T$14)*(O1673&lt;=$U$9:$U$14),$S$9:$S$14)</f>
        <v>5</v>
      </c>
    </row>
    <row r="1674" spans="1:16" x14ac:dyDescent="0.25">
      <c r="A1674">
        <v>314</v>
      </c>
      <c r="B1674">
        <v>1109</v>
      </c>
      <c r="C1674">
        <v>1950</v>
      </c>
      <c r="D1674">
        <v>8.18</v>
      </c>
      <c r="E1674">
        <v>72230</v>
      </c>
      <c r="F1674">
        <v>0</v>
      </c>
      <c r="G1674">
        <v>72230000</v>
      </c>
      <c r="H1674">
        <v>673</v>
      </c>
      <c r="I1674">
        <v>10</v>
      </c>
      <c r="J1674" s="2">
        <f t="shared" si="60"/>
        <v>81.8</v>
      </c>
      <c r="K1674">
        <v>1673</v>
      </c>
      <c r="L1674" s="3">
        <f>SUM($I$2:$I1674)</f>
        <v>6345480</v>
      </c>
      <c r="M1674" s="3">
        <f>SUM($J$2:$J1674)</f>
        <v>25359905.199999977</v>
      </c>
      <c r="N1674" s="2">
        <f>SUM($D$2:$D1674)</f>
        <v>15051.989999999983</v>
      </c>
      <c r="O1674" s="2">
        <f t="shared" si="61"/>
        <v>0.89699935281560916</v>
      </c>
      <c r="P1674" s="2" cm="1">
        <f t="array" ref="P1674">SUMPRODUCT((O1674&gt;$T$9:$T$14)*(O1674&lt;=$U$9:$U$14),$S$9:$S$14)</f>
        <v>5</v>
      </c>
    </row>
    <row r="1675" spans="1:16" x14ac:dyDescent="0.25">
      <c r="A1675">
        <v>261</v>
      </c>
      <c r="B1675">
        <v>1056</v>
      </c>
      <c r="C1675">
        <v>1875</v>
      </c>
      <c r="D1675">
        <v>7.59</v>
      </c>
      <c r="E1675">
        <v>70500</v>
      </c>
      <c r="F1675">
        <v>0</v>
      </c>
      <c r="G1675">
        <v>70500000</v>
      </c>
      <c r="H1675">
        <v>650</v>
      </c>
      <c r="I1675">
        <v>10</v>
      </c>
      <c r="J1675" s="2">
        <f t="shared" si="60"/>
        <v>75.900000000000006</v>
      </c>
      <c r="K1675">
        <v>1674</v>
      </c>
      <c r="L1675" s="3">
        <f>SUM($I$2:$I1675)</f>
        <v>6345490</v>
      </c>
      <c r="M1675" s="3">
        <f>SUM($J$2:$J1675)</f>
        <v>25359981.099999975</v>
      </c>
      <c r="N1675" s="2">
        <f>SUM($D$2:$D1675)</f>
        <v>15059.579999999984</v>
      </c>
      <c r="O1675" s="2">
        <f t="shared" si="61"/>
        <v>0.89745166676797505</v>
      </c>
      <c r="P1675" s="2" cm="1">
        <f t="array" ref="P1675">SUMPRODUCT((O1675&gt;$T$9:$T$14)*(O1675&lt;=$U$9:$U$14),$S$9:$S$14)</f>
        <v>5</v>
      </c>
    </row>
    <row r="1676" spans="1:16" x14ac:dyDescent="0.25">
      <c r="A1676">
        <v>199</v>
      </c>
      <c r="B1676">
        <v>994</v>
      </c>
      <c r="C1676">
        <v>1790</v>
      </c>
      <c r="D1676">
        <v>7.48</v>
      </c>
      <c r="E1676">
        <v>65500</v>
      </c>
      <c r="F1676">
        <v>0</v>
      </c>
      <c r="G1676">
        <v>65500000</v>
      </c>
      <c r="H1676">
        <v>611</v>
      </c>
      <c r="I1676">
        <v>10</v>
      </c>
      <c r="J1676" s="2">
        <f t="shared" si="60"/>
        <v>74.800000000000011</v>
      </c>
      <c r="K1676">
        <v>1675</v>
      </c>
      <c r="L1676" s="3">
        <f>SUM($I$2:$I1676)</f>
        <v>6345500</v>
      </c>
      <c r="M1676" s="3">
        <f>SUM($J$2:$J1676)</f>
        <v>25360055.899999976</v>
      </c>
      <c r="N1676" s="2">
        <f>SUM($D$2:$D1676)</f>
        <v>15067.059999999983</v>
      </c>
      <c r="O1676" s="2">
        <f t="shared" si="61"/>
        <v>0.89789742544566886</v>
      </c>
      <c r="P1676" s="2" cm="1">
        <f t="array" ref="P1676">SUMPRODUCT((O1676&gt;$T$9:$T$14)*(O1676&lt;=$U$9:$U$14),$S$9:$S$14)</f>
        <v>5</v>
      </c>
    </row>
    <row r="1677" spans="1:16" x14ac:dyDescent="0.25">
      <c r="A1677">
        <v>161</v>
      </c>
      <c r="B1677">
        <v>957</v>
      </c>
      <c r="C1677">
        <v>1732</v>
      </c>
      <c r="D1677">
        <v>7.29</v>
      </c>
      <c r="E1677">
        <v>59100</v>
      </c>
      <c r="F1677">
        <v>0</v>
      </c>
      <c r="G1677">
        <v>59100000</v>
      </c>
      <c r="H1677">
        <v>564</v>
      </c>
      <c r="I1677">
        <v>10</v>
      </c>
      <c r="J1677" s="2">
        <f t="shared" si="60"/>
        <v>72.900000000000006</v>
      </c>
      <c r="K1677">
        <v>1676</v>
      </c>
      <c r="L1677" s="3">
        <f>SUM($I$2:$I1677)</f>
        <v>6345510</v>
      </c>
      <c r="M1677" s="3">
        <f>SUM($J$2:$J1677)</f>
        <v>25360128.799999975</v>
      </c>
      <c r="N1677" s="2">
        <f>SUM($D$2:$D1677)</f>
        <v>15074.349999999984</v>
      </c>
      <c r="O1677" s="2">
        <f t="shared" si="61"/>
        <v>0.89833186137620202</v>
      </c>
      <c r="P1677" s="2" cm="1">
        <f t="array" ref="P1677">SUMPRODUCT((O1677&gt;$T$9:$T$14)*(O1677&lt;=$U$9:$U$14),$S$9:$S$14)</f>
        <v>5</v>
      </c>
    </row>
    <row r="1678" spans="1:16" x14ac:dyDescent="0.25">
      <c r="A1678">
        <v>1721</v>
      </c>
      <c r="B1678">
        <v>1721</v>
      </c>
      <c r="C1678">
        <v>2227</v>
      </c>
      <c r="D1678">
        <v>6.61</v>
      </c>
      <c r="E1678">
        <v>54400</v>
      </c>
      <c r="F1678">
        <v>0</v>
      </c>
      <c r="G1678">
        <v>54400000</v>
      </c>
      <c r="H1678">
        <v>529</v>
      </c>
      <c r="I1678">
        <v>10</v>
      </c>
      <c r="J1678" s="2">
        <f t="shared" si="60"/>
        <v>66.100000000000009</v>
      </c>
      <c r="K1678">
        <v>1677</v>
      </c>
      <c r="L1678" s="3">
        <f>SUM($I$2:$I1678)</f>
        <v>6345520</v>
      </c>
      <c r="M1678" s="3">
        <f>SUM($J$2:$J1678)</f>
        <v>25360194.899999976</v>
      </c>
      <c r="N1678" s="2">
        <f>SUM($D$2:$D1678)</f>
        <v>15080.959999999985</v>
      </c>
      <c r="O1678" s="2">
        <f t="shared" si="61"/>
        <v>0.89872577379058127</v>
      </c>
      <c r="P1678" s="2" cm="1">
        <f t="array" ref="P1678">SUMPRODUCT((O1678&gt;$T$9:$T$14)*(O1678&lt;=$U$9:$U$14),$S$9:$S$14)</f>
        <v>5</v>
      </c>
    </row>
    <row r="1679" spans="1:16" x14ac:dyDescent="0.25">
      <c r="A1679">
        <v>193</v>
      </c>
      <c r="B1679">
        <v>988</v>
      </c>
      <c r="C1679">
        <v>1783</v>
      </c>
      <c r="D1679">
        <v>5.66</v>
      </c>
      <c r="E1679">
        <v>57000</v>
      </c>
      <c r="F1679">
        <v>0</v>
      </c>
      <c r="G1679">
        <v>57000000</v>
      </c>
      <c r="H1679">
        <v>547</v>
      </c>
      <c r="I1679">
        <v>10</v>
      </c>
      <c r="J1679" s="2">
        <f t="shared" si="60"/>
        <v>56.6</v>
      </c>
      <c r="K1679">
        <v>1678</v>
      </c>
      <c r="L1679" s="3">
        <f>SUM($I$2:$I1679)</f>
        <v>6345530</v>
      </c>
      <c r="M1679" s="3">
        <f>SUM($J$2:$J1679)</f>
        <v>25360251.499999978</v>
      </c>
      <c r="N1679" s="2">
        <f>SUM($D$2:$D1679)</f>
        <v>15086.619999999984</v>
      </c>
      <c r="O1679" s="2">
        <f t="shared" si="61"/>
        <v>0.89906307246915707</v>
      </c>
      <c r="P1679" s="2" cm="1">
        <f t="array" ref="P1679">SUMPRODUCT((O1679&gt;$T$9:$T$14)*(O1679&lt;=$U$9:$U$14),$S$9:$S$14)</f>
        <v>5</v>
      </c>
    </row>
    <row r="1680" spans="1:16" x14ac:dyDescent="0.25">
      <c r="A1680">
        <v>162</v>
      </c>
      <c r="B1680">
        <v>958</v>
      </c>
      <c r="C1680">
        <v>1733</v>
      </c>
      <c r="D1680">
        <v>5.43</v>
      </c>
      <c r="E1680">
        <v>59030</v>
      </c>
      <c r="F1680">
        <v>0</v>
      </c>
      <c r="G1680">
        <v>59030000</v>
      </c>
      <c r="H1680">
        <v>563</v>
      </c>
      <c r="I1680">
        <v>10</v>
      </c>
      <c r="J1680" s="2">
        <f t="shared" si="60"/>
        <v>54.3</v>
      </c>
      <c r="K1680">
        <v>1679</v>
      </c>
      <c r="L1680" s="3">
        <f>SUM($I$2:$I1680)</f>
        <v>6345540</v>
      </c>
      <c r="M1680" s="3">
        <f>SUM($J$2:$J1680)</f>
        <v>25360305.799999978</v>
      </c>
      <c r="N1680" s="2">
        <f>SUM($D$2:$D1680)</f>
        <v>15092.049999999985</v>
      </c>
      <c r="O1680" s="2">
        <f t="shared" si="61"/>
        <v>0.89938666466432782</v>
      </c>
      <c r="P1680" s="2" cm="1">
        <f t="array" ref="P1680">SUMPRODUCT((O1680&gt;$T$9:$T$14)*(O1680&lt;=$U$9:$U$14),$S$9:$S$14)</f>
        <v>5</v>
      </c>
    </row>
    <row r="1681" spans="1:16" x14ac:dyDescent="0.25">
      <c r="A1681">
        <v>1722</v>
      </c>
      <c r="B1681">
        <v>1722</v>
      </c>
      <c r="C1681">
        <v>2228</v>
      </c>
      <c r="D1681">
        <v>5.0999999999999996</v>
      </c>
      <c r="E1681">
        <v>54300</v>
      </c>
      <c r="F1681">
        <v>0</v>
      </c>
      <c r="G1681">
        <v>54300000</v>
      </c>
      <c r="H1681" t="s">
        <v>10</v>
      </c>
      <c r="I1681">
        <v>10</v>
      </c>
      <c r="J1681" s="2">
        <f t="shared" si="60"/>
        <v>51</v>
      </c>
      <c r="K1681">
        <v>1680</v>
      </c>
      <c r="L1681" s="3">
        <f>SUM($I$2:$I1681)</f>
        <v>6345550</v>
      </c>
      <c r="M1681" s="3">
        <f>SUM($J$2:$J1681)</f>
        <v>25360356.799999978</v>
      </c>
      <c r="N1681" s="2">
        <f>SUM($D$2:$D1681)</f>
        <v>15097.149999999985</v>
      </c>
      <c r="O1681" s="2">
        <f t="shared" si="61"/>
        <v>0.89969059103548277</v>
      </c>
      <c r="P1681" s="2" cm="1">
        <f t="array" ref="P1681">SUMPRODUCT((O1681&gt;$T$9:$T$14)*(O1681&lt;=$U$9:$U$14),$S$9:$S$14)</f>
        <v>5</v>
      </c>
    </row>
    <row r="1682" spans="1:16" x14ac:dyDescent="0.25">
      <c r="A1682">
        <v>274</v>
      </c>
      <c r="B1682">
        <v>1069</v>
      </c>
      <c r="C1682">
        <v>1893</v>
      </c>
      <c r="D1682">
        <v>4.7699999999999996</v>
      </c>
      <c r="E1682">
        <v>68600</v>
      </c>
      <c r="F1682">
        <v>0</v>
      </c>
      <c r="G1682">
        <v>68600000</v>
      </c>
      <c r="H1682">
        <v>636</v>
      </c>
      <c r="I1682">
        <v>10</v>
      </c>
      <c r="J1682" s="2">
        <f t="shared" si="60"/>
        <v>47.699999999999996</v>
      </c>
      <c r="K1682">
        <v>1681</v>
      </c>
      <c r="L1682" s="3">
        <f>SUM($I$2:$I1682)</f>
        <v>6345560</v>
      </c>
      <c r="M1682" s="3">
        <f>SUM($J$2:$J1682)</f>
        <v>25360404.499999978</v>
      </c>
      <c r="N1682" s="2">
        <f>SUM($D$2:$D1682)</f>
        <v>15101.919999999986</v>
      </c>
      <c r="O1682" s="2">
        <f t="shared" si="61"/>
        <v>0.8999748515826218</v>
      </c>
      <c r="P1682" s="2" cm="1">
        <f t="array" ref="P1682">SUMPRODUCT((O1682&gt;$T$9:$T$14)*(O1682&lt;=$U$9:$U$14),$S$9:$S$14)</f>
        <v>5</v>
      </c>
    </row>
    <row r="1683" spans="1:16" x14ac:dyDescent="0.25">
      <c r="A1683">
        <v>1704</v>
      </c>
      <c r="B1683">
        <v>1704</v>
      </c>
      <c r="C1683">
        <v>2208</v>
      </c>
      <c r="D1683">
        <v>4.6900000000000004</v>
      </c>
      <c r="E1683">
        <v>55400</v>
      </c>
      <c r="F1683">
        <v>0</v>
      </c>
      <c r="G1683">
        <v>55400000</v>
      </c>
      <c r="H1683">
        <v>538</v>
      </c>
      <c r="I1683">
        <v>10</v>
      </c>
      <c r="J1683" s="2">
        <f t="shared" si="60"/>
        <v>46.900000000000006</v>
      </c>
      <c r="K1683">
        <v>1682</v>
      </c>
      <c r="L1683" s="3">
        <f>SUM($I$2:$I1683)</f>
        <v>6345570</v>
      </c>
      <c r="M1683" s="3">
        <f>SUM($J$2:$J1683)</f>
        <v>25360451.399999976</v>
      </c>
      <c r="N1683" s="2">
        <f>SUM($D$2:$D1683)</f>
        <v>15106.609999999986</v>
      </c>
      <c r="O1683" s="2">
        <f t="shared" si="61"/>
        <v>0.90025434465727205</v>
      </c>
      <c r="P1683" s="2" cm="1">
        <f t="array" ref="P1683">SUMPRODUCT((O1683&gt;$T$9:$T$14)*(O1683&lt;=$U$9:$U$14),$S$9:$S$14)</f>
        <v>5</v>
      </c>
    </row>
    <row r="1684" spans="1:16" x14ac:dyDescent="0.25">
      <c r="A1684">
        <v>153</v>
      </c>
      <c r="B1684">
        <v>949</v>
      </c>
      <c r="C1684">
        <v>1722</v>
      </c>
      <c r="D1684">
        <v>4.47</v>
      </c>
      <c r="E1684">
        <v>59700</v>
      </c>
      <c r="F1684">
        <v>0</v>
      </c>
      <c r="G1684">
        <v>59700000</v>
      </c>
      <c r="H1684">
        <v>570</v>
      </c>
      <c r="I1684">
        <v>10</v>
      </c>
      <c r="J1684" s="2">
        <f t="shared" si="60"/>
        <v>44.699999999999996</v>
      </c>
      <c r="K1684">
        <v>1683</v>
      </c>
      <c r="L1684" s="3">
        <f>SUM($I$2:$I1684)</f>
        <v>6345580</v>
      </c>
      <c r="M1684" s="3">
        <f>SUM($J$2:$J1684)</f>
        <v>25360496.099999975</v>
      </c>
      <c r="N1684" s="2">
        <f>SUM($D$2:$D1684)</f>
        <v>15111.079999999985</v>
      </c>
      <c r="O1684" s="2">
        <f t="shared" si="61"/>
        <v>0.90052072718257836</v>
      </c>
      <c r="P1684" s="2" cm="1">
        <f t="array" ref="P1684">SUMPRODUCT((O1684&gt;$T$9:$T$14)*(O1684&lt;=$U$9:$U$14),$S$9:$S$14)</f>
        <v>5</v>
      </c>
    </row>
    <row r="1685" spans="1:16" x14ac:dyDescent="0.25">
      <c r="A1685">
        <v>1718</v>
      </c>
      <c r="B1685">
        <v>1718</v>
      </c>
      <c r="C1685">
        <v>2224</v>
      </c>
      <c r="D1685">
        <v>4.42</v>
      </c>
      <c r="E1685">
        <v>54500</v>
      </c>
      <c r="F1685">
        <v>0</v>
      </c>
      <c r="G1685">
        <v>54500000</v>
      </c>
      <c r="H1685" t="s">
        <v>9</v>
      </c>
      <c r="I1685">
        <v>10</v>
      </c>
      <c r="J1685" s="2">
        <f t="shared" si="60"/>
        <v>44.2</v>
      </c>
      <c r="K1685">
        <v>1684</v>
      </c>
      <c r="L1685" s="3">
        <f>SUM($I$2:$I1685)</f>
        <v>6345590</v>
      </c>
      <c r="M1685" s="3">
        <f>SUM($J$2:$J1685)</f>
        <v>25360540.299999975</v>
      </c>
      <c r="N1685" s="2">
        <f>SUM($D$2:$D1685)</f>
        <v>15115.499999999985</v>
      </c>
      <c r="O1685" s="2">
        <f t="shared" si="61"/>
        <v>0.90078413003757929</v>
      </c>
      <c r="P1685" s="2" cm="1">
        <f t="array" ref="P1685">SUMPRODUCT((O1685&gt;$T$9:$T$14)*(O1685&lt;=$U$9:$U$14),$S$9:$S$14)</f>
        <v>5</v>
      </c>
    </row>
    <row r="1686" spans="1:16" x14ac:dyDescent="0.25">
      <c r="A1686">
        <v>259</v>
      </c>
      <c r="B1686">
        <v>1054</v>
      </c>
      <c r="C1686">
        <v>1872</v>
      </c>
      <c r="D1686">
        <v>3.15</v>
      </c>
      <c r="E1686">
        <v>65300</v>
      </c>
      <c r="F1686">
        <v>0</v>
      </c>
      <c r="G1686">
        <v>65300000</v>
      </c>
      <c r="H1686">
        <v>609</v>
      </c>
      <c r="I1686">
        <v>10</v>
      </c>
      <c r="J1686" s="2">
        <f t="shared" si="60"/>
        <v>31.5</v>
      </c>
      <c r="K1686">
        <v>1685</v>
      </c>
      <c r="L1686" s="3">
        <f>SUM($I$2:$I1686)</f>
        <v>6345600</v>
      </c>
      <c r="M1686" s="3">
        <f>SUM($J$2:$J1686)</f>
        <v>25360571.799999975</v>
      </c>
      <c r="N1686" s="2">
        <f>SUM($D$2:$D1686)</f>
        <v>15118.649999999985</v>
      </c>
      <c r="O1686" s="2">
        <f t="shared" si="61"/>
        <v>0.90097184926682194</v>
      </c>
      <c r="P1686" s="2" cm="1">
        <f t="array" ref="P1686">SUMPRODUCT((O1686&gt;$T$9:$T$14)*(O1686&lt;=$U$9:$U$14),$S$9:$S$14)</f>
        <v>5</v>
      </c>
    </row>
    <row r="1687" spans="1:16" x14ac:dyDescent="0.25">
      <c r="A1687">
        <v>37</v>
      </c>
      <c r="B1687">
        <v>833</v>
      </c>
      <c r="C1687">
        <v>1587</v>
      </c>
      <c r="D1687">
        <v>2.76</v>
      </c>
      <c r="E1687">
        <v>52000</v>
      </c>
      <c r="F1687">
        <v>0</v>
      </c>
      <c r="G1687">
        <v>52000000</v>
      </c>
      <c r="H1687">
        <v>510</v>
      </c>
      <c r="I1687">
        <v>10</v>
      </c>
      <c r="J1687" s="2">
        <f t="shared" si="60"/>
        <v>27.599999999999998</v>
      </c>
      <c r="K1687">
        <v>1686</v>
      </c>
      <c r="L1687" s="3">
        <f>SUM($I$2:$I1687)</f>
        <v>6345610</v>
      </c>
      <c r="M1687" s="3">
        <f>SUM($J$2:$J1687)</f>
        <v>25360599.399999976</v>
      </c>
      <c r="N1687" s="2">
        <f>SUM($D$2:$D1687)</f>
        <v>15121.409999999985</v>
      </c>
      <c r="O1687" s="2">
        <f t="shared" si="61"/>
        <v>0.90113632706768232</v>
      </c>
      <c r="P1687" s="2" cm="1">
        <f t="array" ref="P1687">SUMPRODUCT((O1687&gt;$T$9:$T$14)*(O1687&lt;=$U$9:$U$14),$S$9:$S$14)</f>
        <v>5</v>
      </c>
    </row>
    <row r="1688" spans="1:16" x14ac:dyDescent="0.25">
      <c r="A1688">
        <v>1793</v>
      </c>
      <c r="B1688">
        <v>1793</v>
      </c>
      <c r="C1688">
        <v>0</v>
      </c>
      <c r="D1688">
        <v>2.56</v>
      </c>
      <c r="E1688">
        <v>85600</v>
      </c>
      <c r="F1688">
        <v>0</v>
      </c>
      <c r="G1688">
        <v>85600000</v>
      </c>
      <c r="H1688">
        <v>7296</v>
      </c>
      <c r="I1688">
        <v>10</v>
      </c>
      <c r="J1688" s="2">
        <f t="shared" si="60"/>
        <v>25.6</v>
      </c>
      <c r="K1688">
        <v>1687</v>
      </c>
      <c r="L1688" s="3">
        <f>SUM($I$2:$I1688)</f>
        <v>6345620</v>
      </c>
      <c r="M1688" s="3">
        <f>SUM($J$2:$J1688)</f>
        <v>25360624.999999978</v>
      </c>
      <c r="N1688" s="2">
        <f>SUM($D$2:$D1688)</f>
        <v>15123.969999999985</v>
      </c>
      <c r="O1688" s="2">
        <f t="shared" si="61"/>
        <v>0.90128888618732073</v>
      </c>
      <c r="P1688" s="2" cm="1">
        <f t="array" ref="P1688">SUMPRODUCT((O1688&gt;$T$9:$T$14)*(O1688&lt;=$U$9:$U$14),$S$9:$S$14)</f>
        <v>5</v>
      </c>
    </row>
    <row r="1689" spans="1:16" x14ac:dyDescent="0.25">
      <c r="A1689">
        <v>1792</v>
      </c>
      <c r="B1689">
        <v>1792</v>
      </c>
      <c r="C1689">
        <v>0</v>
      </c>
      <c r="D1689">
        <v>2.13</v>
      </c>
      <c r="E1689">
        <v>85540</v>
      </c>
      <c r="F1689">
        <v>0</v>
      </c>
      <c r="G1689">
        <v>85540000</v>
      </c>
      <c r="H1689">
        <v>7291</v>
      </c>
      <c r="I1689">
        <v>10</v>
      </c>
      <c r="J1689" s="2">
        <f t="shared" si="60"/>
        <v>21.299999999999997</v>
      </c>
      <c r="K1689">
        <v>1688</v>
      </c>
      <c r="L1689" s="3">
        <f>SUM($I$2:$I1689)</f>
        <v>6345630</v>
      </c>
      <c r="M1689" s="3">
        <f>SUM($J$2:$J1689)</f>
        <v>25360646.299999978</v>
      </c>
      <c r="N1689" s="2">
        <f>SUM($D$2:$D1689)</f>
        <v>15126.099999999984</v>
      </c>
      <c r="O1689" s="2">
        <f t="shared" si="61"/>
        <v>0.90141582014233246</v>
      </c>
      <c r="P1689" s="2" cm="1">
        <f t="array" ref="P1689">SUMPRODUCT((O1689&gt;$T$9:$T$14)*(O1689&lt;=$U$9:$U$14),$S$9:$S$14)</f>
        <v>5</v>
      </c>
    </row>
    <row r="1690" spans="1:16" x14ac:dyDescent="0.25">
      <c r="A1690">
        <v>1719</v>
      </c>
      <c r="B1690">
        <v>1719</v>
      </c>
      <c r="C1690">
        <v>2225</v>
      </c>
      <c r="D1690">
        <v>2.08</v>
      </c>
      <c r="E1690">
        <v>54420</v>
      </c>
      <c r="F1690">
        <v>0</v>
      </c>
      <c r="G1690">
        <v>54420000</v>
      </c>
      <c r="H1690">
        <v>529</v>
      </c>
      <c r="I1690">
        <v>10</v>
      </c>
      <c r="J1690" s="2">
        <f t="shared" si="60"/>
        <v>20.8</v>
      </c>
      <c r="K1690">
        <v>1689</v>
      </c>
      <c r="L1690" s="3">
        <f>SUM($I$2:$I1690)</f>
        <v>6345640</v>
      </c>
      <c r="M1690" s="3">
        <f>SUM($J$2:$J1690)</f>
        <v>25360667.099999979</v>
      </c>
      <c r="N1690" s="2">
        <f>SUM($D$2:$D1690)</f>
        <v>15128.179999999984</v>
      </c>
      <c r="O1690" s="2">
        <f t="shared" si="61"/>
        <v>0.90153977442703881</v>
      </c>
      <c r="P1690" s="2" cm="1">
        <f t="array" ref="P1690">SUMPRODUCT((O1690&gt;$T$9:$T$14)*(O1690&lt;=$U$9:$U$14),$S$9:$S$14)</f>
        <v>5</v>
      </c>
    </row>
    <row r="1691" spans="1:16" x14ac:dyDescent="0.25">
      <c r="A1691">
        <v>1755</v>
      </c>
      <c r="B1691">
        <v>1755</v>
      </c>
      <c r="C1691">
        <v>0</v>
      </c>
      <c r="D1691">
        <v>1.47</v>
      </c>
      <c r="E1691">
        <v>73737</v>
      </c>
      <c r="F1691">
        <v>0</v>
      </c>
      <c r="G1691">
        <v>73737000</v>
      </c>
      <c r="H1691">
        <v>7045</v>
      </c>
      <c r="I1691">
        <v>10</v>
      </c>
      <c r="J1691" s="2">
        <f t="shared" si="60"/>
        <v>14.7</v>
      </c>
      <c r="K1691">
        <v>1690</v>
      </c>
      <c r="L1691" s="3">
        <f>SUM($I$2:$I1691)</f>
        <v>6345650</v>
      </c>
      <c r="M1691" s="3">
        <f>SUM($J$2:$J1691)</f>
        <v>25360681.799999978</v>
      </c>
      <c r="N1691" s="2">
        <f>SUM($D$2:$D1691)</f>
        <v>15129.649999999983</v>
      </c>
      <c r="O1691" s="2">
        <f t="shared" si="61"/>
        <v>0.90162737673401872</v>
      </c>
      <c r="P1691" s="2" cm="1">
        <f t="array" ref="P1691">SUMPRODUCT((O1691&gt;$T$9:$T$14)*(O1691&lt;=$U$9:$U$14),$S$9:$S$14)</f>
        <v>5</v>
      </c>
    </row>
    <row r="1692" spans="1:16" x14ac:dyDescent="0.25">
      <c r="A1692">
        <v>1794</v>
      </c>
      <c r="B1692">
        <v>1794</v>
      </c>
      <c r="C1692">
        <v>0</v>
      </c>
      <c r="D1692">
        <v>1.45</v>
      </c>
      <c r="E1692">
        <v>85590</v>
      </c>
      <c r="F1692">
        <v>0</v>
      </c>
      <c r="G1692">
        <v>85590000</v>
      </c>
      <c r="H1692">
        <v>7295</v>
      </c>
      <c r="I1692">
        <v>10</v>
      </c>
      <c r="J1692" s="2">
        <f t="shared" si="60"/>
        <v>14.5</v>
      </c>
      <c r="K1692">
        <v>1691</v>
      </c>
      <c r="L1692" s="3">
        <f>SUM($I$2:$I1692)</f>
        <v>6345660</v>
      </c>
      <c r="M1692" s="3">
        <f>SUM($J$2:$J1692)</f>
        <v>25360696.299999978</v>
      </c>
      <c r="N1692" s="2">
        <f>SUM($D$2:$D1692)</f>
        <v>15131.099999999984</v>
      </c>
      <c r="O1692" s="2">
        <f t="shared" si="61"/>
        <v>0.90171378717287642</v>
      </c>
      <c r="P1692" s="2" cm="1">
        <f t="array" ref="P1692">SUMPRODUCT((O1692&gt;$T$9:$T$14)*(O1692&lt;=$U$9:$U$14),$S$9:$S$14)</f>
        <v>5</v>
      </c>
    </row>
    <row r="1693" spans="1:16" x14ac:dyDescent="0.25">
      <c r="A1693">
        <v>313</v>
      </c>
      <c r="B1693">
        <v>1108</v>
      </c>
      <c r="C1693">
        <v>1949</v>
      </c>
      <c r="D1693">
        <v>1.1100000000000001</v>
      </c>
      <c r="E1693">
        <v>72400</v>
      </c>
      <c r="F1693">
        <v>0</v>
      </c>
      <c r="G1693">
        <v>72400000</v>
      </c>
      <c r="H1693">
        <v>802</v>
      </c>
      <c r="I1693">
        <v>10</v>
      </c>
      <c r="J1693" s="2">
        <f t="shared" si="60"/>
        <v>11.100000000000001</v>
      </c>
      <c r="K1693">
        <v>1692</v>
      </c>
      <c r="L1693" s="3">
        <f>SUM($I$2:$I1693)</f>
        <v>6345670</v>
      </c>
      <c r="M1693" s="3">
        <f>SUM($J$2:$J1693)</f>
        <v>25360707.39999998</v>
      </c>
      <c r="N1693" s="2">
        <f>SUM($D$2:$D1693)</f>
        <v>15132.209999999985</v>
      </c>
      <c r="O1693" s="2">
        <f t="shared" si="61"/>
        <v>0.90177993585365723</v>
      </c>
      <c r="P1693" s="2" cm="1">
        <f t="array" ref="P1693">SUMPRODUCT((O1693&gt;$T$9:$T$14)*(O1693&lt;=$U$9:$U$14),$S$9:$S$14)</f>
        <v>5</v>
      </c>
    </row>
    <row r="1694" spans="1:16" x14ac:dyDescent="0.25">
      <c r="A1694">
        <v>1754</v>
      </c>
      <c r="B1694">
        <v>1754</v>
      </c>
      <c r="C1694">
        <v>0</v>
      </c>
      <c r="D1694">
        <v>1.01</v>
      </c>
      <c r="E1694">
        <v>73840</v>
      </c>
      <c r="F1694">
        <v>0.6</v>
      </c>
      <c r="G1694">
        <v>73840006</v>
      </c>
      <c r="H1694">
        <v>7090</v>
      </c>
      <c r="I1694">
        <v>10</v>
      </c>
      <c r="J1694" s="2">
        <f t="shared" si="60"/>
        <v>10.1</v>
      </c>
      <c r="K1694">
        <v>1693</v>
      </c>
      <c r="L1694" s="3">
        <f>SUM($I$2:$I1694)</f>
        <v>6345680</v>
      </c>
      <c r="M1694" s="3">
        <f>SUM($J$2:$J1694)</f>
        <v>25360717.499999981</v>
      </c>
      <c r="N1694" s="2">
        <f>SUM($D$2:$D1694)</f>
        <v>15133.219999999985</v>
      </c>
      <c r="O1694" s="2">
        <f t="shared" si="61"/>
        <v>0.90184012519382717</v>
      </c>
      <c r="P1694" s="2" cm="1">
        <f t="array" ref="P1694">SUMPRODUCT((O1694&gt;$T$9:$T$14)*(O1694&lt;=$U$9:$U$14),$S$9:$S$14)</f>
        <v>5</v>
      </c>
    </row>
    <row r="1695" spans="1:16" x14ac:dyDescent="0.25">
      <c r="A1695">
        <v>218</v>
      </c>
      <c r="B1695">
        <v>1013</v>
      </c>
      <c r="C1695">
        <v>1818</v>
      </c>
      <c r="D1695">
        <v>116.58</v>
      </c>
      <c r="E1695">
        <v>63550</v>
      </c>
      <c r="F1695">
        <v>3.1</v>
      </c>
      <c r="G1695">
        <v>63550031</v>
      </c>
      <c r="H1695">
        <v>599</v>
      </c>
      <c r="I1695">
        <v>0</v>
      </c>
      <c r="J1695" s="2">
        <f t="shared" si="60"/>
        <v>0</v>
      </c>
      <c r="K1695">
        <v>1694</v>
      </c>
      <c r="L1695" s="3">
        <f>SUM($I$2:$I1695)</f>
        <v>6345680</v>
      </c>
      <c r="M1695" s="3">
        <f>SUM($J$2:$J1695)</f>
        <v>25360717.499999981</v>
      </c>
      <c r="N1695" s="2">
        <f>SUM($D$2:$D1695)</f>
        <v>15249.799999999985</v>
      </c>
      <c r="O1695" s="2">
        <f t="shared" si="61"/>
        <v>0.90878752447799116</v>
      </c>
      <c r="P1695" s="2" cm="1">
        <f t="array" ref="P1695">SUMPRODUCT((O1695&gt;$T$9:$T$14)*(O1695&lt;=$U$9:$U$14),$S$9:$S$14)</f>
        <v>5</v>
      </c>
    </row>
    <row r="1696" spans="1:16" x14ac:dyDescent="0.25">
      <c r="A1696">
        <v>951</v>
      </c>
      <c r="B1696">
        <v>577</v>
      </c>
      <c r="C1696">
        <v>235</v>
      </c>
      <c r="D1696">
        <v>59.27</v>
      </c>
      <c r="E1696">
        <v>21860</v>
      </c>
      <c r="F1696">
        <v>12.3</v>
      </c>
      <c r="G1696">
        <v>21860123</v>
      </c>
      <c r="H1696">
        <v>17</v>
      </c>
      <c r="I1696">
        <v>0</v>
      </c>
      <c r="J1696" s="2">
        <f t="shared" si="60"/>
        <v>0</v>
      </c>
      <c r="K1696">
        <v>1695</v>
      </c>
      <c r="L1696" s="3">
        <f>SUM($I$2:$I1696)</f>
        <v>6345680</v>
      </c>
      <c r="M1696" s="3">
        <f>SUM($J$2:$J1696)</f>
        <v>25360717.499999981</v>
      </c>
      <c r="N1696" s="2">
        <f>SUM($D$2:$D1696)</f>
        <v>15309.069999999985</v>
      </c>
      <c r="O1696" s="2">
        <f t="shared" si="61"/>
        <v>0.9123196256580598</v>
      </c>
      <c r="P1696" s="2" cm="1">
        <f t="array" ref="P1696">SUMPRODUCT((O1696&gt;$T$9:$T$14)*(O1696&lt;=$U$9:$U$14),$S$9:$S$14)</f>
        <v>5</v>
      </c>
    </row>
    <row r="1697" spans="1:16" x14ac:dyDescent="0.25">
      <c r="A1697">
        <v>267</v>
      </c>
      <c r="B1697">
        <v>1062</v>
      </c>
      <c r="C1697">
        <v>1882</v>
      </c>
      <c r="D1697">
        <v>57.44</v>
      </c>
      <c r="E1697">
        <v>69460</v>
      </c>
      <c r="F1697">
        <v>0</v>
      </c>
      <c r="G1697">
        <v>69460000</v>
      </c>
      <c r="H1697">
        <v>642</v>
      </c>
      <c r="I1697">
        <v>0</v>
      </c>
      <c r="J1697" s="2">
        <f t="shared" si="60"/>
        <v>0</v>
      </c>
      <c r="K1697">
        <v>1696</v>
      </c>
      <c r="L1697" s="3">
        <f>SUM($I$2:$I1697)</f>
        <v>6345680</v>
      </c>
      <c r="M1697" s="3">
        <f>SUM($J$2:$J1697)</f>
        <v>25360717.499999981</v>
      </c>
      <c r="N1697" s="2">
        <f>SUM($D$2:$D1697)</f>
        <v>15366.509999999986</v>
      </c>
      <c r="O1697" s="2">
        <f t="shared" si="61"/>
        <v>0.91574267090494943</v>
      </c>
      <c r="P1697" s="2" cm="1">
        <f t="array" ref="P1697">SUMPRODUCT((O1697&gt;$T$9:$T$14)*(O1697&lt;=$U$9:$U$14),$S$9:$S$14)</f>
        <v>5</v>
      </c>
    </row>
    <row r="1698" spans="1:16" x14ac:dyDescent="0.25">
      <c r="A1698">
        <v>139</v>
      </c>
      <c r="B1698">
        <v>935</v>
      </c>
      <c r="C1698">
        <v>1701</v>
      </c>
      <c r="D1698">
        <v>52.05</v>
      </c>
      <c r="E1698">
        <v>52695</v>
      </c>
      <c r="F1698">
        <v>0</v>
      </c>
      <c r="G1698">
        <v>52695000</v>
      </c>
      <c r="H1698">
        <v>516</v>
      </c>
      <c r="I1698">
        <v>0</v>
      </c>
      <c r="J1698" s="2">
        <f t="shared" si="60"/>
        <v>0</v>
      </c>
      <c r="K1698">
        <v>1697</v>
      </c>
      <c r="L1698" s="3">
        <f>SUM($I$2:$I1698)</f>
        <v>6345680</v>
      </c>
      <c r="M1698" s="3">
        <f>SUM($J$2:$J1698)</f>
        <v>25360717.499999981</v>
      </c>
      <c r="N1698" s="2">
        <f>SUM($D$2:$D1698)</f>
        <v>15418.559999999985</v>
      </c>
      <c r="O1698" s="2">
        <f t="shared" si="61"/>
        <v>0.91884450769291248</v>
      </c>
      <c r="P1698" s="2" cm="1">
        <f t="array" ref="P1698">SUMPRODUCT((O1698&gt;$T$9:$T$14)*(O1698&lt;=$U$9:$U$14),$S$9:$S$14)</f>
        <v>5</v>
      </c>
    </row>
    <row r="1699" spans="1:16" x14ac:dyDescent="0.25">
      <c r="A1699">
        <v>1341</v>
      </c>
      <c r="B1699">
        <v>173</v>
      </c>
      <c r="C1699">
        <v>1268</v>
      </c>
      <c r="D1699">
        <v>46.38</v>
      </c>
      <c r="E1699">
        <v>36090</v>
      </c>
      <c r="F1699">
        <v>16.399999999999999</v>
      </c>
      <c r="G1699">
        <v>36090164</v>
      </c>
      <c r="H1699">
        <v>71</v>
      </c>
      <c r="I1699">
        <v>0</v>
      </c>
      <c r="J1699" s="2">
        <f t="shared" si="60"/>
        <v>0</v>
      </c>
      <c r="K1699">
        <v>1698</v>
      </c>
      <c r="L1699" s="3">
        <f>SUM($I$2:$I1699)</f>
        <v>6345680</v>
      </c>
      <c r="M1699" s="3">
        <f>SUM($J$2:$J1699)</f>
        <v>25360717.499999981</v>
      </c>
      <c r="N1699" s="2">
        <f>SUM($D$2:$D1699)</f>
        <v>15464.939999999984</v>
      </c>
      <c r="O1699" s="2">
        <f t="shared" si="61"/>
        <v>0.92160844986823853</v>
      </c>
      <c r="P1699" s="2" cm="1">
        <f t="array" ref="P1699">SUMPRODUCT((O1699&gt;$T$9:$T$14)*(O1699&lt;=$U$9:$U$14),$S$9:$S$14)</f>
        <v>5</v>
      </c>
    </row>
    <row r="1700" spans="1:16" x14ac:dyDescent="0.25">
      <c r="A1700">
        <v>952</v>
      </c>
      <c r="B1700">
        <v>578</v>
      </c>
      <c r="C1700">
        <v>236</v>
      </c>
      <c r="D1700">
        <v>45.86</v>
      </c>
      <c r="E1700">
        <v>21935</v>
      </c>
      <c r="F1700">
        <v>0</v>
      </c>
      <c r="G1700">
        <v>21935000</v>
      </c>
      <c r="H1700">
        <v>17</v>
      </c>
      <c r="I1700">
        <v>0</v>
      </c>
      <c r="J1700" s="2">
        <f t="shared" si="60"/>
        <v>0</v>
      </c>
      <c r="K1700">
        <v>1699</v>
      </c>
      <c r="L1700" s="3">
        <f>SUM($I$2:$I1700)</f>
        <v>6345680</v>
      </c>
      <c r="M1700" s="3">
        <f>SUM($J$2:$J1700)</f>
        <v>25360717.499999981</v>
      </c>
      <c r="N1700" s="2">
        <f>SUM($D$2:$D1700)</f>
        <v>15510.799999999985</v>
      </c>
      <c r="O1700" s="2">
        <f t="shared" si="61"/>
        <v>0.92434140347238825</v>
      </c>
      <c r="P1700" s="2" cm="1">
        <f t="array" ref="P1700">SUMPRODUCT((O1700&gt;$T$9:$T$14)*(O1700&lt;=$U$9:$U$14),$S$9:$S$14)</f>
        <v>5</v>
      </c>
    </row>
    <row r="1701" spans="1:16" x14ac:dyDescent="0.25">
      <c r="A1701">
        <v>208</v>
      </c>
      <c r="B1701">
        <v>1003</v>
      </c>
      <c r="C1701">
        <v>1801</v>
      </c>
      <c r="D1701">
        <v>44.99</v>
      </c>
      <c r="E1701">
        <v>64500</v>
      </c>
      <c r="F1701">
        <v>2.5</v>
      </c>
      <c r="G1701">
        <v>64500025</v>
      </c>
      <c r="H1701">
        <v>602</v>
      </c>
      <c r="I1701">
        <v>0</v>
      </c>
      <c r="J1701" s="2">
        <f t="shared" si="60"/>
        <v>0</v>
      </c>
      <c r="K1701">
        <v>1700</v>
      </c>
      <c r="L1701" s="3">
        <f>SUM($I$2:$I1701)</f>
        <v>6345680</v>
      </c>
      <c r="M1701" s="3">
        <f>SUM($J$2:$J1701)</f>
        <v>25360717.499999981</v>
      </c>
      <c r="N1701" s="2">
        <f>SUM($D$2:$D1701)</f>
        <v>15555.789999999985</v>
      </c>
      <c r="O1701" s="2">
        <f t="shared" si="61"/>
        <v>0.92702251081322318</v>
      </c>
      <c r="P1701" s="2" cm="1">
        <f t="array" ref="P1701">SUMPRODUCT((O1701&gt;$T$9:$T$14)*(O1701&lt;=$U$9:$U$14),$S$9:$S$14)</f>
        <v>5</v>
      </c>
    </row>
    <row r="1702" spans="1:16" x14ac:dyDescent="0.25">
      <c r="A1702">
        <v>288</v>
      </c>
      <c r="B1702">
        <v>1083</v>
      </c>
      <c r="C1702">
        <v>1913</v>
      </c>
      <c r="D1702">
        <v>44.69</v>
      </c>
      <c r="E1702">
        <v>67050</v>
      </c>
      <c r="F1702">
        <v>4</v>
      </c>
      <c r="G1702">
        <v>67050040</v>
      </c>
      <c r="H1702">
        <v>622</v>
      </c>
      <c r="I1702">
        <v>0</v>
      </c>
      <c r="J1702" s="2">
        <f t="shared" si="60"/>
        <v>0</v>
      </c>
      <c r="K1702">
        <v>1701</v>
      </c>
      <c r="L1702" s="3">
        <f>SUM($I$2:$I1702)</f>
        <v>6345680</v>
      </c>
      <c r="M1702" s="3">
        <f>SUM($J$2:$J1702)</f>
        <v>25360717.499999981</v>
      </c>
      <c r="N1702" s="2">
        <f>SUM($D$2:$D1702)</f>
        <v>15600.479999999985</v>
      </c>
      <c r="O1702" s="2">
        <f t="shared" si="61"/>
        <v>0.92968574013222549</v>
      </c>
      <c r="P1702" s="2" cm="1">
        <f t="array" ref="P1702">SUMPRODUCT((O1702&gt;$T$9:$T$14)*(O1702&lt;=$U$9:$U$14),$S$9:$S$14)</f>
        <v>5</v>
      </c>
    </row>
    <row r="1703" spans="1:16" x14ac:dyDescent="0.25">
      <c r="A1703">
        <v>580</v>
      </c>
      <c r="B1703">
        <v>1367</v>
      </c>
      <c r="C1703">
        <v>795</v>
      </c>
      <c r="D1703">
        <v>44.53</v>
      </c>
      <c r="E1703">
        <v>21990</v>
      </c>
      <c r="F1703">
        <v>0</v>
      </c>
      <c r="G1703">
        <v>21990000</v>
      </c>
      <c r="H1703">
        <v>17</v>
      </c>
      <c r="I1703">
        <v>0</v>
      </c>
      <c r="J1703" s="2">
        <f t="shared" si="60"/>
        <v>0</v>
      </c>
      <c r="K1703">
        <v>1702</v>
      </c>
      <c r="L1703" s="3">
        <f>SUM($I$2:$I1703)</f>
        <v>6345680</v>
      </c>
      <c r="M1703" s="3">
        <f>SUM($J$2:$J1703)</f>
        <v>25360717.499999981</v>
      </c>
      <c r="N1703" s="2">
        <f>SUM($D$2:$D1703)</f>
        <v>15645.009999999986</v>
      </c>
      <c r="O1703" s="2">
        <f t="shared" si="61"/>
        <v>0.93233943450625045</v>
      </c>
      <c r="P1703" s="2" cm="1">
        <f t="array" ref="P1703">SUMPRODUCT((O1703&gt;$T$9:$T$14)*(O1703&lt;=$U$9:$U$14),$S$9:$S$14)</f>
        <v>5</v>
      </c>
    </row>
    <row r="1704" spans="1:16" x14ac:dyDescent="0.25">
      <c r="A1704">
        <v>960</v>
      </c>
      <c r="B1704">
        <v>586</v>
      </c>
      <c r="C1704">
        <v>247</v>
      </c>
      <c r="D1704">
        <v>44.24</v>
      </c>
      <c r="E1704">
        <v>21630</v>
      </c>
      <c r="F1704">
        <v>0</v>
      </c>
      <c r="G1704">
        <v>21630000</v>
      </c>
      <c r="H1704">
        <v>17</v>
      </c>
      <c r="I1704">
        <v>0</v>
      </c>
      <c r="J1704" s="2">
        <f t="shared" si="60"/>
        <v>0</v>
      </c>
      <c r="K1704">
        <v>1703</v>
      </c>
      <c r="L1704" s="3">
        <f>SUM($I$2:$I1704)</f>
        <v>6345680</v>
      </c>
      <c r="M1704" s="3">
        <f>SUM($J$2:$J1704)</f>
        <v>25360717.499999981</v>
      </c>
      <c r="N1704" s="2">
        <f>SUM($D$2:$D1704)</f>
        <v>15689.249999999985</v>
      </c>
      <c r="O1704" s="2">
        <f t="shared" si="61"/>
        <v>0.93497584679250378</v>
      </c>
      <c r="P1704" s="2" cm="1">
        <f t="array" ref="P1704">SUMPRODUCT((O1704&gt;$T$9:$T$14)*(O1704&lt;=$U$9:$U$14),$S$9:$S$14)</f>
        <v>5</v>
      </c>
    </row>
    <row r="1705" spans="1:16" x14ac:dyDescent="0.25">
      <c r="A1705">
        <v>295</v>
      </c>
      <c r="B1705">
        <v>1090</v>
      </c>
      <c r="C1705">
        <v>1924</v>
      </c>
      <c r="D1705">
        <v>41.07</v>
      </c>
      <c r="E1705">
        <v>66400</v>
      </c>
      <c r="F1705">
        <v>0</v>
      </c>
      <c r="G1705">
        <v>66400000</v>
      </c>
      <c r="H1705">
        <v>619</v>
      </c>
      <c r="I1705">
        <v>0</v>
      </c>
      <c r="J1705" s="2">
        <f t="shared" si="60"/>
        <v>0</v>
      </c>
      <c r="K1705">
        <v>1704</v>
      </c>
      <c r="L1705" s="3">
        <f>SUM($I$2:$I1705)</f>
        <v>6345680</v>
      </c>
      <c r="M1705" s="3">
        <f>SUM($J$2:$J1705)</f>
        <v>25360717.499999981</v>
      </c>
      <c r="N1705" s="2">
        <f>SUM($D$2:$D1705)</f>
        <v>15730.319999999985</v>
      </c>
      <c r="O1705" s="2">
        <f t="shared" si="61"/>
        <v>0.93742334798139226</v>
      </c>
      <c r="P1705" s="2" cm="1">
        <f t="array" ref="P1705">SUMPRODUCT((O1705&gt;$T$9:$T$14)*(O1705&lt;=$U$9:$U$14),$S$9:$S$14)</f>
        <v>5</v>
      </c>
    </row>
    <row r="1706" spans="1:16" x14ac:dyDescent="0.25">
      <c r="A1706">
        <v>1729</v>
      </c>
      <c r="B1706">
        <v>1729</v>
      </c>
      <c r="C1706">
        <v>2235</v>
      </c>
      <c r="D1706">
        <v>40.64</v>
      </c>
      <c r="E1706">
        <v>54050</v>
      </c>
      <c r="F1706">
        <v>5.4</v>
      </c>
      <c r="G1706">
        <v>54050054</v>
      </c>
      <c r="H1706">
        <v>527</v>
      </c>
      <c r="I1706">
        <v>0</v>
      </c>
      <c r="J1706" s="2">
        <f t="shared" si="60"/>
        <v>0</v>
      </c>
      <c r="K1706">
        <v>1705</v>
      </c>
      <c r="L1706" s="3">
        <f>SUM($I$2:$I1706)</f>
        <v>6345680</v>
      </c>
      <c r="M1706" s="3">
        <f>SUM($J$2:$J1706)</f>
        <v>25360717.499999981</v>
      </c>
      <c r="N1706" s="2">
        <f>SUM($D$2:$D1706)</f>
        <v>15770.959999999985</v>
      </c>
      <c r="O1706" s="2">
        <f t="shared" si="61"/>
        <v>0.93984522400565385</v>
      </c>
      <c r="P1706" s="2" cm="1">
        <f t="array" ref="P1706">SUMPRODUCT((O1706&gt;$T$9:$T$14)*(O1706&lt;=$U$9:$U$14),$S$9:$S$14)</f>
        <v>5</v>
      </c>
    </row>
    <row r="1707" spans="1:16" x14ac:dyDescent="0.25">
      <c r="A1707">
        <v>1727</v>
      </c>
      <c r="B1707">
        <v>1727</v>
      </c>
      <c r="C1707">
        <v>2233</v>
      </c>
      <c r="D1707">
        <v>38.36</v>
      </c>
      <c r="E1707">
        <v>54082</v>
      </c>
      <c r="F1707">
        <v>0</v>
      </c>
      <c r="G1707">
        <v>54082000</v>
      </c>
      <c r="H1707">
        <v>527</v>
      </c>
      <c r="I1707">
        <v>0</v>
      </c>
      <c r="J1707" s="2">
        <f t="shared" si="60"/>
        <v>0</v>
      </c>
      <c r="K1707">
        <v>1706</v>
      </c>
      <c r="L1707" s="3">
        <f>SUM($I$2:$I1707)</f>
        <v>6345680</v>
      </c>
      <c r="M1707" s="3">
        <f>SUM($J$2:$J1707)</f>
        <v>25360717.499999981</v>
      </c>
      <c r="N1707" s="2">
        <f>SUM($D$2:$D1707)</f>
        <v>15809.319999999985</v>
      </c>
      <c r="O1707" s="2">
        <f t="shared" si="61"/>
        <v>0.94213122706398744</v>
      </c>
      <c r="P1707" s="2" cm="1">
        <f t="array" ref="P1707">SUMPRODUCT((O1707&gt;$T$9:$T$14)*(O1707&lt;=$U$9:$U$14),$S$9:$S$14)</f>
        <v>5</v>
      </c>
    </row>
    <row r="1708" spans="1:16" x14ac:dyDescent="0.25">
      <c r="A1708">
        <v>216</v>
      </c>
      <c r="B1708">
        <v>1011</v>
      </c>
      <c r="C1708">
        <v>1814</v>
      </c>
      <c r="D1708">
        <v>35.25</v>
      </c>
      <c r="E1708">
        <v>63600</v>
      </c>
      <c r="F1708">
        <v>0</v>
      </c>
      <c r="G1708">
        <v>63600000</v>
      </c>
      <c r="H1708">
        <v>599</v>
      </c>
      <c r="I1708">
        <v>0</v>
      </c>
      <c r="J1708" s="2">
        <f t="shared" si="60"/>
        <v>0</v>
      </c>
      <c r="K1708">
        <v>1707</v>
      </c>
      <c r="L1708" s="3">
        <f>SUM($I$2:$I1708)</f>
        <v>6345680</v>
      </c>
      <c r="M1708" s="3">
        <f>SUM($J$2:$J1708)</f>
        <v>25360717.499999981</v>
      </c>
      <c r="N1708" s="2">
        <f>SUM($D$2:$D1708)</f>
        <v>15844.569999999985</v>
      </c>
      <c r="O1708" s="2">
        <f t="shared" si="61"/>
        <v>0.94423189462932278</v>
      </c>
      <c r="P1708" s="2" cm="1">
        <f t="array" ref="P1708">SUMPRODUCT((O1708&gt;$T$9:$T$14)*(O1708&lt;=$U$9:$U$14),$S$9:$S$14)</f>
        <v>5</v>
      </c>
    </row>
    <row r="1709" spans="1:16" x14ac:dyDescent="0.25">
      <c r="A1709">
        <v>271</v>
      </c>
      <c r="B1709">
        <v>1066</v>
      </c>
      <c r="C1709">
        <v>1888</v>
      </c>
      <c r="D1709">
        <v>35.25</v>
      </c>
      <c r="E1709">
        <v>68890</v>
      </c>
      <c r="F1709">
        <v>0</v>
      </c>
      <c r="G1709">
        <v>68890000</v>
      </c>
      <c r="H1709">
        <v>638</v>
      </c>
      <c r="I1709">
        <v>0</v>
      </c>
      <c r="J1709" s="2">
        <f t="shared" si="60"/>
        <v>0</v>
      </c>
      <c r="K1709">
        <v>1708</v>
      </c>
      <c r="L1709" s="3">
        <f>SUM($I$2:$I1709)</f>
        <v>6345680</v>
      </c>
      <c r="M1709" s="3">
        <f>SUM($J$2:$J1709)</f>
        <v>25360717.499999981</v>
      </c>
      <c r="N1709" s="2">
        <f>SUM($D$2:$D1709)</f>
        <v>15879.819999999985</v>
      </c>
      <c r="O1709" s="2">
        <f t="shared" si="61"/>
        <v>0.946332562194658</v>
      </c>
      <c r="P1709" s="2" cm="1">
        <f t="array" ref="P1709">SUMPRODUCT((O1709&gt;$T$9:$T$14)*(O1709&lt;=$U$9:$U$14),$S$9:$S$14)</f>
        <v>5</v>
      </c>
    </row>
    <row r="1710" spans="1:16" x14ac:dyDescent="0.25">
      <c r="A1710">
        <v>1298</v>
      </c>
      <c r="B1710">
        <v>130</v>
      </c>
      <c r="C1710">
        <v>1217</v>
      </c>
      <c r="D1710">
        <v>35.159999999999997</v>
      </c>
      <c r="E1710">
        <v>36125</v>
      </c>
      <c r="F1710">
        <v>0.4</v>
      </c>
      <c r="G1710">
        <v>36125004</v>
      </c>
      <c r="H1710">
        <v>71</v>
      </c>
      <c r="I1710">
        <v>0</v>
      </c>
      <c r="J1710" s="2">
        <f t="shared" si="60"/>
        <v>0</v>
      </c>
      <c r="K1710">
        <v>1709</v>
      </c>
      <c r="L1710" s="3">
        <f>SUM($I$2:$I1710)</f>
        <v>6345680</v>
      </c>
      <c r="M1710" s="3">
        <f>SUM($J$2:$J1710)</f>
        <v>25360717.499999981</v>
      </c>
      <c r="N1710" s="2">
        <f>SUM($D$2:$D1710)</f>
        <v>15914.979999999985</v>
      </c>
      <c r="O1710" s="2">
        <f t="shared" si="61"/>
        <v>0.94842786635344334</v>
      </c>
      <c r="P1710" s="2" cm="1">
        <f t="array" ref="P1710">SUMPRODUCT((O1710&gt;$T$9:$T$14)*(O1710&lt;=$U$9:$U$14),$S$9:$S$14)</f>
        <v>5</v>
      </c>
    </row>
    <row r="1711" spans="1:16" x14ac:dyDescent="0.25">
      <c r="A1711">
        <v>217</v>
      </c>
      <c r="B1711">
        <v>1012</v>
      </c>
      <c r="C1711">
        <v>1816</v>
      </c>
      <c r="D1711">
        <v>33.22</v>
      </c>
      <c r="E1711">
        <v>63590</v>
      </c>
      <c r="F1711">
        <v>0</v>
      </c>
      <c r="G1711">
        <v>63590000</v>
      </c>
      <c r="H1711">
        <v>599</v>
      </c>
      <c r="I1711">
        <v>0</v>
      </c>
      <c r="J1711" s="2">
        <f t="shared" si="60"/>
        <v>0</v>
      </c>
      <c r="K1711">
        <v>1710</v>
      </c>
      <c r="L1711" s="3">
        <f>SUM($I$2:$I1711)</f>
        <v>6345680</v>
      </c>
      <c r="M1711" s="3">
        <f>SUM($J$2:$J1711)</f>
        <v>25360717.499999981</v>
      </c>
      <c r="N1711" s="2">
        <f>SUM($D$2:$D1711)</f>
        <v>15948.199999999984</v>
      </c>
      <c r="O1711" s="2">
        <f t="shared" si="61"/>
        <v>0.9504075593043777</v>
      </c>
      <c r="P1711" s="2" cm="1">
        <f t="array" ref="P1711">SUMPRODUCT((O1711&gt;$T$9:$T$14)*(O1711&lt;=$U$9:$U$14),$S$9:$S$14)</f>
        <v>5</v>
      </c>
    </row>
    <row r="1712" spans="1:16" x14ac:dyDescent="0.25">
      <c r="A1712">
        <v>174</v>
      </c>
      <c r="B1712">
        <v>970</v>
      </c>
      <c r="C1712">
        <v>1753</v>
      </c>
      <c r="D1712">
        <v>30.34</v>
      </c>
      <c r="E1712">
        <v>58140</v>
      </c>
      <c r="F1712">
        <v>18.5</v>
      </c>
      <c r="G1712">
        <v>58140185</v>
      </c>
      <c r="H1712">
        <v>556</v>
      </c>
      <c r="I1712">
        <v>0</v>
      </c>
      <c r="J1712" s="2">
        <f t="shared" si="60"/>
        <v>0</v>
      </c>
      <c r="K1712">
        <v>1711</v>
      </c>
      <c r="L1712" s="3">
        <f>SUM($I$2:$I1712)</f>
        <v>6345680</v>
      </c>
      <c r="M1712" s="3">
        <f>SUM($J$2:$J1712)</f>
        <v>25360717.499999981</v>
      </c>
      <c r="N1712" s="2">
        <f>SUM($D$2:$D1712)</f>
        <v>15978.539999999985</v>
      </c>
      <c r="O1712" s="2">
        <f t="shared" si="61"/>
        <v>0.95221562324571873</v>
      </c>
      <c r="P1712" s="2" cm="1">
        <f t="array" ref="P1712">SUMPRODUCT((O1712&gt;$T$9:$T$14)*(O1712&lt;=$U$9:$U$14),$S$9:$S$14)</f>
        <v>5</v>
      </c>
    </row>
    <row r="1713" spans="1:16" x14ac:dyDescent="0.25">
      <c r="A1713">
        <v>1141</v>
      </c>
      <c r="B1713">
        <v>767</v>
      </c>
      <c r="C1713">
        <v>483</v>
      </c>
      <c r="D1713">
        <v>29.35</v>
      </c>
      <c r="E1713">
        <v>17870</v>
      </c>
      <c r="F1713">
        <v>0</v>
      </c>
      <c r="G1713">
        <v>17870000</v>
      </c>
      <c r="H1713">
        <v>11</v>
      </c>
      <c r="I1713">
        <v>0</v>
      </c>
      <c r="J1713" s="2">
        <f t="shared" si="60"/>
        <v>0</v>
      </c>
      <c r="K1713">
        <v>1712</v>
      </c>
      <c r="L1713" s="3">
        <f>SUM($I$2:$I1713)</f>
        <v>6345680</v>
      </c>
      <c r="M1713" s="3">
        <f>SUM($J$2:$J1713)</f>
        <v>25360717.499999981</v>
      </c>
      <c r="N1713" s="2">
        <f>SUM($D$2:$D1713)</f>
        <v>16007.889999999985</v>
      </c>
      <c r="O1713" s="2">
        <f t="shared" si="61"/>
        <v>0.95396468971501203</v>
      </c>
      <c r="P1713" s="2" cm="1">
        <f t="array" ref="P1713">SUMPRODUCT((O1713&gt;$T$9:$T$14)*(O1713&lt;=$U$9:$U$14),$S$9:$S$14)</f>
        <v>5</v>
      </c>
    </row>
    <row r="1714" spans="1:16" x14ac:dyDescent="0.25">
      <c r="A1714">
        <v>190</v>
      </c>
      <c r="B1714">
        <v>985</v>
      </c>
      <c r="C1714">
        <v>1779</v>
      </c>
      <c r="D1714">
        <v>28.37</v>
      </c>
      <c r="E1714">
        <v>57110</v>
      </c>
      <c r="F1714">
        <v>3.1</v>
      </c>
      <c r="G1714">
        <v>57110031</v>
      </c>
      <c r="H1714">
        <v>548</v>
      </c>
      <c r="I1714">
        <v>0</v>
      </c>
      <c r="J1714" s="2">
        <f t="shared" si="60"/>
        <v>0</v>
      </c>
      <c r="K1714">
        <v>1713</v>
      </c>
      <c r="L1714" s="3">
        <f>SUM($I$2:$I1714)</f>
        <v>6345680</v>
      </c>
      <c r="M1714" s="3">
        <f>SUM($J$2:$J1714)</f>
        <v>25360717.499999981</v>
      </c>
      <c r="N1714" s="2">
        <f>SUM($D$2:$D1714)</f>
        <v>16036.259999999986</v>
      </c>
      <c r="O1714" s="2">
        <f t="shared" si="61"/>
        <v>0.95565535464631879</v>
      </c>
      <c r="P1714" s="2" cm="1">
        <f t="array" ref="P1714">SUMPRODUCT((O1714&gt;$T$9:$T$14)*(O1714&lt;=$U$9:$U$14),$S$9:$S$14)</f>
        <v>5</v>
      </c>
    </row>
    <row r="1715" spans="1:16" x14ac:dyDescent="0.25">
      <c r="A1715">
        <v>246</v>
      </c>
      <c r="B1715">
        <v>1041</v>
      </c>
      <c r="C1715">
        <v>1857</v>
      </c>
      <c r="D1715">
        <v>27.04</v>
      </c>
      <c r="E1715">
        <v>61900</v>
      </c>
      <c r="F1715">
        <v>14.1</v>
      </c>
      <c r="G1715">
        <v>61900141</v>
      </c>
      <c r="H1715">
        <v>587</v>
      </c>
      <c r="I1715">
        <v>0</v>
      </c>
      <c r="J1715" s="2">
        <f t="shared" si="60"/>
        <v>0</v>
      </c>
      <c r="K1715">
        <v>1714</v>
      </c>
      <c r="L1715" s="3">
        <f>SUM($I$2:$I1715)</f>
        <v>6345680</v>
      </c>
      <c r="M1715" s="3">
        <f>SUM($J$2:$J1715)</f>
        <v>25360717.499999981</v>
      </c>
      <c r="N1715" s="2">
        <f>SUM($D$2:$D1715)</f>
        <v>16063.299999999987</v>
      </c>
      <c r="O1715" s="2">
        <f t="shared" si="61"/>
        <v>0.9572667603475008</v>
      </c>
      <c r="P1715" s="2" cm="1">
        <f t="array" ref="P1715">SUMPRODUCT((O1715&gt;$T$9:$T$14)*(O1715&lt;=$U$9:$U$14),$S$9:$S$14)</f>
        <v>5</v>
      </c>
    </row>
    <row r="1716" spans="1:16" x14ac:dyDescent="0.25">
      <c r="A1716">
        <v>479</v>
      </c>
      <c r="B1716">
        <v>1266</v>
      </c>
      <c r="C1716">
        <v>663</v>
      </c>
      <c r="D1716">
        <v>25.18</v>
      </c>
      <c r="E1716">
        <v>17945</v>
      </c>
      <c r="F1716">
        <v>0</v>
      </c>
      <c r="G1716">
        <v>17945000</v>
      </c>
      <c r="H1716">
        <v>11</v>
      </c>
      <c r="I1716">
        <v>0</v>
      </c>
      <c r="J1716" s="2">
        <f t="shared" si="60"/>
        <v>0</v>
      </c>
      <c r="K1716">
        <v>1715</v>
      </c>
      <c r="L1716" s="3">
        <f>SUM($I$2:$I1716)</f>
        <v>6345680</v>
      </c>
      <c r="M1716" s="3">
        <f>SUM($J$2:$J1716)</f>
        <v>25360717.499999981</v>
      </c>
      <c r="N1716" s="2">
        <f>SUM($D$2:$D1716)</f>
        <v>16088.479999999987</v>
      </c>
      <c r="O1716" s="2">
        <f t="shared" si="61"/>
        <v>0.9587673223133204</v>
      </c>
      <c r="P1716" s="2" cm="1">
        <f t="array" ref="P1716">SUMPRODUCT((O1716&gt;$T$9:$T$14)*(O1716&lt;=$U$9:$U$14),$S$9:$S$14)</f>
        <v>5</v>
      </c>
    </row>
    <row r="1717" spans="1:16" x14ac:dyDescent="0.25">
      <c r="A1717">
        <v>1272</v>
      </c>
      <c r="B1717">
        <v>104</v>
      </c>
      <c r="C1717">
        <v>1181</v>
      </c>
      <c r="D1717">
        <v>24.31</v>
      </c>
      <c r="E1717">
        <v>41050</v>
      </c>
      <c r="F1717">
        <v>0</v>
      </c>
      <c r="G1717">
        <v>41050000</v>
      </c>
      <c r="H1717">
        <v>105</v>
      </c>
      <c r="I1717">
        <v>0</v>
      </c>
      <c r="J1717" s="2">
        <f t="shared" si="60"/>
        <v>0</v>
      </c>
      <c r="K1717">
        <v>1716</v>
      </c>
      <c r="L1717" s="3">
        <f>SUM($I$2:$I1717)</f>
        <v>6345680</v>
      </c>
      <c r="M1717" s="3">
        <f>SUM($J$2:$J1717)</f>
        <v>25360717.499999981</v>
      </c>
      <c r="N1717" s="2">
        <f>SUM($D$2:$D1717)</f>
        <v>16112.789999999986</v>
      </c>
      <c r="O1717" s="2">
        <f t="shared" si="61"/>
        <v>0.96021603801582533</v>
      </c>
      <c r="P1717" s="2" cm="1">
        <f t="array" ref="P1717">SUMPRODUCT((O1717&gt;$T$9:$T$14)*(O1717&lt;=$U$9:$U$14),$S$9:$S$14)</f>
        <v>5</v>
      </c>
    </row>
    <row r="1718" spans="1:16" x14ac:dyDescent="0.25">
      <c r="A1718">
        <v>556</v>
      </c>
      <c r="B1718">
        <v>1343</v>
      </c>
      <c r="C1718">
        <v>762</v>
      </c>
      <c r="D1718">
        <v>23.67</v>
      </c>
      <c r="E1718">
        <v>18020</v>
      </c>
      <c r="F1718">
        <v>0</v>
      </c>
      <c r="G1718">
        <v>18020000</v>
      </c>
      <c r="H1718">
        <v>11</v>
      </c>
      <c r="I1718">
        <v>0</v>
      </c>
      <c r="J1718" s="2">
        <f t="shared" si="60"/>
        <v>0</v>
      </c>
      <c r="K1718">
        <v>1717</v>
      </c>
      <c r="L1718" s="3">
        <f>SUM($I$2:$I1718)</f>
        <v>6345680</v>
      </c>
      <c r="M1718" s="3">
        <f>SUM($J$2:$J1718)</f>
        <v>25360717.499999981</v>
      </c>
      <c r="N1718" s="2">
        <f>SUM($D$2:$D1718)</f>
        <v>16136.459999999986</v>
      </c>
      <c r="O1718" s="2">
        <f t="shared" si="61"/>
        <v>0.96162661393842075</v>
      </c>
      <c r="P1718" s="2" cm="1">
        <f t="array" ref="P1718">SUMPRODUCT((O1718&gt;$T$9:$T$14)*(O1718&lt;=$U$9:$U$14),$S$9:$S$14)</f>
        <v>5</v>
      </c>
    </row>
    <row r="1719" spans="1:16" x14ac:dyDescent="0.25">
      <c r="A1719">
        <v>1136</v>
      </c>
      <c r="B1719">
        <v>762</v>
      </c>
      <c r="C1719">
        <v>477</v>
      </c>
      <c r="D1719">
        <v>19.829999999999998</v>
      </c>
      <c r="E1719">
        <v>17950</v>
      </c>
      <c r="F1719">
        <v>0</v>
      </c>
      <c r="G1719">
        <v>17950000</v>
      </c>
      <c r="H1719">
        <v>11</v>
      </c>
      <c r="I1719">
        <v>0</v>
      </c>
      <c r="J1719" s="2">
        <f t="shared" si="60"/>
        <v>0</v>
      </c>
      <c r="K1719">
        <v>1718</v>
      </c>
      <c r="L1719" s="3">
        <f>SUM($I$2:$I1719)</f>
        <v>6345680</v>
      </c>
      <c r="M1719" s="3">
        <f>SUM($J$2:$J1719)</f>
        <v>25360717.499999981</v>
      </c>
      <c r="N1719" s="2">
        <f>SUM($D$2:$D1719)</f>
        <v>16156.289999999986</v>
      </c>
      <c r="O1719" s="2">
        <f t="shared" si="61"/>
        <v>0.96280835118155816</v>
      </c>
      <c r="P1719" s="2" cm="1">
        <f t="array" ref="P1719">SUMPRODUCT((O1719&gt;$T$9:$T$14)*(O1719&lt;=$U$9:$U$14),$S$9:$S$14)</f>
        <v>5</v>
      </c>
    </row>
    <row r="1720" spans="1:16" x14ac:dyDescent="0.25">
      <c r="A1720">
        <v>1366</v>
      </c>
      <c r="B1720">
        <v>198</v>
      </c>
      <c r="C1720">
        <v>1304</v>
      </c>
      <c r="D1720">
        <v>18.260000000000002</v>
      </c>
      <c r="E1720">
        <v>40620</v>
      </c>
      <c r="F1720">
        <v>8.1</v>
      </c>
      <c r="G1720">
        <v>40620081</v>
      </c>
      <c r="H1720">
        <v>102</v>
      </c>
      <c r="I1720">
        <v>0</v>
      </c>
      <c r="J1720" s="2">
        <f t="shared" si="60"/>
        <v>0</v>
      </c>
      <c r="K1720">
        <v>1719</v>
      </c>
      <c r="L1720" s="3">
        <f>SUM($I$2:$I1720)</f>
        <v>6345680</v>
      </c>
      <c r="M1720" s="3">
        <f>SUM($J$2:$J1720)</f>
        <v>25360717.499999981</v>
      </c>
      <c r="N1720" s="2">
        <f>SUM($D$2:$D1720)</f>
        <v>16174.549999999987</v>
      </c>
      <c r="O1720" s="2">
        <f t="shared" si="61"/>
        <v>0.96389652677710491</v>
      </c>
      <c r="P1720" s="2" cm="1">
        <f t="array" ref="P1720">SUMPRODUCT((O1720&gt;$T$9:$T$14)*(O1720&lt;=$U$9:$U$14),$S$9:$S$14)</f>
        <v>5</v>
      </c>
    </row>
    <row r="1721" spans="1:16" x14ac:dyDescent="0.25">
      <c r="A1721">
        <v>702</v>
      </c>
      <c r="B1721">
        <v>1489</v>
      </c>
      <c r="C1721">
        <v>941</v>
      </c>
      <c r="D1721">
        <v>17.399999999999999</v>
      </c>
      <c r="E1721">
        <v>21580</v>
      </c>
      <c r="F1721">
        <v>4.5999999999999996</v>
      </c>
      <c r="G1721">
        <v>21580046</v>
      </c>
      <c r="H1721">
        <v>17</v>
      </c>
      <c r="I1721">
        <v>0</v>
      </c>
      <c r="J1721" s="2">
        <f t="shared" si="60"/>
        <v>0</v>
      </c>
      <c r="K1721">
        <v>1720</v>
      </c>
      <c r="L1721" s="3">
        <f>SUM($I$2:$I1721)</f>
        <v>6345680</v>
      </c>
      <c r="M1721" s="3">
        <f>SUM($J$2:$J1721)</f>
        <v>25360717.499999981</v>
      </c>
      <c r="N1721" s="2">
        <f>SUM($D$2:$D1721)</f>
        <v>16191.949999999986</v>
      </c>
      <c r="O1721" s="2">
        <f t="shared" si="61"/>
        <v>0.96493345204339809</v>
      </c>
      <c r="P1721" s="2" cm="1">
        <f t="array" ref="P1721">SUMPRODUCT((O1721&gt;$T$9:$T$14)*(O1721&lt;=$U$9:$U$14),$S$9:$S$14)</f>
        <v>5</v>
      </c>
    </row>
    <row r="1722" spans="1:16" x14ac:dyDescent="0.25">
      <c r="A1722">
        <v>416</v>
      </c>
      <c r="B1722">
        <v>1205</v>
      </c>
      <c r="C1722">
        <v>580</v>
      </c>
      <c r="D1722">
        <v>17.05</v>
      </c>
      <c r="E1722">
        <v>14090</v>
      </c>
      <c r="F1722">
        <v>3.7</v>
      </c>
      <c r="G1722">
        <v>14090037</v>
      </c>
      <c r="H1722">
        <v>7</v>
      </c>
      <c r="I1722">
        <v>0</v>
      </c>
      <c r="J1722" s="2">
        <f t="shared" si="60"/>
        <v>0</v>
      </c>
      <c r="K1722">
        <v>1721</v>
      </c>
      <c r="L1722" s="3">
        <f>SUM($I$2:$I1722)</f>
        <v>6345680</v>
      </c>
      <c r="M1722" s="3">
        <f>SUM($J$2:$J1722)</f>
        <v>25360717.499999981</v>
      </c>
      <c r="N1722" s="2">
        <f>SUM($D$2:$D1722)</f>
        <v>16208.999999999985</v>
      </c>
      <c r="O1722" s="2">
        <f t="shared" si="61"/>
        <v>0.96594951961755304</v>
      </c>
      <c r="P1722" s="2" cm="1">
        <f t="array" ref="P1722">SUMPRODUCT((O1722&gt;$T$9:$T$14)*(O1722&lt;=$U$9:$U$14),$S$9:$S$14)</f>
        <v>5</v>
      </c>
    </row>
    <row r="1723" spans="1:16" x14ac:dyDescent="0.25">
      <c r="A1723">
        <v>1386</v>
      </c>
      <c r="B1723">
        <v>218</v>
      </c>
      <c r="C1723">
        <v>1331</v>
      </c>
      <c r="D1723">
        <v>16.739999999999998</v>
      </c>
      <c r="E1723">
        <v>35550</v>
      </c>
      <c r="F1723">
        <v>0</v>
      </c>
      <c r="G1723">
        <v>35550000</v>
      </c>
      <c r="H1723">
        <v>69</v>
      </c>
      <c r="I1723">
        <v>0</v>
      </c>
      <c r="J1723" s="2">
        <f t="shared" si="60"/>
        <v>0</v>
      </c>
      <c r="K1723">
        <v>1722</v>
      </c>
      <c r="L1723" s="3">
        <f>SUM($I$2:$I1723)</f>
        <v>6345680</v>
      </c>
      <c r="M1723" s="3">
        <f>SUM($J$2:$J1723)</f>
        <v>25360717.499999981</v>
      </c>
      <c r="N1723" s="2">
        <f>SUM($D$2:$D1723)</f>
        <v>16225.739999999985</v>
      </c>
      <c r="O1723" s="2">
        <f t="shared" si="61"/>
        <v>0.96694711323581439</v>
      </c>
      <c r="P1723" s="2" cm="1">
        <f t="array" ref="P1723">SUMPRODUCT((O1723&gt;$T$9:$T$14)*(O1723&lt;=$U$9:$U$14),$S$9:$S$14)</f>
        <v>5</v>
      </c>
    </row>
    <row r="1724" spans="1:16" x14ac:dyDescent="0.25">
      <c r="A1724">
        <v>701</v>
      </c>
      <c r="B1724">
        <v>1488</v>
      </c>
      <c r="C1724">
        <v>940</v>
      </c>
      <c r="D1724">
        <v>16.63</v>
      </c>
      <c r="E1724">
        <v>17920</v>
      </c>
      <c r="F1724">
        <v>1.3</v>
      </c>
      <c r="G1724">
        <v>17920013</v>
      </c>
      <c r="H1724">
        <v>11</v>
      </c>
      <c r="I1724">
        <v>0</v>
      </c>
      <c r="J1724" s="2">
        <f t="shared" si="60"/>
        <v>0</v>
      </c>
      <c r="K1724">
        <v>1723</v>
      </c>
      <c r="L1724" s="3">
        <f>SUM($I$2:$I1724)</f>
        <v>6345680</v>
      </c>
      <c r="M1724" s="3">
        <f>SUM($J$2:$J1724)</f>
        <v>25360717.499999981</v>
      </c>
      <c r="N1724" s="2">
        <f>SUM($D$2:$D1724)</f>
        <v>16242.369999999984</v>
      </c>
      <c r="O1724" s="2">
        <f t="shared" si="61"/>
        <v>0.96793815157940366</v>
      </c>
      <c r="P1724" s="2" cm="1">
        <f t="array" ref="P1724">SUMPRODUCT((O1724&gt;$T$9:$T$14)*(O1724&lt;=$U$9:$U$14),$S$9:$S$14)</f>
        <v>5</v>
      </c>
    </row>
    <row r="1725" spans="1:16" x14ac:dyDescent="0.25">
      <c r="A1725">
        <v>906</v>
      </c>
      <c r="B1725">
        <v>532</v>
      </c>
      <c r="C1725">
        <v>172</v>
      </c>
      <c r="D1725">
        <v>16.38</v>
      </c>
      <c r="E1725">
        <v>17920</v>
      </c>
      <c r="F1725">
        <v>17.899999999999999</v>
      </c>
      <c r="G1725">
        <v>17920179</v>
      </c>
      <c r="H1725">
        <v>11</v>
      </c>
      <c r="I1725">
        <v>0</v>
      </c>
      <c r="J1725" s="2">
        <f t="shared" si="60"/>
        <v>0</v>
      </c>
      <c r="K1725">
        <v>1724</v>
      </c>
      <c r="L1725" s="3">
        <f>SUM($I$2:$I1725)</f>
        <v>6345680</v>
      </c>
      <c r="M1725" s="3">
        <f>SUM($J$2:$J1725)</f>
        <v>25360717.499999981</v>
      </c>
      <c r="N1725" s="2">
        <f>SUM($D$2:$D1725)</f>
        <v>16258.749999999984</v>
      </c>
      <c r="O1725" s="2">
        <f t="shared" si="61"/>
        <v>0.9689142915714658</v>
      </c>
      <c r="P1725" s="2" cm="1">
        <f t="array" ref="P1725">SUMPRODUCT((O1725&gt;$T$9:$T$14)*(O1725&lt;=$U$9:$U$14),$S$9:$S$14)</f>
        <v>5</v>
      </c>
    </row>
    <row r="1726" spans="1:16" x14ac:dyDescent="0.25">
      <c r="A1726">
        <v>305</v>
      </c>
      <c r="B1726">
        <v>1100</v>
      </c>
      <c r="C1726">
        <v>1939</v>
      </c>
      <c r="D1726">
        <v>15.72</v>
      </c>
      <c r="E1726">
        <v>73720</v>
      </c>
      <c r="F1726">
        <v>0</v>
      </c>
      <c r="G1726">
        <v>73720000</v>
      </c>
      <c r="H1726">
        <v>7042</v>
      </c>
      <c r="I1726">
        <v>0</v>
      </c>
      <c r="J1726" s="2">
        <f t="shared" si="60"/>
        <v>0</v>
      </c>
      <c r="K1726">
        <v>1725</v>
      </c>
      <c r="L1726" s="3">
        <f>SUM($I$2:$I1726)</f>
        <v>6345680</v>
      </c>
      <c r="M1726" s="3">
        <f>SUM($J$2:$J1726)</f>
        <v>25360717.499999981</v>
      </c>
      <c r="N1726" s="2">
        <f>SUM($D$2:$D1726)</f>
        <v>16274.469999999983</v>
      </c>
      <c r="O1726" s="2">
        <f t="shared" si="61"/>
        <v>0.96985109991549612</v>
      </c>
      <c r="P1726" s="2" cm="1">
        <f t="array" ref="P1726">SUMPRODUCT((O1726&gt;$T$9:$T$14)*(O1726&lt;=$U$9:$U$14),$S$9:$S$14)</f>
        <v>5</v>
      </c>
    </row>
    <row r="1727" spans="1:16" x14ac:dyDescent="0.25">
      <c r="A1727">
        <v>1094</v>
      </c>
      <c r="B1727">
        <v>720</v>
      </c>
      <c r="C1727">
        <v>423</v>
      </c>
      <c r="D1727">
        <v>14.73</v>
      </c>
      <c r="E1727">
        <v>18042</v>
      </c>
      <c r="F1727">
        <v>0</v>
      </c>
      <c r="G1727">
        <v>18042000</v>
      </c>
      <c r="H1727">
        <v>11</v>
      </c>
      <c r="I1727">
        <v>0</v>
      </c>
      <c r="J1727" s="2">
        <f t="shared" si="60"/>
        <v>0</v>
      </c>
      <c r="K1727">
        <v>1726</v>
      </c>
      <c r="L1727" s="3">
        <f>SUM($I$2:$I1727)</f>
        <v>6345680</v>
      </c>
      <c r="M1727" s="3">
        <f>SUM($J$2:$J1727)</f>
        <v>25360717.499999981</v>
      </c>
      <c r="N1727" s="2">
        <f>SUM($D$2:$D1727)</f>
        <v>16289.199999999983</v>
      </c>
      <c r="O1727" s="2">
        <f t="shared" si="61"/>
        <v>0.97072891078747869</v>
      </c>
      <c r="P1727" s="2" cm="1">
        <f t="array" ref="P1727">SUMPRODUCT((O1727&gt;$T$9:$T$14)*(O1727&lt;=$U$9:$U$14),$S$9:$S$14)</f>
        <v>5</v>
      </c>
    </row>
    <row r="1728" spans="1:16" x14ac:dyDescent="0.25">
      <c r="A1728">
        <v>703</v>
      </c>
      <c r="B1728">
        <v>1490</v>
      </c>
      <c r="C1728">
        <v>942</v>
      </c>
      <c r="D1728">
        <v>14.56</v>
      </c>
      <c r="E1728">
        <v>21600</v>
      </c>
      <c r="F1728">
        <v>0</v>
      </c>
      <c r="G1728">
        <v>21600000</v>
      </c>
      <c r="H1728">
        <v>17</v>
      </c>
      <c r="I1728">
        <v>0</v>
      </c>
      <c r="J1728" s="2">
        <f t="shared" si="60"/>
        <v>0</v>
      </c>
      <c r="K1728">
        <v>1727</v>
      </c>
      <c r="L1728" s="3">
        <f>SUM($I$2:$I1728)</f>
        <v>6345680</v>
      </c>
      <c r="M1728" s="3">
        <f>SUM($J$2:$J1728)</f>
        <v>25360717.499999981</v>
      </c>
      <c r="N1728" s="2">
        <f>SUM($D$2:$D1728)</f>
        <v>16303.759999999982</v>
      </c>
      <c r="O1728" s="2">
        <f t="shared" si="61"/>
        <v>0.97159659078042282</v>
      </c>
      <c r="P1728" s="2" cm="1">
        <f t="array" ref="P1728">SUMPRODUCT((O1728&gt;$T$9:$T$14)*(O1728&lt;=$U$9:$U$14),$S$9:$S$14)</f>
        <v>5</v>
      </c>
    </row>
    <row r="1729" spans="1:16" x14ac:dyDescent="0.25">
      <c r="A1729">
        <v>293</v>
      </c>
      <c r="B1729">
        <v>1088</v>
      </c>
      <c r="C1729">
        <v>1920</v>
      </c>
      <c r="D1729">
        <v>14.04</v>
      </c>
      <c r="E1729">
        <v>66830</v>
      </c>
      <c r="F1729">
        <v>0</v>
      </c>
      <c r="G1729">
        <v>66830000</v>
      </c>
      <c r="H1729">
        <v>621</v>
      </c>
      <c r="I1729">
        <v>0</v>
      </c>
      <c r="J1729" s="2">
        <f t="shared" si="60"/>
        <v>0</v>
      </c>
      <c r="K1729">
        <v>1728</v>
      </c>
      <c r="L1729" s="3">
        <f>SUM($I$2:$I1729)</f>
        <v>6345680</v>
      </c>
      <c r="M1729" s="3">
        <f>SUM($J$2:$J1729)</f>
        <v>25360717.499999981</v>
      </c>
      <c r="N1729" s="2">
        <f>SUM($D$2:$D1729)</f>
        <v>16317.799999999983</v>
      </c>
      <c r="O1729" s="2">
        <f t="shared" si="61"/>
        <v>0.9724332822021905</v>
      </c>
      <c r="P1729" s="2" cm="1">
        <f t="array" ref="P1729">SUMPRODUCT((O1729&gt;$T$9:$T$14)*(O1729&lt;=$U$9:$U$14),$S$9:$S$14)</f>
        <v>5</v>
      </c>
    </row>
    <row r="1730" spans="1:16" x14ac:dyDescent="0.25">
      <c r="A1730">
        <v>1171</v>
      </c>
      <c r="B1730">
        <v>797</v>
      </c>
      <c r="C1730">
        <v>519</v>
      </c>
      <c r="D1730">
        <v>13.73</v>
      </c>
      <c r="E1730">
        <v>21980</v>
      </c>
      <c r="F1730">
        <v>1</v>
      </c>
      <c r="G1730">
        <v>21980010</v>
      </c>
      <c r="H1730">
        <v>17</v>
      </c>
      <c r="I1730">
        <v>0</v>
      </c>
      <c r="J1730" s="2">
        <f t="shared" ref="J1730:J1793" si="62">I1730*D1730</f>
        <v>0</v>
      </c>
      <c r="K1730">
        <v>1729</v>
      </c>
      <c r="L1730" s="3">
        <f>SUM($I$2:$I1730)</f>
        <v>6345680</v>
      </c>
      <c r="M1730" s="3">
        <f>SUM($J$2:$J1730)</f>
        <v>25360717.499999981</v>
      </c>
      <c r="N1730" s="2">
        <f>SUM($D$2:$D1730)</f>
        <v>16331.529999999982</v>
      </c>
      <c r="O1730" s="2">
        <f t="shared" ref="O1730:O1793" si="63">N1730/$T$4</f>
        <v>0.97325149966806423</v>
      </c>
      <c r="P1730" s="2" cm="1">
        <f t="array" ref="P1730">SUMPRODUCT((O1730&gt;$T$9:$T$14)*(O1730&lt;=$U$9:$U$14),$S$9:$S$14)</f>
        <v>5</v>
      </c>
    </row>
    <row r="1731" spans="1:16" x14ac:dyDescent="0.25">
      <c r="A1731">
        <v>1062</v>
      </c>
      <c r="B1731">
        <v>688</v>
      </c>
      <c r="C1731">
        <v>377</v>
      </c>
      <c r="D1731">
        <v>13.46</v>
      </c>
      <c r="E1731">
        <v>21930</v>
      </c>
      <c r="F1731">
        <v>0</v>
      </c>
      <c r="G1731">
        <v>21930000</v>
      </c>
      <c r="H1731">
        <v>17</v>
      </c>
      <c r="I1731">
        <v>0</v>
      </c>
      <c r="J1731" s="2">
        <f t="shared" si="62"/>
        <v>0</v>
      </c>
      <c r="K1731">
        <v>1730</v>
      </c>
      <c r="L1731" s="3">
        <f>SUM($I$2:$I1731)</f>
        <v>6345680</v>
      </c>
      <c r="M1731" s="3">
        <f>SUM($J$2:$J1731)</f>
        <v>25360717.499999981</v>
      </c>
      <c r="N1731" s="2">
        <f>SUM($D$2:$D1731)</f>
        <v>16344.989999999982</v>
      </c>
      <c r="O1731" s="2">
        <f t="shared" si="63"/>
        <v>0.97405362691428865</v>
      </c>
      <c r="P1731" s="2" cm="1">
        <f t="array" ref="P1731">SUMPRODUCT((O1731&gt;$T$9:$T$14)*(O1731&lt;=$U$9:$U$14),$S$9:$S$14)</f>
        <v>5</v>
      </c>
    </row>
    <row r="1732" spans="1:16" x14ac:dyDescent="0.25">
      <c r="A1732">
        <v>200</v>
      </c>
      <c r="B1732">
        <v>995</v>
      </c>
      <c r="C1732">
        <v>1791</v>
      </c>
      <c r="D1732">
        <v>12.81</v>
      </c>
      <c r="E1732">
        <v>65300</v>
      </c>
      <c r="F1732">
        <v>3.1</v>
      </c>
      <c r="G1732">
        <v>65300031</v>
      </c>
      <c r="H1732">
        <v>609</v>
      </c>
      <c r="I1732">
        <v>0</v>
      </c>
      <c r="J1732" s="2">
        <f t="shared" si="62"/>
        <v>0</v>
      </c>
      <c r="K1732">
        <v>1731</v>
      </c>
      <c r="L1732" s="3">
        <f>SUM($I$2:$I1732)</f>
        <v>6345680</v>
      </c>
      <c r="M1732" s="3">
        <f>SUM($J$2:$J1732)</f>
        <v>25360717.499999981</v>
      </c>
      <c r="N1732" s="2">
        <f>SUM($D$2:$D1732)</f>
        <v>16357.799999999981</v>
      </c>
      <c r="O1732" s="2">
        <f t="shared" si="63"/>
        <v>0.97481701844654234</v>
      </c>
      <c r="P1732" s="2" cm="1">
        <f t="array" ref="P1732">SUMPRODUCT((O1732&gt;$T$9:$T$14)*(O1732&lt;=$U$9:$U$14),$S$9:$S$14)</f>
        <v>5</v>
      </c>
    </row>
    <row r="1733" spans="1:16" x14ac:dyDescent="0.25">
      <c r="A1733">
        <v>639</v>
      </c>
      <c r="B1733">
        <v>1426</v>
      </c>
      <c r="C1733">
        <v>866</v>
      </c>
      <c r="D1733">
        <v>12.43</v>
      </c>
      <c r="E1733">
        <v>18290</v>
      </c>
      <c r="F1733">
        <v>0</v>
      </c>
      <c r="G1733">
        <v>18290000</v>
      </c>
      <c r="H1733">
        <v>11</v>
      </c>
      <c r="I1733">
        <v>0</v>
      </c>
      <c r="J1733" s="2">
        <f t="shared" si="62"/>
        <v>0</v>
      </c>
      <c r="K1733">
        <v>1732</v>
      </c>
      <c r="L1733" s="3">
        <f>SUM($I$2:$I1733)</f>
        <v>6345680</v>
      </c>
      <c r="M1733" s="3">
        <f>SUM($J$2:$J1733)</f>
        <v>25360717.499999981</v>
      </c>
      <c r="N1733" s="2">
        <f>SUM($D$2:$D1733)</f>
        <v>16370.229999999981</v>
      </c>
      <c r="O1733" s="2">
        <f t="shared" si="63"/>
        <v>0.97555776448447473</v>
      </c>
      <c r="P1733" s="2" cm="1">
        <f t="array" ref="P1733">SUMPRODUCT((O1733&gt;$T$9:$T$14)*(O1733&lt;=$U$9:$U$14),$S$9:$S$14)</f>
        <v>5</v>
      </c>
    </row>
    <row r="1734" spans="1:16" x14ac:dyDescent="0.25">
      <c r="A1734">
        <v>422</v>
      </c>
      <c r="B1734">
        <v>1209</v>
      </c>
      <c r="C1734">
        <v>586</v>
      </c>
      <c r="D1734">
        <v>12.12</v>
      </c>
      <c r="E1734">
        <v>21590</v>
      </c>
      <c r="F1734">
        <v>2.1</v>
      </c>
      <c r="G1734">
        <v>21590021</v>
      </c>
      <c r="H1734">
        <v>17</v>
      </c>
      <c r="I1734">
        <v>0</v>
      </c>
      <c r="J1734" s="2">
        <f t="shared" si="62"/>
        <v>0</v>
      </c>
      <c r="K1734">
        <v>1733</v>
      </c>
      <c r="L1734" s="3">
        <f>SUM($I$2:$I1734)</f>
        <v>6345680</v>
      </c>
      <c r="M1734" s="3">
        <f>SUM($J$2:$J1734)</f>
        <v>25360717.499999981</v>
      </c>
      <c r="N1734" s="2">
        <f>SUM($D$2:$D1734)</f>
        <v>16382.349999999982</v>
      </c>
      <c r="O1734" s="2">
        <f t="shared" si="63"/>
        <v>0.97628003656651352</v>
      </c>
      <c r="P1734" s="2" cm="1">
        <f t="array" ref="P1734">SUMPRODUCT((O1734&gt;$T$9:$T$14)*(O1734&lt;=$U$9:$U$14),$S$9:$S$14)</f>
        <v>5</v>
      </c>
    </row>
    <row r="1735" spans="1:16" x14ac:dyDescent="0.25">
      <c r="A1735">
        <v>1285</v>
      </c>
      <c r="B1735">
        <v>117</v>
      </c>
      <c r="C1735">
        <v>1201</v>
      </c>
      <c r="D1735">
        <v>11.42</v>
      </c>
      <c r="E1735">
        <v>34700</v>
      </c>
      <c r="F1735">
        <v>5.7</v>
      </c>
      <c r="G1735">
        <v>34700057</v>
      </c>
      <c r="H1735">
        <v>66</v>
      </c>
      <c r="I1735">
        <v>0</v>
      </c>
      <c r="J1735" s="2">
        <f t="shared" si="62"/>
        <v>0</v>
      </c>
      <c r="K1735">
        <v>1734</v>
      </c>
      <c r="L1735" s="3">
        <f>SUM($I$2:$I1735)</f>
        <v>6345680</v>
      </c>
      <c r="M1735" s="3">
        <f>SUM($J$2:$J1735)</f>
        <v>25360717.499999981</v>
      </c>
      <c r="N1735" s="2">
        <f>SUM($D$2:$D1735)</f>
        <v>16393.769999999982</v>
      </c>
      <c r="O1735" s="2">
        <f t="shared" si="63"/>
        <v>0.97696059326427598</v>
      </c>
      <c r="P1735" s="2" cm="1">
        <f t="array" ref="P1735">SUMPRODUCT((O1735&gt;$T$9:$T$14)*(O1735&lt;=$U$9:$U$14),$S$9:$S$14)</f>
        <v>5</v>
      </c>
    </row>
    <row r="1736" spans="1:16" x14ac:dyDescent="0.25">
      <c r="A1736">
        <v>576</v>
      </c>
      <c r="B1736">
        <v>1363</v>
      </c>
      <c r="C1736">
        <v>786</v>
      </c>
      <c r="D1736">
        <v>11.36</v>
      </c>
      <c r="E1736">
        <v>18150</v>
      </c>
      <c r="F1736">
        <v>0</v>
      </c>
      <c r="G1736">
        <v>18150000</v>
      </c>
      <c r="H1736">
        <v>11</v>
      </c>
      <c r="I1736">
        <v>0</v>
      </c>
      <c r="J1736" s="2">
        <f t="shared" si="62"/>
        <v>0</v>
      </c>
      <c r="K1736">
        <v>1735</v>
      </c>
      <c r="L1736" s="3">
        <f>SUM($I$2:$I1736)</f>
        <v>6345680</v>
      </c>
      <c r="M1736" s="3">
        <f>SUM($J$2:$J1736)</f>
        <v>25360717.499999981</v>
      </c>
      <c r="N1736" s="2">
        <f>SUM($D$2:$D1736)</f>
        <v>16405.129999999983</v>
      </c>
      <c r="O1736" s="2">
        <f t="shared" si="63"/>
        <v>0.97763757435767207</v>
      </c>
      <c r="P1736" s="2" cm="1">
        <f t="array" ref="P1736">SUMPRODUCT((O1736&gt;$T$9:$T$14)*(O1736&lt;=$U$9:$U$14),$S$9:$S$14)</f>
        <v>5</v>
      </c>
    </row>
    <row r="1737" spans="1:16" x14ac:dyDescent="0.25">
      <c r="A1737">
        <v>312</v>
      </c>
      <c r="B1737">
        <v>1107</v>
      </c>
      <c r="C1737">
        <v>1947</v>
      </c>
      <c r="D1737">
        <v>10.84</v>
      </c>
      <c r="E1737">
        <v>72420</v>
      </c>
      <c r="F1737">
        <v>0</v>
      </c>
      <c r="G1737">
        <v>72420000</v>
      </c>
      <c r="H1737">
        <v>802</v>
      </c>
      <c r="I1737">
        <v>0</v>
      </c>
      <c r="J1737" s="2">
        <f t="shared" si="62"/>
        <v>0</v>
      </c>
      <c r="K1737">
        <v>1736</v>
      </c>
      <c r="L1737" s="3">
        <f>SUM($I$2:$I1737)</f>
        <v>6345680</v>
      </c>
      <c r="M1737" s="3">
        <f>SUM($J$2:$J1737)</f>
        <v>25360717.499999981</v>
      </c>
      <c r="N1737" s="2">
        <f>SUM($D$2:$D1737)</f>
        <v>16415.969999999983</v>
      </c>
      <c r="O1737" s="2">
        <f t="shared" si="63"/>
        <v>0.97828356687989149</v>
      </c>
      <c r="P1737" s="2" cm="1">
        <f t="array" ref="P1737">SUMPRODUCT((O1737&gt;$T$9:$T$14)*(O1737&lt;=$U$9:$U$14),$S$9:$S$14)</f>
        <v>5</v>
      </c>
    </row>
    <row r="1738" spans="1:16" x14ac:dyDescent="0.25">
      <c r="A1738">
        <v>103</v>
      </c>
      <c r="B1738">
        <v>899</v>
      </c>
      <c r="C1738">
        <v>1657</v>
      </c>
      <c r="D1738">
        <v>10.58</v>
      </c>
      <c r="E1738">
        <v>50881</v>
      </c>
      <c r="F1738">
        <v>14.1</v>
      </c>
      <c r="G1738">
        <v>50881141</v>
      </c>
      <c r="H1738">
        <v>502</v>
      </c>
      <c r="I1738">
        <v>0</v>
      </c>
      <c r="J1738" s="2">
        <f t="shared" si="62"/>
        <v>0</v>
      </c>
      <c r="K1738">
        <v>1737</v>
      </c>
      <c r="L1738" s="3">
        <f>SUM($I$2:$I1738)</f>
        <v>6345680</v>
      </c>
      <c r="M1738" s="3">
        <f>SUM($J$2:$J1738)</f>
        <v>25360717.499999981</v>
      </c>
      <c r="N1738" s="2">
        <f>SUM($D$2:$D1738)</f>
        <v>16426.549999999985</v>
      </c>
      <c r="O1738" s="2">
        <f t="shared" si="63"/>
        <v>0.97891406511652268</v>
      </c>
      <c r="P1738" s="2" cm="1">
        <f t="array" ref="P1738">SUMPRODUCT((O1738&gt;$T$9:$T$14)*(O1738&lt;=$U$9:$U$14),$S$9:$S$14)</f>
        <v>5</v>
      </c>
    </row>
    <row r="1739" spans="1:16" x14ac:dyDescent="0.25">
      <c r="A1739">
        <v>645</v>
      </c>
      <c r="B1739">
        <v>1432</v>
      </c>
      <c r="C1739">
        <v>872</v>
      </c>
      <c r="D1739">
        <v>10.24</v>
      </c>
      <c r="E1739">
        <v>21970</v>
      </c>
      <c r="F1739">
        <v>0</v>
      </c>
      <c r="G1739">
        <v>21970000</v>
      </c>
      <c r="H1739">
        <v>17</v>
      </c>
      <c r="I1739">
        <v>0</v>
      </c>
      <c r="J1739" s="2">
        <f t="shared" si="62"/>
        <v>0</v>
      </c>
      <c r="K1739">
        <v>1738</v>
      </c>
      <c r="L1739" s="3">
        <f>SUM($I$2:$I1739)</f>
        <v>6345680</v>
      </c>
      <c r="M1739" s="3">
        <f>SUM($J$2:$J1739)</f>
        <v>25360717.499999981</v>
      </c>
      <c r="N1739" s="2">
        <f>SUM($D$2:$D1739)</f>
        <v>16436.789999999986</v>
      </c>
      <c r="O1739" s="2">
        <f t="shared" si="63"/>
        <v>0.97952430159507686</v>
      </c>
      <c r="P1739" s="2" cm="1">
        <f t="array" ref="P1739">SUMPRODUCT((O1739&gt;$T$9:$T$14)*(O1739&lt;=$U$9:$U$14),$S$9:$S$14)</f>
        <v>5</v>
      </c>
    </row>
    <row r="1740" spans="1:16" x14ac:dyDescent="0.25">
      <c r="A1740">
        <v>753</v>
      </c>
      <c r="B1740">
        <v>1540</v>
      </c>
      <c r="C1740">
        <v>1004</v>
      </c>
      <c r="D1740">
        <v>10.23</v>
      </c>
      <c r="E1740">
        <v>33250</v>
      </c>
      <c r="F1740">
        <v>3.1</v>
      </c>
      <c r="G1740">
        <v>33250031</v>
      </c>
      <c r="H1740">
        <v>60</v>
      </c>
      <c r="I1740">
        <v>0</v>
      </c>
      <c r="J1740" s="2">
        <f t="shared" si="62"/>
        <v>0</v>
      </c>
      <c r="K1740">
        <v>1739</v>
      </c>
      <c r="L1740" s="3">
        <f>SUM($I$2:$I1740)</f>
        <v>6345680</v>
      </c>
      <c r="M1740" s="3">
        <f>SUM($J$2:$J1740)</f>
        <v>25360717.499999981</v>
      </c>
      <c r="N1740" s="2">
        <f>SUM($D$2:$D1740)</f>
        <v>16447.019999999986</v>
      </c>
      <c r="O1740" s="2">
        <f t="shared" si="63"/>
        <v>0.98013394213956984</v>
      </c>
      <c r="P1740" s="2" cm="1">
        <f t="array" ref="P1740">SUMPRODUCT((O1740&gt;$T$9:$T$14)*(O1740&lt;=$U$9:$U$14),$S$9:$S$14)</f>
        <v>5</v>
      </c>
    </row>
    <row r="1741" spans="1:16" x14ac:dyDescent="0.25">
      <c r="A1741">
        <v>1502</v>
      </c>
      <c r="B1741">
        <v>334</v>
      </c>
      <c r="C1741">
        <v>1473</v>
      </c>
      <c r="D1741">
        <v>10.210000000000001</v>
      </c>
      <c r="E1741">
        <v>43800</v>
      </c>
      <c r="F1741">
        <v>3.5</v>
      </c>
      <c r="G1741">
        <v>43800035</v>
      </c>
      <c r="H1741">
        <v>125</v>
      </c>
      <c r="I1741">
        <v>0</v>
      </c>
      <c r="J1741" s="2">
        <f t="shared" si="62"/>
        <v>0</v>
      </c>
      <c r="K1741">
        <v>1740</v>
      </c>
      <c r="L1741" s="3">
        <f>SUM($I$2:$I1741)</f>
        <v>6345680</v>
      </c>
      <c r="M1741" s="3">
        <f>SUM($J$2:$J1741)</f>
        <v>25360717.499999981</v>
      </c>
      <c r="N1741" s="2">
        <f>SUM($D$2:$D1741)</f>
        <v>16457.229999999985</v>
      </c>
      <c r="O1741" s="2">
        <f t="shared" si="63"/>
        <v>0.98074239081594072</v>
      </c>
      <c r="P1741" s="2" cm="1">
        <f t="array" ref="P1741">SUMPRODUCT((O1741&gt;$T$9:$T$14)*(O1741&lt;=$U$9:$U$14),$S$9:$S$14)</f>
        <v>5</v>
      </c>
    </row>
    <row r="1742" spans="1:16" x14ac:dyDescent="0.25">
      <c r="A1742">
        <v>265</v>
      </c>
      <c r="B1742">
        <v>1060</v>
      </c>
      <c r="C1742">
        <v>1880</v>
      </c>
      <c r="D1742">
        <v>10.210000000000001</v>
      </c>
      <c r="E1742">
        <v>69510</v>
      </c>
      <c r="F1742">
        <v>0</v>
      </c>
      <c r="G1742">
        <v>69510000</v>
      </c>
      <c r="H1742">
        <v>642</v>
      </c>
      <c r="I1742">
        <v>0</v>
      </c>
      <c r="J1742" s="2">
        <f t="shared" si="62"/>
        <v>0</v>
      </c>
      <c r="K1742">
        <v>1741</v>
      </c>
      <c r="L1742" s="3">
        <f>SUM($I$2:$I1742)</f>
        <v>6345680</v>
      </c>
      <c r="M1742" s="3">
        <f>SUM($J$2:$J1742)</f>
        <v>25360717.499999981</v>
      </c>
      <c r="N1742" s="2">
        <f>SUM($D$2:$D1742)</f>
        <v>16467.439999999984</v>
      </c>
      <c r="O1742" s="2">
        <f t="shared" si="63"/>
        <v>0.9813508394923115</v>
      </c>
      <c r="P1742" s="2" cm="1">
        <f t="array" ref="P1742">SUMPRODUCT((O1742&gt;$T$9:$T$14)*(O1742&lt;=$U$9:$U$14),$S$9:$S$14)</f>
        <v>5</v>
      </c>
    </row>
    <row r="1743" spans="1:16" x14ac:dyDescent="0.25">
      <c r="A1743">
        <v>1709</v>
      </c>
      <c r="B1743">
        <v>1709</v>
      </c>
      <c r="C1743">
        <v>2214</v>
      </c>
      <c r="D1743">
        <v>8.9499999999999993</v>
      </c>
      <c r="E1743">
        <v>55030</v>
      </c>
      <c r="F1743">
        <v>0</v>
      </c>
      <c r="G1743">
        <v>55030000</v>
      </c>
      <c r="H1743">
        <v>534</v>
      </c>
      <c r="I1743">
        <v>0</v>
      </c>
      <c r="J1743" s="2">
        <f t="shared" si="62"/>
        <v>0</v>
      </c>
      <c r="K1743">
        <v>1742</v>
      </c>
      <c r="L1743" s="3">
        <f>SUM($I$2:$I1743)</f>
        <v>6345680</v>
      </c>
      <c r="M1743" s="3">
        <f>SUM($J$2:$J1743)</f>
        <v>25360717.499999981</v>
      </c>
      <c r="N1743" s="2">
        <f>SUM($D$2:$D1743)</f>
        <v>16476.389999999985</v>
      </c>
      <c r="O1743" s="2">
        <f t="shared" si="63"/>
        <v>0.98188420047698532</v>
      </c>
      <c r="P1743" s="2" cm="1">
        <f t="array" ref="P1743">SUMPRODUCT((O1743&gt;$T$9:$T$14)*(O1743&lt;=$U$9:$U$14),$S$9:$S$14)</f>
        <v>5</v>
      </c>
    </row>
    <row r="1744" spans="1:16" x14ac:dyDescent="0.25">
      <c r="A1744">
        <v>227</v>
      </c>
      <c r="B1744">
        <v>1022</v>
      </c>
      <c r="C1744">
        <v>1831</v>
      </c>
      <c r="D1744">
        <v>8.6199999999999992</v>
      </c>
      <c r="E1744">
        <v>62820</v>
      </c>
      <c r="F1744">
        <v>0</v>
      </c>
      <c r="G1744">
        <v>62820000</v>
      </c>
      <c r="H1744">
        <v>594</v>
      </c>
      <c r="I1744">
        <v>0</v>
      </c>
      <c r="J1744" s="2">
        <f t="shared" si="62"/>
        <v>0</v>
      </c>
      <c r="K1744">
        <v>1743</v>
      </c>
      <c r="L1744" s="3">
        <f>SUM($I$2:$I1744)</f>
        <v>6345680</v>
      </c>
      <c r="M1744" s="3">
        <f>SUM($J$2:$J1744)</f>
        <v>25360717.499999981</v>
      </c>
      <c r="N1744" s="2">
        <f>SUM($D$2:$D1744)</f>
        <v>16485.009999999984</v>
      </c>
      <c r="O1744" s="2">
        <f t="shared" si="63"/>
        <v>0.98239789563764313</v>
      </c>
      <c r="P1744" s="2" cm="1">
        <f t="array" ref="P1744">SUMPRODUCT((O1744&gt;$T$9:$T$14)*(O1744&lt;=$U$9:$U$14),$S$9:$S$14)</f>
        <v>5</v>
      </c>
    </row>
    <row r="1745" spans="1:16" x14ac:dyDescent="0.25">
      <c r="A1745">
        <v>536</v>
      </c>
      <c r="B1745">
        <v>1323</v>
      </c>
      <c r="C1745">
        <v>741</v>
      </c>
      <c r="D1745">
        <v>8.1999999999999993</v>
      </c>
      <c r="E1745">
        <v>22215</v>
      </c>
      <c r="F1745">
        <v>0</v>
      </c>
      <c r="G1745">
        <v>22215000</v>
      </c>
      <c r="H1745">
        <v>17</v>
      </c>
      <c r="I1745">
        <v>0</v>
      </c>
      <c r="J1745" s="2">
        <f t="shared" si="62"/>
        <v>0</v>
      </c>
      <c r="K1745">
        <v>1744</v>
      </c>
      <c r="L1745" s="3">
        <f>SUM($I$2:$I1745)</f>
        <v>6345680</v>
      </c>
      <c r="M1745" s="3">
        <f>SUM($J$2:$J1745)</f>
        <v>25360717.499999981</v>
      </c>
      <c r="N1745" s="2">
        <f>SUM($D$2:$D1745)</f>
        <v>16493.209999999985</v>
      </c>
      <c r="O1745" s="2">
        <f t="shared" si="63"/>
        <v>0.98288656156773535</v>
      </c>
      <c r="P1745" s="2" cm="1">
        <f t="array" ref="P1745">SUMPRODUCT((O1745&gt;$T$9:$T$14)*(O1745&lt;=$U$9:$U$14),$S$9:$S$14)</f>
        <v>5</v>
      </c>
    </row>
    <row r="1746" spans="1:16" x14ac:dyDescent="0.25">
      <c r="A1746">
        <v>1774</v>
      </c>
      <c r="B1746">
        <v>1774</v>
      </c>
      <c r="C1746">
        <v>0</v>
      </c>
      <c r="D1746">
        <v>7.88</v>
      </c>
      <c r="E1746">
        <v>73721</v>
      </c>
      <c r="F1746">
        <v>0</v>
      </c>
      <c r="G1746">
        <v>73721000</v>
      </c>
      <c r="H1746">
        <v>7042</v>
      </c>
      <c r="I1746">
        <v>0</v>
      </c>
      <c r="J1746" s="2">
        <f t="shared" si="62"/>
        <v>0</v>
      </c>
      <c r="K1746">
        <v>1745</v>
      </c>
      <c r="L1746" s="3">
        <f>SUM($I$2:$I1746)</f>
        <v>6345680</v>
      </c>
      <c r="M1746" s="3">
        <f>SUM($J$2:$J1746)</f>
        <v>25360717.499999981</v>
      </c>
      <c r="N1746" s="2">
        <f>SUM($D$2:$D1746)</f>
        <v>16501.089999999986</v>
      </c>
      <c r="O1746" s="2">
        <f t="shared" si="63"/>
        <v>0.98335615760787276</v>
      </c>
      <c r="P1746" s="2" cm="1">
        <f t="array" ref="P1746">SUMPRODUCT((O1746&gt;$T$9:$T$14)*(O1746&lt;=$U$9:$U$14),$S$9:$S$14)</f>
        <v>5</v>
      </c>
    </row>
    <row r="1747" spans="1:16" x14ac:dyDescent="0.25">
      <c r="A1747">
        <v>481</v>
      </c>
      <c r="B1747">
        <v>1268</v>
      </c>
      <c r="C1747">
        <v>665</v>
      </c>
      <c r="D1747">
        <v>7.8</v>
      </c>
      <c r="E1747">
        <v>14935</v>
      </c>
      <c r="F1747">
        <v>0</v>
      </c>
      <c r="G1747">
        <v>14935000</v>
      </c>
      <c r="H1747" t="s">
        <v>8</v>
      </c>
      <c r="I1747">
        <v>0</v>
      </c>
      <c r="J1747" s="2">
        <f t="shared" si="62"/>
        <v>0</v>
      </c>
      <c r="K1747">
        <v>1746</v>
      </c>
      <c r="L1747" s="3">
        <f>SUM($I$2:$I1747)</f>
        <v>6345680</v>
      </c>
      <c r="M1747" s="3">
        <f>SUM($J$2:$J1747)</f>
        <v>25360717.499999981</v>
      </c>
      <c r="N1747" s="2">
        <f>SUM($D$2:$D1747)</f>
        <v>16508.889999999985</v>
      </c>
      <c r="O1747" s="2">
        <f t="shared" si="63"/>
        <v>0.98382098617552138</v>
      </c>
      <c r="P1747" s="2" cm="1">
        <f t="array" ref="P1747">SUMPRODUCT((O1747&gt;$T$9:$T$14)*(O1747&lt;=$U$9:$U$14),$S$9:$S$14)</f>
        <v>5</v>
      </c>
    </row>
    <row r="1748" spans="1:16" x14ac:dyDescent="0.25">
      <c r="A1748">
        <v>838</v>
      </c>
      <c r="B1748">
        <v>464</v>
      </c>
      <c r="C1748">
        <v>77</v>
      </c>
      <c r="D1748">
        <v>7.51</v>
      </c>
      <c r="E1748">
        <v>12000</v>
      </c>
      <c r="F1748">
        <v>0.5</v>
      </c>
      <c r="G1748">
        <v>12000005</v>
      </c>
      <c r="H1748">
        <v>3</v>
      </c>
      <c r="I1748">
        <v>0</v>
      </c>
      <c r="J1748" s="2">
        <f t="shared" si="62"/>
        <v>0</v>
      </c>
      <c r="K1748">
        <v>1747</v>
      </c>
      <c r="L1748" s="3">
        <f>SUM($I$2:$I1748)</f>
        <v>6345680</v>
      </c>
      <c r="M1748" s="3">
        <f>SUM($J$2:$J1748)</f>
        <v>25360717.499999981</v>
      </c>
      <c r="N1748" s="2">
        <f>SUM($D$2:$D1748)</f>
        <v>16516.399999999983</v>
      </c>
      <c r="O1748" s="2">
        <f t="shared" si="63"/>
        <v>0.98426853265539838</v>
      </c>
      <c r="P1748" s="2" cm="1">
        <f t="array" ref="P1748">SUMPRODUCT((O1748&gt;$T$9:$T$14)*(O1748&lt;=$U$9:$U$14),$S$9:$S$14)</f>
        <v>5</v>
      </c>
    </row>
    <row r="1749" spans="1:16" x14ac:dyDescent="0.25">
      <c r="A1749">
        <v>1838</v>
      </c>
      <c r="B1749">
        <v>1838</v>
      </c>
      <c r="C1749">
        <v>0</v>
      </c>
      <c r="D1749">
        <v>7.32</v>
      </c>
      <c r="E1749">
        <v>33250</v>
      </c>
      <c r="F1749">
        <v>2.9</v>
      </c>
      <c r="G1749">
        <v>3325029</v>
      </c>
      <c r="H1749">
        <v>60</v>
      </c>
      <c r="I1749">
        <v>0</v>
      </c>
      <c r="J1749" s="2">
        <f t="shared" si="62"/>
        <v>0</v>
      </c>
      <c r="K1749">
        <v>1748</v>
      </c>
      <c r="L1749" s="3">
        <f>SUM($I$2:$I1749)</f>
        <v>6345680</v>
      </c>
      <c r="M1749" s="3">
        <f>SUM($J$2:$J1749)</f>
        <v>25360717.499999981</v>
      </c>
      <c r="N1749" s="2">
        <f>SUM($D$2:$D1749)</f>
        <v>16523.719999999983</v>
      </c>
      <c r="O1749" s="2">
        <f t="shared" si="63"/>
        <v>0.98470475638811472</v>
      </c>
      <c r="P1749" s="2" cm="1">
        <f t="array" ref="P1749">SUMPRODUCT((O1749&gt;$T$9:$T$14)*(O1749&lt;=$U$9:$U$14),$S$9:$S$14)</f>
        <v>5</v>
      </c>
    </row>
    <row r="1750" spans="1:16" x14ac:dyDescent="0.25">
      <c r="A1750">
        <v>1417</v>
      </c>
      <c r="B1750">
        <v>249</v>
      </c>
      <c r="C1750">
        <v>1372</v>
      </c>
      <c r="D1750">
        <v>7.28</v>
      </c>
      <c r="E1750">
        <v>46977</v>
      </c>
      <c r="F1750">
        <v>0</v>
      </c>
      <c r="G1750">
        <v>46977000</v>
      </c>
      <c r="H1750">
        <v>400</v>
      </c>
      <c r="I1750">
        <v>0</v>
      </c>
      <c r="J1750" s="2">
        <f t="shared" si="62"/>
        <v>0</v>
      </c>
      <c r="K1750">
        <v>1749</v>
      </c>
      <c r="L1750" s="3">
        <f>SUM($I$2:$I1750)</f>
        <v>6345680</v>
      </c>
      <c r="M1750" s="3">
        <f>SUM($J$2:$J1750)</f>
        <v>25360717.499999981</v>
      </c>
      <c r="N1750" s="2">
        <f>SUM($D$2:$D1750)</f>
        <v>16530.999999999982</v>
      </c>
      <c r="O1750" s="2">
        <f t="shared" si="63"/>
        <v>0.98513859638458678</v>
      </c>
      <c r="P1750" s="2" cm="1">
        <f t="array" ref="P1750">SUMPRODUCT((O1750&gt;$T$9:$T$14)*(O1750&lt;=$U$9:$U$14),$S$9:$S$14)</f>
        <v>5</v>
      </c>
    </row>
    <row r="1751" spans="1:16" x14ac:dyDescent="0.25">
      <c r="A1751">
        <v>1133</v>
      </c>
      <c r="B1751">
        <v>759</v>
      </c>
      <c r="C1751">
        <v>474</v>
      </c>
      <c r="D1751">
        <v>7.01</v>
      </c>
      <c r="E1751">
        <v>14400</v>
      </c>
      <c r="F1751">
        <v>0</v>
      </c>
      <c r="G1751">
        <v>14400000</v>
      </c>
      <c r="H1751">
        <v>7</v>
      </c>
      <c r="I1751">
        <v>0</v>
      </c>
      <c r="J1751" s="2">
        <f t="shared" si="62"/>
        <v>0</v>
      </c>
      <c r="K1751">
        <v>1750</v>
      </c>
      <c r="L1751" s="3">
        <f>SUM($I$2:$I1751)</f>
        <v>6345680</v>
      </c>
      <c r="M1751" s="3">
        <f>SUM($J$2:$J1751)</f>
        <v>25360717.499999981</v>
      </c>
      <c r="N1751" s="2">
        <f>SUM($D$2:$D1751)</f>
        <v>16538.00999999998</v>
      </c>
      <c r="O1751" s="2">
        <f t="shared" si="63"/>
        <v>0.9855563461614093</v>
      </c>
      <c r="P1751" s="2" cm="1">
        <f t="array" ref="P1751">SUMPRODUCT((O1751&gt;$T$9:$T$14)*(O1751&lt;=$U$9:$U$14),$S$9:$S$14)</f>
        <v>5</v>
      </c>
    </row>
    <row r="1752" spans="1:16" x14ac:dyDescent="0.25">
      <c r="A1752">
        <v>525</v>
      </c>
      <c r="B1752">
        <v>1312</v>
      </c>
      <c r="C1752">
        <v>726</v>
      </c>
      <c r="D1752">
        <v>6.92</v>
      </c>
      <c r="E1752">
        <v>21610</v>
      </c>
      <c r="F1752">
        <v>0</v>
      </c>
      <c r="G1752">
        <v>21610000</v>
      </c>
      <c r="H1752">
        <v>17</v>
      </c>
      <c r="I1752">
        <v>0</v>
      </c>
      <c r="J1752" s="2">
        <f t="shared" si="62"/>
        <v>0</v>
      </c>
      <c r="K1752">
        <v>1751</v>
      </c>
      <c r="L1752" s="3">
        <f>SUM($I$2:$I1752)</f>
        <v>6345680</v>
      </c>
      <c r="M1752" s="3">
        <f>SUM($J$2:$J1752)</f>
        <v>25360717.499999981</v>
      </c>
      <c r="N1752" s="2">
        <f>SUM($D$2:$D1752)</f>
        <v>16544.929999999978</v>
      </c>
      <c r="O1752" s="2">
        <f t="shared" si="63"/>
        <v>0.98596873253168216</v>
      </c>
      <c r="P1752" s="2" cm="1">
        <f t="array" ref="P1752">SUMPRODUCT((O1752&gt;$T$9:$T$14)*(O1752&lt;=$U$9:$U$14),$S$9:$S$14)</f>
        <v>5</v>
      </c>
    </row>
    <row r="1753" spans="1:16" x14ac:dyDescent="0.25">
      <c r="A1753">
        <v>210</v>
      </c>
      <c r="B1753">
        <v>1005</v>
      </c>
      <c r="C1753">
        <v>1804</v>
      </c>
      <c r="D1753">
        <v>6.78</v>
      </c>
      <c r="E1753">
        <v>64316</v>
      </c>
      <c r="F1753">
        <v>0</v>
      </c>
      <c r="G1753">
        <v>64316000</v>
      </c>
      <c r="H1753">
        <v>601</v>
      </c>
      <c r="I1753">
        <v>0</v>
      </c>
      <c r="J1753" s="2">
        <f t="shared" si="62"/>
        <v>0</v>
      </c>
      <c r="K1753">
        <v>1752</v>
      </c>
      <c r="L1753" s="3">
        <f>SUM($I$2:$I1753)</f>
        <v>6345680</v>
      </c>
      <c r="M1753" s="3">
        <f>SUM($J$2:$J1753)</f>
        <v>25360717.499999981</v>
      </c>
      <c r="N1753" s="2">
        <f>SUM($D$2:$D1753)</f>
        <v>16551.709999999977</v>
      </c>
      <c r="O1753" s="2">
        <f t="shared" si="63"/>
        <v>0.98637277582509975</v>
      </c>
      <c r="P1753" s="2" cm="1">
        <f t="array" ref="P1753">SUMPRODUCT((O1753&gt;$T$9:$T$14)*(O1753&lt;=$U$9:$U$14),$S$9:$S$14)</f>
        <v>5</v>
      </c>
    </row>
    <row r="1754" spans="1:16" x14ac:dyDescent="0.25">
      <c r="A1754">
        <v>604</v>
      </c>
      <c r="B1754">
        <v>1391</v>
      </c>
      <c r="C1754">
        <v>825</v>
      </c>
      <c r="D1754">
        <v>6.62</v>
      </c>
      <c r="E1754">
        <v>14930</v>
      </c>
      <c r="F1754">
        <v>0</v>
      </c>
      <c r="G1754">
        <v>14930000</v>
      </c>
      <c r="H1754" t="s">
        <v>8</v>
      </c>
      <c r="I1754">
        <v>0</v>
      </c>
      <c r="J1754" s="2">
        <f t="shared" si="62"/>
        <v>0</v>
      </c>
      <c r="K1754">
        <v>1753</v>
      </c>
      <c r="L1754" s="3">
        <f>SUM($I$2:$I1754)</f>
        <v>6345680</v>
      </c>
      <c r="M1754" s="3">
        <f>SUM($J$2:$J1754)</f>
        <v>25360717.499999981</v>
      </c>
      <c r="N1754" s="2">
        <f>SUM($D$2:$D1754)</f>
        <v>16558.329999999976</v>
      </c>
      <c r="O1754" s="2">
        <f t="shared" si="63"/>
        <v>0.98676728417353998</v>
      </c>
      <c r="P1754" s="2" cm="1">
        <f t="array" ref="P1754">SUMPRODUCT((O1754&gt;$T$9:$T$14)*(O1754&lt;=$U$9:$U$14),$S$9:$S$14)</f>
        <v>5</v>
      </c>
    </row>
    <row r="1755" spans="1:16" x14ac:dyDescent="0.25">
      <c r="A1755">
        <v>256</v>
      </c>
      <c r="B1755">
        <v>1051</v>
      </c>
      <c r="C1755">
        <v>1869</v>
      </c>
      <c r="D1755">
        <v>6.43</v>
      </c>
      <c r="E1755">
        <v>61200</v>
      </c>
      <c r="F1755">
        <v>0</v>
      </c>
      <c r="G1755">
        <v>61200000</v>
      </c>
      <c r="H1755">
        <v>582</v>
      </c>
      <c r="I1755">
        <v>0</v>
      </c>
      <c r="J1755" s="2">
        <f t="shared" si="62"/>
        <v>0</v>
      </c>
      <c r="K1755">
        <v>1754</v>
      </c>
      <c r="L1755" s="3">
        <f>SUM($I$2:$I1755)</f>
        <v>6345680</v>
      </c>
      <c r="M1755" s="3">
        <f>SUM($J$2:$J1755)</f>
        <v>25360717.499999981</v>
      </c>
      <c r="N1755" s="2">
        <f>SUM($D$2:$D1755)</f>
        <v>16564.759999999977</v>
      </c>
      <c r="O1755" s="2">
        <f t="shared" si="63"/>
        <v>0.98715046977481957</v>
      </c>
      <c r="P1755" s="2" cm="1">
        <f t="array" ref="P1755">SUMPRODUCT((O1755&gt;$T$9:$T$14)*(O1755&lt;=$U$9:$U$14),$S$9:$S$14)</f>
        <v>5</v>
      </c>
    </row>
    <row r="1756" spans="1:16" x14ac:dyDescent="0.25">
      <c r="A1756">
        <v>1820</v>
      </c>
      <c r="B1756">
        <v>1820</v>
      </c>
      <c r="C1756">
        <v>0</v>
      </c>
      <c r="D1756">
        <v>6.24</v>
      </c>
      <c r="E1756">
        <v>15860</v>
      </c>
      <c r="F1756">
        <v>0</v>
      </c>
      <c r="G1756">
        <v>15860000</v>
      </c>
      <c r="H1756">
        <v>8</v>
      </c>
      <c r="I1756">
        <v>0</v>
      </c>
      <c r="J1756" s="2">
        <f t="shared" si="62"/>
        <v>0</v>
      </c>
      <c r="K1756">
        <v>1755</v>
      </c>
      <c r="L1756" s="3">
        <f>SUM($I$2:$I1756)</f>
        <v>6345680</v>
      </c>
      <c r="M1756" s="3">
        <f>SUM($J$2:$J1756)</f>
        <v>25360717.499999981</v>
      </c>
      <c r="N1756" s="2">
        <f>SUM($D$2:$D1756)</f>
        <v>16570.999999999978</v>
      </c>
      <c r="O1756" s="2">
        <f t="shared" si="63"/>
        <v>0.98752233262893852</v>
      </c>
      <c r="P1756" s="2" cm="1">
        <f t="array" ref="P1756">SUMPRODUCT((O1756&gt;$T$9:$T$14)*(O1756&lt;=$U$9:$U$14),$S$9:$S$14)</f>
        <v>5</v>
      </c>
    </row>
    <row r="1757" spans="1:16" x14ac:dyDescent="0.25">
      <c r="A1757">
        <v>266</v>
      </c>
      <c r="B1757">
        <v>1061</v>
      </c>
      <c r="C1757">
        <v>1881</v>
      </c>
      <c r="D1757">
        <v>6.08</v>
      </c>
      <c r="E1757">
        <v>69505</v>
      </c>
      <c r="F1757">
        <v>0</v>
      </c>
      <c r="G1757">
        <v>69505000</v>
      </c>
      <c r="H1757">
        <v>642</v>
      </c>
      <c r="I1757">
        <v>0</v>
      </c>
      <c r="J1757" s="2">
        <f t="shared" si="62"/>
        <v>0</v>
      </c>
      <c r="K1757">
        <v>1756</v>
      </c>
      <c r="L1757" s="3">
        <f>SUM($I$2:$I1757)</f>
        <v>6345680</v>
      </c>
      <c r="M1757" s="3">
        <f>SUM($J$2:$J1757)</f>
        <v>25360717.499999981</v>
      </c>
      <c r="N1757" s="2">
        <f>SUM($D$2:$D1757)</f>
        <v>16577.07999999998</v>
      </c>
      <c r="O1757" s="2">
        <f t="shared" si="63"/>
        <v>0.98788466053808022</v>
      </c>
      <c r="P1757" s="2" cm="1">
        <f t="array" ref="P1757">SUMPRODUCT((O1757&gt;$T$9:$T$14)*(O1757&lt;=$U$9:$U$14),$S$9:$S$14)</f>
        <v>5</v>
      </c>
    </row>
    <row r="1758" spans="1:16" x14ac:dyDescent="0.25">
      <c r="A1758">
        <v>1813</v>
      </c>
      <c r="B1758">
        <v>1813</v>
      </c>
      <c r="C1758">
        <v>0</v>
      </c>
      <c r="D1758">
        <v>5.95</v>
      </c>
      <c r="E1758">
        <v>48545</v>
      </c>
      <c r="F1758">
        <v>0</v>
      </c>
      <c r="G1758">
        <v>48545000</v>
      </c>
      <c r="H1758">
        <v>404</v>
      </c>
      <c r="I1758">
        <v>0</v>
      </c>
      <c r="J1758" s="2">
        <f t="shared" si="62"/>
        <v>0</v>
      </c>
      <c r="K1758">
        <v>1757</v>
      </c>
      <c r="L1758" s="3">
        <f>SUM($I$2:$I1758)</f>
        <v>6345680</v>
      </c>
      <c r="M1758" s="3">
        <f>SUM($J$2:$J1758)</f>
        <v>25360717.499999981</v>
      </c>
      <c r="N1758" s="2">
        <f>SUM($D$2:$D1758)</f>
        <v>16583.029999999981</v>
      </c>
      <c r="O1758" s="2">
        <f t="shared" si="63"/>
        <v>0.98823924130442753</v>
      </c>
      <c r="P1758" s="2" cm="1">
        <f t="array" ref="P1758">SUMPRODUCT((O1758&gt;$T$9:$T$14)*(O1758&lt;=$U$9:$U$14),$S$9:$S$14)</f>
        <v>5</v>
      </c>
    </row>
    <row r="1759" spans="1:16" x14ac:dyDescent="0.25">
      <c r="A1759">
        <v>803</v>
      </c>
      <c r="B1759">
        <v>429</v>
      </c>
      <c r="C1759">
        <v>35</v>
      </c>
      <c r="D1759">
        <v>5.74</v>
      </c>
      <c r="E1759">
        <v>12790</v>
      </c>
      <c r="F1759">
        <v>2.6</v>
      </c>
      <c r="G1759">
        <v>12790026</v>
      </c>
      <c r="H1759">
        <v>4</v>
      </c>
      <c r="I1759">
        <v>0</v>
      </c>
      <c r="J1759" s="2">
        <f t="shared" si="62"/>
        <v>0</v>
      </c>
      <c r="K1759">
        <v>1758</v>
      </c>
      <c r="L1759" s="3">
        <f>SUM($I$2:$I1759)</f>
        <v>6345680</v>
      </c>
      <c r="M1759" s="3">
        <f>SUM($J$2:$J1759)</f>
        <v>25360717.499999981</v>
      </c>
      <c r="N1759" s="2">
        <f>SUM($D$2:$D1759)</f>
        <v>16588.769999999982</v>
      </c>
      <c r="O1759" s="2">
        <f t="shared" si="63"/>
        <v>0.98858130745549222</v>
      </c>
      <c r="P1759" s="2" cm="1">
        <f t="array" ref="P1759">SUMPRODUCT((O1759&gt;$T$9:$T$14)*(O1759&lt;=$U$9:$U$14),$S$9:$S$14)</f>
        <v>5</v>
      </c>
    </row>
    <row r="1760" spans="1:16" x14ac:dyDescent="0.25">
      <c r="A1760">
        <v>1803</v>
      </c>
      <c r="B1760">
        <v>1803</v>
      </c>
      <c r="C1760">
        <v>0</v>
      </c>
      <c r="D1760">
        <v>5.71</v>
      </c>
      <c r="E1760">
        <v>25653</v>
      </c>
      <c r="F1760">
        <v>0</v>
      </c>
      <c r="G1760">
        <v>25653000</v>
      </c>
      <c r="H1760">
        <v>26</v>
      </c>
      <c r="I1760">
        <v>0</v>
      </c>
      <c r="J1760" s="2">
        <f t="shared" si="62"/>
        <v>0</v>
      </c>
      <c r="K1760">
        <v>1759</v>
      </c>
      <c r="L1760" s="3">
        <f>SUM($I$2:$I1760)</f>
        <v>6345680</v>
      </c>
      <c r="M1760" s="3">
        <f>SUM($J$2:$J1760)</f>
        <v>25360717.499999981</v>
      </c>
      <c r="N1760" s="2">
        <f>SUM($D$2:$D1760)</f>
        <v>16594.479999999981</v>
      </c>
      <c r="O1760" s="2">
        <f t="shared" si="63"/>
        <v>0.98892158580437339</v>
      </c>
      <c r="P1760" s="2" cm="1">
        <f t="array" ref="P1760">SUMPRODUCT((O1760&gt;$T$9:$T$14)*(O1760&lt;=$U$9:$U$14),$S$9:$S$14)</f>
        <v>5</v>
      </c>
    </row>
    <row r="1761" spans="1:16" x14ac:dyDescent="0.25">
      <c r="A1761">
        <v>691</v>
      </c>
      <c r="B1761">
        <v>1478</v>
      </c>
      <c r="C1761">
        <v>930</v>
      </c>
      <c r="D1761">
        <v>5.65</v>
      </c>
      <c r="E1761">
        <v>21900</v>
      </c>
      <c r="F1761">
        <v>15.9</v>
      </c>
      <c r="G1761">
        <v>21900159</v>
      </c>
      <c r="H1761">
        <v>17</v>
      </c>
      <c r="I1761">
        <v>0</v>
      </c>
      <c r="J1761" s="2">
        <f t="shared" si="62"/>
        <v>0</v>
      </c>
      <c r="K1761">
        <v>1760</v>
      </c>
      <c r="L1761" s="3">
        <f>SUM($I$2:$I1761)</f>
        <v>6345680</v>
      </c>
      <c r="M1761" s="3">
        <f>SUM($J$2:$J1761)</f>
        <v>25360717.499999981</v>
      </c>
      <c r="N1761" s="2">
        <f>SUM($D$2:$D1761)</f>
        <v>16600.129999999983</v>
      </c>
      <c r="O1761" s="2">
        <f t="shared" si="63"/>
        <v>0.9892582885488882</v>
      </c>
      <c r="P1761" s="2" cm="1">
        <f t="array" ref="P1761">SUMPRODUCT((O1761&gt;$T$9:$T$14)*(O1761&lt;=$U$9:$U$14),$S$9:$S$14)</f>
        <v>5</v>
      </c>
    </row>
    <row r="1762" spans="1:16" x14ac:dyDescent="0.25">
      <c r="A1762">
        <v>379</v>
      </c>
      <c r="B1762">
        <v>1174</v>
      </c>
      <c r="C1762">
        <v>540</v>
      </c>
      <c r="D1762">
        <v>5.65</v>
      </c>
      <c r="E1762">
        <v>22265</v>
      </c>
      <c r="F1762">
        <v>2.2999999999999998</v>
      </c>
      <c r="G1762">
        <v>22265023</v>
      </c>
      <c r="H1762" t="s">
        <v>7</v>
      </c>
      <c r="I1762">
        <v>0</v>
      </c>
      <c r="J1762" s="2">
        <f t="shared" si="62"/>
        <v>0</v>
      </c>
      <c r="K1762">
        <v>1761</v>
      </c>
      <c r="L1762" s="3">
        <f>SUM($I$2:$I1762)</f>
        <v>6345680</v>
      </c>
      <c r="M1762" s="3">
        <f>SUM($J$2:$J1762)</f>
        <v>25360717.499999981</v>
      </c>
      <c r="N1762" s="2">
        <f>SUM($D$2:$D1762)</f>
        <v>16605.779999999984</v>
      </c>
      <c r="O1762" s="2">
        <f t="shared" si="63"/>
        <v>0.989594991293403</v>
      </c>
      <c r="P1762" s="2" cm="1">
        <f t="array" ref="P1762">SUMPRODUCT((O1762&gt;$T$9:$T$14)*(O1762&lt;=$U$9:$U$14),$S$9:$S$14)</f>
        <v>5</v>
      </c>
    </row>
    <row r="1763" spans="1:16" x14ac:dyDescent="0.25">
      <c r="A1763">
        <v>248</v>
      </c>
      <c r="B1763">
        <v>1043</v>
      </c>
      <c r="C1763">
        <v>1859</v>
      </c>
      <c r="D1763">
        <v>5.37</v>
      </c>
      <c r="E1763">
        <v>61800</v>
      </c>
      <c r="F1763">
        <v>0</v>
      </c>
      <c r="G1763">
        <v>61800000</v>
      </c>
      <c r="H1763">
        <v>586</v>
      </c>
      <c r="I1763">
        <v>0</v>
      </c>
      <c r="J1763" s="2">
        <f t="shared" si="62"/>
        <v>0</v>
      </c>
      <c r="K1763">
        <v>1762</v>
      </c>
      <c r="L1763" s="3">
        <f>SUM($I$2:$I1763)</f>
        <v>6345680</v>
      </c>
      <c r="M1763" s="3">
        <f>SUM($J$2:$J1763)</f>
        <v>25360717.499999981</v>
      </c>
      <c r="N1763" s="2">
        <f>SUM($D$2:$D1763)</f>
        <v>16611.149999999983</v>
      </c>
      <c r="O1763" s="2">
        <f t="shared" si="63"/>
        <v>0.98991500788420717</v>
      </c>
      <c r="P1763" s="2" cm="1">
        <f t="array" ref="P1763">SUMPRODUCT((O1763&gt;$T$9:$T$14)*(O1763&lt;=$U$9:$U$14),$S$9:$S$14)</f>
        <v>5</v>
      </c>
    </row>
    <row r="1764" spans="1:16" x14ac:dyDescent="0.25">
      <c r="A1764">
        <v>680</v>
      </c>
      <c r="B1764">
        <v>1467</v>
      </c>
      <c r="C1764">
        <v>917</v>
      </c>
      <c r="D1764">
        <v>5.32</v>
      </c>
      <c r="E1764">
        <v>18010</v>
      </c>
      <c r="F1764">
        <v>7.4</v>
      </c>
      <c r="G1764">
        <v>18010074</v>
      </c>
      <c r="H1764">
        <v>11</v>
      </c>
      <c r="I1764">
        <v>0</v>
      </c>
      <c r="J1764" s="2">
        <f t="shared" si="62"/>
        <v>0</v>
      </c>
      <c r="K1764">
        <v>1763</v>
      </c>
      <c r="L1764" s="3">
        <f>SUM($I$2:$I1764)</f>
        <v>6345680</v>
      </c>
      <c r="M1764" s="3">
        <f>SUM($J$2:$J1764)</f>
        <v>25360717.499999981</v>
      </c>
      <c r="N1764" s="2">
        <f>SUM($D$2:$D1764)</f>
        <v>16616.469999999983</v>
      </c>
      <c r="O1764" s="2">
        <f t="shared" si="63"/>
        <v>0.99023204480470606</v>
      </c>
      <c r="P1764" s="2" cm="1">
        <f t="array" ref="P1764">SUMPRODUCT((O1764&gt;$T$9:$T$14)*(O1764&lt;=$U$9:$U$14),$S$9:$S$14)</f>
        <v>5</v>
      </c>
    </row>
    <row r="1765" spans="1:16" x14ac:dyDescent="0.25">
      <c r="A1765">
        <v>1784</v>
      </c>
      <c r="B1765">
        <v>1784</v>
      </c>
      <c r="C1765">
        <v>534</v>
      </c>
      <c r="D1765">
        <v>5.16</v>
      </c>
      <c r="E1765">
        <v>43765</v>
      </c>
      <c r="F1765">
        <v>0</v>
      </c>
      <c r="G1765">
        <v>43765000</v>
      </c>
      <c r="H1765">
        <v>124</v>
      </c>
      <c r="I1765">
        <v>0</v>
      </c>
      <c r="J1765" s="2">
        <f t="shared" si="62"/>
        <v>0</v>
      </c>
      <c r="K1765">
        <v>1764</v>
      </c>
      <c r="L1765" s="3">
        <f>SUM($I$2:$I1765)</f>
        <v>6345680</v>
      </c>
      <c r="M1765" s="3">
        <f>SUM($J$2:$J1765)</f>
        <v>25360717.499999981</v>
      </c>
      <c r="N1765" s="2">
        <f>SUM($D$2:$D1765)</f>
        <v>16621.629999999983</v>
      </c>
      <c r="O1765" s="2">
        <f t="shared" si="63"/>
        <v>0.99053954678022738</v>
      </c>
      <c r="P1765" s="2" cm="1">
        <f t="array" ref="P1765">SUMPRODUCT((O1765&gt;$T$9:$T$14)*(O1765&lt;=$U$9:$U$14),$S$9:$S$14)</f>
        <v>5</v>
      </c>
    </row>
    <row r="1766" spans="1:16" x14ac:dyDescent="0.25">
      <c r="A1766">
        <v>954</v>
      </c>
      <c r="B1766">
        <v>580</v>
      </c>
      <c r="C1766">
        <v>238</v>
      </c>
      <c r="D1766">
        <v>4.95</v>
      </c>
      <c r="E1766">
        <v>18370</v>
      </c>
      <c r="F1766">
        <v>1.3</v>
      </c>
      <c r="G1766">
        <v>18370013</v>
      </c>
      <c r="H1766">
        <v>11</v>
      </c>
      <c r="I1766">
        <v>0</v>
      </c>
      <c r="J1766" s="2">
        <f t="shared" si="62"/>
        <v>0</v>
      </c>
      <c r="K1766">
        <v>1765</v>
      </c>
      <c r="L1766" s="3">
        <f>SUM($I$2:$I1766)</f>
        <v>6345680</v>
      </c>
      <c r="M1766" s="3">
        <f>SUM($J$2:$J1766)</f>
        <v>25360717.499999981</v>
      </c>
      <c r="N1766" s="2">
        <f>SUM($D$2:$D1766)</f>
        <v>16626.579999999984</v>
      </c>
      <c r="O1766" s="2">
        <f t="shared" si="63"/>
        <v>0.99083453414046607</v>
      </c>
      <c r="P1766" s="2" cm="1">
        <f t="array" ref="P1766">SUMPRODUCT((O1766&gt;$T$9:$T$14)*(O1766&lt;=$U$9:$U$14),$S$9:$S$14)</f>
        <v>5</v>
      </c>
    </row>
    <row r="1767" spans="1:16" x14ac:dyDescent="0.25">
      <c r="A1767">
        <v>1756</v>
      </c>
      <c r="B1767">
        <v>1756</v>
      </c>
      <c r="C1767">
        <v>0</v>
      </c>
      <c r="D1767">
        <v>4.7699999999999996</v>
      </c>
      <c r="E1767">
        <v>73700</v>
      </c>
      <c r="F1767">
        <v>0</v>
      </c>
      <c r="G1767">
        <v>73700000</v>
      </c>
      <c r="H1767">
        <v>7037</v>
      </c>
      <c r="I1767">
        <v>0</v>
      </c>
      <c r="J1767" s="2">
        <f t="shared" si="62"/>
        <v>0</v>
      </c>
      <c r="K1767">
        <v>1766</v>
      </c>
      <c r="L1767" s="3">
        <f>SUM($I$2:$I1767)</f>
        <v>6345680</v>
      </c>
      <c r="M1767" s="3">
        <f>SUM($J$2:$J1767)</f>
        <v>25360717.499999981</v>
      </c>
      <c r="N1767" s="2">
        <f>SUM($D$2:$D1767)</f>
        <v>16631.349999999984</v>
      </c>
      <c r="O1767" s="2">
        <f t="shared" si="63"/>
        <v>0.991118794687605</v>
      </c>
      <c r="P1767" s="2" cm="1">
        <f t="array" ref="P1767">SUMPRODUCT((O1767&gt;$T$9:$T$14)*(O1767&lt;=$U$9:$U$14),$S$9:$S$14)</f>
        <v>5</v>
      </c>
    </row>
    <row r="1768" spans="1:16" x14ac:dyDescent="0.25">
      <c r="A1768">
        <v>835</v>
      </c>
      <c r="B1768">
        <v>461</v>
      </c>
      <c r="C1768">
        <v>72</v>
      </c>
      <c r="D1768">
        <v>4.7</v>
      </c>
      <c r="E1768">
        <v>17880</v>
      </c>
      <c r="F1768">
        <v>0</v>
      </c>
      <c r="G1768">
        <v>17880000</v>
      </c>
      <c r="H1768">
        <v>11</v>
      </c>
      <c r="I1768">
        <v>0</v>
      </c>
      <c r="J1768" s="2">
        <f t="shared" si="62"/>
        <v>0</v>
      </c>
      <c r="K1768">
        <v>1767</v>
      </c>
      <c r="L1768" s="3">
        <f>SUM($I$2:$I1768)</f>
        <v>6345680</v>
      </c>
      <c r="M1768" s="3">
        <f>SUM($J$2:$J1768)</f>
        <v>25360717.499999981</v>
      </c>
      <c r="N1768" s="2">
        <f>SUM($D$2:$D1768)</f>
        <v>16636.049999999985</v>
      </c>
      <c r="O1768" s="2">
        <f t="shared" si="63"/>
        <v>0.99139888369631646</v>
      </c>
      <c r="P1768" s="2" cm="1">
        <f t="array" ref="P1768">SUMPRODUCT((O1768&gt;$T$9:$T$14)*(O1768&lt;=$U$9:$U$14),$S$9:$S$14)</f>
        <v>5</v>
      </c>
    </row>
    <row r="1769" spans="1:16" x14ac:dyDescent="0.25">
      <c r="A1769">
        <v>1757</v>
      </c>
      <c r="B1769">
        <v>1757</v>
      </c>
      <c r="C1769">
        <v>0</v>
      </c>
      <c r="D1769">
        <v>4.67</v>
      </c>
      <c r="E1769">
        <v>73700</v>
      </c>
      <c r="F1769">
        <v>4.8</v>
      </c>
      <c r="G1769">
        <v>73700048</v>
      </c>
      <c r="H1769">
        <v>7037</v>
      </c>
      <c r="I1769">
        <v>0</v>
      </c>
      <c r="J1769" s="2">
        <f t="shared" si="62"/>
        <v>0</v>
      </c>
      <c r="K1769">
        <v>1768</v>
      </c>
      <c r="L1769" s="3">
        <f>SUM($I$2:$I1769)</f>
        <v>6345680</v>
      </c>
      <c r="M1769" s="3">
        <f>SUM($J$2:$J1769)</f>
        <v>25360717.499999981</v>
      </c>
      <c r="N1769" s="2">
        <f>SUM($D$2:$D1769)</f>
        <v>16640.719999999983</v>
      </c>
      <c r="O1769" s="2">
        <f t="shared" si="63"/>
        <v>0.9916771849028444</v>
      </c>
      <c r="P1769" s="2" cm="1">
        <f t="array" ref="P1769">SUMPRODUCT((O1769&gt;$T$9:$T$14)*(O1769&lt;=$U$9:$U$14),$S$9:$S$14)</f>
        <v>5</v>
      </c>
    </row>
    <row r="1770" spans="1:16" x14ac:dyDescent="0.25">
      <c r="A1770">
        <v>1799</v>
      </c>
      <c r="B1770">
        <v>1799</v>
      </c>
      <c r="C1770">
        <v>0</v>
      </c>
      <c r="D1770">
        <v>4.66</v>
      </c>
      <c r="E1770">
        <v>81095</v>
      </c>
      <c r="F1770">
        <v>0</v>
      </c>
      <c r="G1770">
        <v>81095000</v>
      </c>
      <c r="H1770">
        <v>7188</v>
      </c>
      <c r="I1770">
        <v>0</v>
      </c>
      <c r="J1770" s="2">
        <f t="shared" si="62"/>
        <v>0</v>
      </c>
      <c r="K1770">
        <v>1769</v>
      </c>
      <c r="L1770" s="3">
        <f>SUM($I$2:$I1770)</f>
        <v>6345680</v>
      </c>
      <c r="M1770" s="3">
        <f>SUM($J$2:$J1770)</f>
        <v>25360717.499999981</v>
      </c>
      <c r="N1770" s="2">
        <f>SUM($D$2:$D1770)</f>
        <v>16645.379999999983</v>
      </c>
      <c r="O1770" s="2">
        <f t="shared" si="63"/>
        <v>0.99195489017531147</v>
      </c>
      <c r="P1770" s="2" cm="1">
        <f t="array" ref="P1770">SUMPRODUCT((O1770&gt;$T$9:$T$14)*(O1770&lt;=$U$9:$U$14),$S$9:$S$14)</f>
        <v>5</v>
      </c>
    </row>
    <row r="1771" spans="1:16" x14ac:dyDescent="0.25">
      <c r="A1771">
        <v>207</v>
      </c>
      <c r="B1771">
        <v>1002</v>
      </c>
      <c r="C1771">
        <v>1798</v>
      </c>
      <c r="D1771">
        <v>4.5999999999999996</v>
      </c>
      <c r="E1771">
        <v>64600</v>
      </c>
      <c r="F1771">
        <v>0</v>
      </c>
      <c r="G1771">
        <v>64600000</v>
      </c>
      <c r="H1771">
        <v>603</v>
      </c>
      <c r="I1771">
        <v>0</v>
      </c>
      <c r="J1771" s="2">
        <f t="shared" si="62"/>
        <v>0</v>
      </c>
      <c r="K1771">
        <v>1770</v>
      </c>
      <c r="L1771" s="3">
        <f>SUM($I$2:$I1771)</f>
        <v>6345680</v>
      </c>
      <c r="M1771" s="3">
        <f>SUM($J$2:$J1771)</f>
        <v>25360717.499999981</v>
      </c>
      <c r="N1771" s="2">
        <f>SUM($D$2:$D1771)</f>
        <v>16649.979999999981</v>
      </c>
      <c r="O1771" s="2">
        <f t="shared" si="63"/>
        <v>0.99222901984341183</v>
      </c>
      <c r="P1771" s="2" cm="1">
        <f t="array" ref="P1771">SUMPRODUCT((O1771&gt;$T$9:$T$14)*(O1771&lt;=$U$9:$U$14),$S$9:$S$14)</f>
        <v>5</v>
      </c>
    </row>
    <row r="1772" spans="1:16" x14ac:dyDescent="0.25">
      <c r="A1772">
        <v>605</v>
      </c>
      <c r="B1772">
        <v>1392</v>
      </c>
      <c r="C1772">
        <v>826</v>
      </c>
      <c r="D1772">
        <v>4.57</v>
      </c>
      <c r="E1772">
        <v>21580</v>
      </c>
      <c r="F1772">
        <v>0</v>
      </c>
      <c r="G1772">
        <v>21580000</v>
      </c>
      <c r="H1772">
        <v>17</v>
      </c>
      <c r="I1772">
        <v>0</v>
      </c>
      <c r="J1772" s="2">
        <f t="shared" si="62"/>
        <v>0</v>
      </c>
      <c r="K1772">
        <v>1771</v>
      </c>
      <c r="L1772" s="3">
        <f>SUM($I$2:$I1772)</f>
        <v>6345680</v>
      </c>
      <c r="M1772" s="3">
        <f>SUM($J$2:$J1772)</f>
        <v>25360717.499999981</v>
      </c>
      <c r="N1772" s="2">
        <f>SUM($D$2:$D1772)</f>
        <v>16654.549999999981</v>
      </c>
      <c r="O1772" s="2">
        <f t="shared" si="63"/>
        <v>0.99250136170932901</v>
      </c>
      <c r="P1772" s="2" cm="1">
        <f t="array" ref="P1772">SUMPRODUCT((O1772&gt;$T$9:$T$14)*(O1772&lt;=$U$9:$U$14),$S$9:$S$14)</f>
        <v>5</v>
      </c>
    </row>
    <row r="1773" spans="1:16" x14ac:dyDescent="0.25">
      <c r="A1773">
        <v>118</v>
      </c>
      <c r="B1773">
        <v>914</v>
      </c>
      <c r="C1773">
        <v>1673</v>
      </c>
      <c r="D1773">
        <v>4.4000000000000004</v>
      </c>
      <c r="E1773">
        <v>48508</v>
      </c>
      <c r="F1773">
        <v>0</v>
      </c>
      <c r="G1773">
        <v>48508000</v>
      </c>
      <c r="H1773">
        <v>404</v>
      </c>
      <c r="I1773">
        <v>0</v>
      </c>
      <c r="J1773" s="2">
        <f t="shared" si="62"/>
        <v>0</v>
      </c>
      <c r="K1773">
        <v>1772</v>
      </c>
      <c r="L1773" s="3">
        <f>SUM($I$2:$I1773)</f>
        <v>6345680</v>
      </c>
      <c r="M1773" s="3">
        <f>SUM($J$2:$J1773)</f>
        <v>25360717.499999981</v>
      </c>
      <c r="N1773" s="2">
        <f>SUM($D$2:$D1773)</f>
        <v>16658.949999999983</v>
      </c>
      <c r="O1773" s="2">
        <f t="shared" si="63"/>
        <v>0.99276357269620785</v>
      </c>
      <c r="P1773" s="2" cm="1">
        <f t="array" ref="P1773">SUMPRODUCT((O1773&gt;$T$9:$T$14)*(O1773&lt;=$U$9:$U$14),$S$9:$S$14)</f>
        <v>5</v>
      </c>
    </row>
    <row r="1774" spans="1:16" x14ac:dyDescent="0.25">
      <c r="A1774">
        <v>1742</v>
      </c>
      <c r="B1774">
        <v>1742</v>
      </c>
      <c r="C1774">
        <v>0</v>
      </c>
      <c r="D1774">
        <v>4.3</v>
      </c>
      <c r="E1774">
        <v>73775</v>
      </c>
      <c r="F1774">
        <v>0</v>
      </c>
      <c r="G1774">
        <v>73775000</v>
      </c>
      <c r="H1774">
        <v>7059</v>
      </c>
      <c r="I1774">
        <v>0</v>
      </c>
      <c r="J1774" s="2">
        <f t="shared" si="62"/>
        <v>0</v>
      </c>
      <c r="K1774">
        <v>1773</v>
      </c>
      <c r="L1774" s="3">
        <f>SUM($I$2:$I1774)</f>
        <v>6345680</v>
      </c>
      <c r="M1774" s="3">
        <f>SUM($J$2:$J1774)</f>
        <v>25360717.499999981</v>
      </c>
      <c r="N1774" s="2">
        <f>SUM($D$2:$D1774)</f>
        <v>16663.249999999982</v>
      </c>
      <c r="O1774" s="2">
        <f t="shared" si="63"/>
        <v>0.99301982434247571</v>
      </c>
      <c r="P1774" s="2" cm="1">
        <f t="array" ref="P1774">SUMPRODUCT((O1774&gt;$T$9:$T$14)*(O1774&lt;=$U$9:$U$14),$S$9:$S$14)</f>
        <v>5</v>
      </c>
    </row>
    <row r="1775" spans="1:16" x14ac:dyDescent="0.25">
      <c r="A1775">
        <v>307</v>
      </c>
      <c r="B1775">
        <v>1102</v>
      </c>
      <c r="C1775">
        <v>1942</v>
      </c>
      <c r="D1775">
        <v>4.2699999999999996</v>
      </c>
      <c r="E1775">
        <v>73690</v>
      </c>
      <c r="F1775">
        <v>0</v>
      </c>
      <c r="G1775">
        <v>73690000</v>
      </c>
      <c r="H1775">
        <v>7036</v>
      </c>
      <c r="I1775">
        <v>0</v>
      </c>
      <c r="J1775" s="2">
        <f t="shared" si="62"/>
        <v>0</v>
      </c>
      <c r="K1775">
        <v>1774</v>
      </c>
      <c r="L1775" s="3">
        <f>SUM($I$2:$I1775)</f>
        <v>6345680</v>
      </c>
      <c r="M1775" s="3">
        <f>SUM($J$2:$J1775)</f>
        <v>25360717.499999981</v>
      </c>
      <c r="N1775" s="2">
        <f>SUM($D$2:$D1775)</f>
        <v>16667.519999999982</v>
      </c>
      <c r="O1775" s="2">
        <f t="shared" si="63"/>
        <v>0.99327428818656027</v>
      </c>
      <c r="P1775" s="2" cm="1">
        <f t="array" ref="P1775">SUMPRODUCT((O1775&gt;$T$9:$T$14)*(O1775&lt;=$U$9:$U$14),$S$9:$S$14)</f>
        <v>5</v>
      </c>
    </row>
    <row r="1776" spans="1:16" x14ac:dyDescent="0.25">
      <c r="A1776">
        <v>229</v>
      </c>
      <c r="B1776">
        <v>1024</v>
      </c>
      <c r="C1776">
        <v>1834</v>
      </c>
      <c r="D1776">
        <v>4.2300000000000004</v>
      </c>
      <c r="E1776">
        <v>62800</v>
      </c>
      <c r="F1776">
        <v>3.9</v>
      </c>
      <c r="G1776">
        <v>62800039</v>
      </c>
      <c r="H1776">
        <v>594</v>
      </c>
      <c r="I1776">
        <v>0</v>
      </c>
      <c r="J1776" s="2">
        <f t="shared" si="62"/>
        <v>0</v>
      </c>
      <c r="K1776">
        <v>1775</v>
      </c>
      <c r="L1776" s="3">
        <f>SUM($I$2:$I1776)</f>
        <v>6345680</v>
      </c>
      <c r="M1776" s="3">
        <f>SUM($J$2:$J1776)</f>
        <v>25360717.499999981</v>
      </c>
      <c r="N1776" s="2">
        <f>SUM($D$2:$D1776)</f>
        <v>16671.749999999982</v>
      </c>
      <c r="O1776" s="2">
        <f t="shared" si="63"/>
        <v>0.99352636829440044</v>
      </c>
      <c r="P1776" s="2" cm="1">
        <f t="array" ref="P1776">SUMPRODUCT((O1776&gt;$T$9:$T$14)*(O1776&lt;=$U$9:$U$14),$S$9:$S$14)</f>
        <v>5</v>
      </c>
    </row>
    <row r="1777" spans="1:16" x14ac:dyDescent="0.25">
      <c r="A1777">
        <v>484</v>
      </c>
      <c r="B1777">
        <v>1271</v>
      </c>
      <c r="C1777">
        <v>668</v>
      </c>
      <c r="D1777">
        <v>3.97</v>
      </c>
      <c r="E1777">
        <v>17093</v>
      </c>
      <c r="F1777">
        <v>0</v>
      </c>
      <c r="G1777">
        <v>17093000</v>
      </c>
      <c r="H1777">
        <v>11</v>
      </c>
      <c r="I1777">
        <v>0</v>
      </c>
      <c r="J1777" s="2">
        <f t="shared" si="62"/>
        <v>0</v>
      </c>
      <c r="K1777">
        <v>1776</v>
      </c>
      <c r="L1777" s="3">
        <f>SUM($I$2:$I1777)</f>
        <v>6345680</v>
      </c>
      <c r="M1777" s="3">
        <f>SUM($J$2:$J1777)</f>
        <v>25360717.499999981</v>
      </c>
      <c r="N1777" s="2">
        <f>SUM($D$2:$D1777)</f>
        <v>16675.719999999983</v>
      </c>
      <c r="O1777" s="2">
        <f t="shared" si="63"/>
        <v>0.9937629541166525</v>
      </c>
      <c r="P1777" s="2" cm="1">
        <f t="array" ref="P1777">SUMPRODUCT((O1777&gt;$T$9:$T$14)*(O1777&lt;=$U$9:$U$14),$S$9:$S$14)</f>
        <v>5</v>
      </c>
    </row>
    <row r="1778" spans="1:16" x14ac:dyDescent="0.25">
      <c r="A1778">
        <v>231</v>
      </c>
      <c r="B1778">
        <v>1026</v>
      </c>
      <c r="C1778">
        <v>1840</v>
      </c>
      <c r="D1778">
        <v>3.91</v>
      </c>
      <c r="E1778">
        <v>62620</v>
      </c>
      <c r="F1778">
        <v>0</v>
      </c>
      <c r="G1778">
        <v>62620000</v>
      </c>
      <c r="H1778">
        <v>592</v>
      </c>
      <c r="I1778">
        <v>0</v>
      </c>
      <c r="J1778" s="2">
        <f t="shared" si="62"/>
        <v>0</v>
      </c>
      <c r="K1778">
        <v>1777</v>
      </c>
      <c r="L1778" s="3">
        <f>SUM($I$2:$I1778)</f>
        <v>6345680</v>
      </c>
      <c r="M1778" s="3">
        <f>SUM($J$2:$J1778)</f>
        <v>25360717.499999981</v>
      </c>
      <c r="N1778" s="2">
        <f>SUM($D$2:$D1778)</f>
        <v>16679.629999999983</v>
      </c>
      <c r="O1778" s="2">
        <f t="shared" si="63"/>
        <v>0.99399596433453785</v>
      </c>
      <c r="P1778" s="2" cm="1">
        <f t="array" ref="P1778">SUMPRODUCT((O1778&gt;$T$9:$T$14)*(O1778&lt;=$U$9:$U$14),$S$9:$S$14)</f>
        <v>5</v>
      </c>
    </row>
    <row r="1779" spans="1:16" x14ac:dyDescent="0.25">
      <c r="A1779">
        <v>291</v>
      </c>
      <c r="B1779">
        <v>1086</v>
      </c>
      <c r="C1779">
        <v>1918</v>
      </c>
      <c r="D1779">
        <v>3.62</v>
      </c>
      <c r="E1779">
        <v>67000</v>
      </c>
      <c r="F1779">
        <v>5</v>
      </c>
      <c r="G1779">
        <v>67000050</v>
      </c>
      <c r="H1779">
        <v>622</v>
      </c>
      <c r="I1779">
        <v>0</v>
      </c>
      <c r="J1779" s="2">
        <f t="shared" si="62"/>
        <v>0</v>
      </c>
      <c r="K1779">
        <v>1778</v>
      </c>
      <c r="L1779" s="3">
        <f>SUM($I$2:$I1779)</f>
        <v>6345680</v>
      </c>
      <c r="M1779" s="3">
        <f>SUM($J$2:$J1779)</f>
        <v>25360717.499999981</v>
      </c>
      <c r="N1779" s="2">
        <f>SUM($D$2:$D1779)</f>
        <v>16683.249999999982</v>
      </c>
      <c r="O1779" s="2">
        <f t="shared" si="63"/>
        <v>0.99421169246465169</v>
      </c>
      <c r="P1779" s="2" cm="1">
        <f t="array" ref="P1779">SUMPRODUCT((O1779&gt;$T$9:$T$14)*(O1779&lt;=$U$9:$U$14),$S$9:$S$14)</f>
        <v>5</v>
      </c>
    </row>
    <row r="1780" spans="1:16" x14ac:dyDescent="0.25">
      <c r="A1780">
        <v>1489</v>
      </c>
      <c r="B1780">
        <v>321</v>
      </c>
      <c r="C1780">
        <v>1456</v>
      </c>
      <c r="D1780">
        <v>3.56</v>
      </c>
      <c r="E1780">
        <v>44400</v>
      </c>
      <c r="F1780">
        <v>11.4</v>
      </c>
      <c r="G1780">
        <v>44400114</v>
      </c>
      <c r="H1780">
        <v>130</v>
      </c>
      <c r="I1780">
        <v>0</v>
      </c>
      <c r="J1780" s="2">
        <f t="shared" si="62"/>
        <v>0</v>
      </c>
      <c r="K1780">
        <v>1779</v>
      </c>
      <c r="L1780" s="3">
        <f>SUM($I$2:$I1780)</f>
        <v>6345680</v>
      </c>
      <c r="M1780" s="3">
        <f>SUM($J$2:$J1780)</f>
        <v>25360717.499999981</v>
      </c>
      <c r="N1780" s="2">
        <f>SUM($D$2:$D1780)</f>
        <v>16686.809999999983</v>
      </c>
      <c r="O1780" s="2">
        <f t="shared" si="63"/>
        <v>0.99442384499039904</v>
      </c>
      <c r="P1780" s="2" cm="1">
        <f t="array" ref="P1780">SUMPRODUCT((O1780&gt;$T$9:$T$14)*(O1780&lt;=$U$9:$U$14),$S$9:$S$14)</f>
        <v>5</v>
      </c>
    </row>
    <row r="1781" spans="1:16" x14ac:dyDescent="0.25">
      <c r="A1781">
        <v>456</v>
      </c>
      <c r="B1781">
        <v>1243</v>
      </c>
      <c r="C1781">
        <v>632</v>
      </c>
      <c r="D1781">
        <v>3.51</v>
      </c>
      <c r="E1781">
        <v>17860</v>
      </c>
      <c r="F1781">
        <v>12.9</v>
      </c>
      <c r="G1781">
        <v>17860129</v>
      </c>
      <c r="H1781">
        <v>11</v>
      </c>
      <c r="I1781">
        <v>0</v>
      </c>
      <c r="J1781" s="2">
        <f t="shared" si="62"/>
        <v>0</v>
      </c>
      <c r="K1781">
        <v>1780</v>
      </c>
      <c r="L1781" s="3">
        <f>SUM($I$2:$I1781)</f>
        <v>6345680</v>
      </c>
      <c r="M1781" s="3">
        <f>SUM($J$2:$J1781)</f>
        <v>25360717.499999981</v>
      </c>
      <c r="N1781" s="2">
        <f>SUM($D$2:$D1781)</f>
        <v>16690.319999999982</v>
      </c>
      <c r="O1781" s="2">
        <f t="shared" si="63"/>
        <v>0.99463301784584091</v>
      </c>
      <c r="P1781" s="2" cm="1">
        <f t="array" ref="P1781">SUMPRODUCT((O1781&gt;$T$9:$T$14)*(O1781&lt;=$U$9:$U$14),$S$9:$S$14)</f>
        <v>5</v>
      </c>
    </row>
    <row r="1782" spans="1:16" x14ac:dyDescent="0.25">
      <c r="A1782">
        <v>1744</v>
      </c>
      <c r="B1782">
        <v>1744</v>
      </c>
      <c r="C1782">
        <v>0</v>
      </c>
      <c r="D1782">
        <v>3.32</v>
      </c>
      <c r="E1782">
        <v>74130</v>
      </c>
      <c r="F1782">
        <v>0</v>
      </c>
      <c r="G1782">
        <v>74130000</v>
      </c>
      <c r="H1782" t="s">
        <v>5</v>
      </c>
      <c r="I1782">
        <v>0</v>
      </c>
      <c r="J1782" s="2">
        <f t="shared" si="62"/>
        <v>0</v>
      </c>
      <c r="K1782">
        <v>1781</v>
      </c>
      <c r="L1782" s="3">
        <f>SUM($I$2:$I1782)</f>
        <v>6345680</v>
      </c>
      <c r="M1782" s="3">
        <f>SUM($J$2:$J1782)</f>
        <v>25360717.499999981</v>
      </c>
      <c r="N1782" s="2">
        <f>SUM($D$2:$D1782)</f>
        <v>16693.639999999981</v>
      </c>
      <c r="O1782" s="2">
        <f t="shared" si="63"/>
        <v>0.99483086795412212</v>
      </c>
      <c r="P1782" s="2" cm="1">
        <f t="array" ref="P1782">SUMPRODUCT((O1782&gt;$T$9:$T$14)*(O1782&lt;=$U$9:$U$14),$S$9:$S$14)</f>
        <v>5</v>
      </c>
    </row>
    <row r="1783" spans="1:16" x14ac:dyDescent="0.25">
      <c r="A1783">
        <v>996</v>
      </c>
      <c r="B1783">
        <v>622</v>
      </c>
      <c r="C1783">
        <v>294</v>
      </c>
      <c r="D1783">
        <v>3.2</v>
      </c>
      <c r="E1783">
        <v>17870</v>
      </c>
      <c r="F1783">
        <v>29.4</v>
      </c>
      <c r="G1783">
        <v>17870294</v>
      </c>
      <c r="H1783">
        <v>11</v>
      </c>
      <c r="I1783">
        <v>0</v>
      </c>
      <c r="J1783" s="2">
        <f t="shared" si="62"/>
        <v>0</v>
      </c>
      <c r="K1783">
        <v>1782</v>
      </c>
      <c r="L1783" s="3">
        <f>SUM($I$2:$I1783)</f>
        <v>6345680</v>
      </c>
      <c r="M1783" s="3">
        <f>SUM($J$2:$J1783)</f>
        <v>25360717.499999981</v>
      </c>
      <c r="N1783" s="2">
        <f>SUM($D$2:$D1783)</f>
        <v>16696.839999999982</v>
      </c>
      <c r="O1783" s="2">
        <f t="shared" si="63"/>
        <v>0.99502156685367027</v>
      </c>
      <c r="P1783" s="2" cm="1">
        <f t="array" ref="P1783">SUMPRODUCT((O1783&gt;$T$9:$T$14)*(O1783&lt;=$U$9:$U$14),$S$9:$S$14)</f>
        <v>5</v>
      </c>
    </row>
    <row r="1784" spans="1:16" x14ac:dyDescent="0.25">
      <c r="A1784">
        <v>1576</v>
      </c>
      <c r="B1784">
        <v>1576</v>
      </c>
      <c r="C1784">
        <v>2065</v>
      </c>
      <c r="D1784">
        <v>3.04</v>
      </c>
      <c r="E1784">
        <v>48652</v>
      </c>
      <c r="F1784">
        <v>0.8</v>
      </c>
      <c r="G1784">
        <v>48652008</v>
      </c>
      <c r="H1784">
        <v>406</v>
      </c>
      <c r="I1784">
        <v>0</v>
      </c>
      <c r="J1784" s="2">
        <f t="shared" si="62"/>
        <v>0</v>
      </c>
      <c r="K1784">
        <v>1783</v>
      </c>
      <c r="L1784" s="3">
        <f>SUM($I$2:$I1784)</f>
        <v>6345680</v>
      </c>
      <c r="M1784" s="3">
        <f>SUM($J$2:$J1784)</f>
        <v>25360717.499999981</v>
      </c>
      <c r="N1784" s="2">
        <f>SUM($D$2:$D1784)</f>
        <v>16699.879999999983</v>
      </c>
      <c r="O1784" s="2">
        <f t="shared" si="63"/>
        <v>0.99520273080824107</v>
      </c>
      <c r="P1784" s="2" cm="1">
        <f t="array" ref="P1784">SUMPRODUCT((O1784&gt;$T$9:$T$14)*(O1784&lt;=$U$9:$U$14),$S$9:$S$14)</f>
        <v>5</v>
      </c>
    </row>
    <row r="1785" spans="1:16" x14ac:dyDescent="0.25">
      <c r="A1785">
        <v>390</v>
      </c>
      <c r="B1785">
        <v>1185</v>
      </c>
      <c r="C1785">
        <v>552</v>
      </c>
      <c r="D1785">
        <v>2.95</v>
      </c>
      <c r="E1785">
        <v>14400</v>
      </c>
      <c r="F1785">
        <v>7.9</v>
      </c>
      <c r="G1785">
        <v>14400079</v>
      </c>
      <c r="H1785">
        <v>7</v>
      </c>
      <c r="I1785">
        <v>0</v>
      </c>
      <c r="J1785" s="2">
        <f t="shared" si="62"/>
        <v>0</v>
      </c>
      <c r="K1785">
        <v>1784</v>
      </c>
      <c r="L1785" s="3">
        <f>SUM($I$2:$I1785)</f>
        <v>6345680</v>
      </c>
      <c r="M1785" s="3">
        <f>SUM($J$2:$J1785)</f>
        <v>25360717.499999981</v>
      </c>
      <c r="N1785" s="2">
        <f>SUM($D$2:$D1785)</f>
        <v>16702.829999999984</v>
      </c>
      <c r="O1785" s="2">
        <f t="shared" si="63"/>
        <v>0.99537853135626209</v>
      </c>
      <c r="P1785" s="2" cm="1">
        <f t="array" ref="P1785">SUMPRODUCT((O1785&gt;$T$9:$T$14)*(O1785&lt;=$U$9:$U$14),$S$9:$S$14)</f>
        <v>5</v>
      </c>
    </row>
    <row r="1786" spans="1:16" x14ac:dyDescent="0.25">
      <c r="A1786">
        <v>497</v>
      </c>
      <c r="B1786">
        <v>1284</v>
      </c>
      <c r="C1786">
        <v>684</v>
      </c>
      <c r="D1786">
        <v>2.9</v>
      </c>
      <c r="E1786">
        <v>21328</v>
      </c>
      <c r="F1786">
        <v>0</v>
      </c>
      <c r="G1786">
        <v>21328000</v>
      </c>
      <c r="H1786">
        <v>17</v>
      </c>
      <c r="I1786">
        <v>0</v>
      </c>
      <c r="J1786" s="2">
        <f t="shared" si="62"/>
        <v>0</v>
      </c>
      <c r="K1786">
        <v>1785</v>
      </c>
      <c r="L1786" s="3">
        <f>SUM($I$2:$I1786)</f>
        <v>6345680</v>
      </c>
      <c r="M1786" s="3">
        <f>SUM($J$2:$J1786)</f>
        <v>25360717.499999981</v>
      </c>
      <c r="N1786" s="2">
        <f>SUM($D$2:$D1786)</f>
        <v>16705.729999999985</v>
      </c>
      <c r="O1786" s="2">
        <f t="shared" si="63"/>
        <v>0.99555135223397773</v>
      </c>
      <c r="P1786" s="2" cm="1">
        <f t="array" ref="P1786">SUMPRODUCT((O1786&gt;$T$9:$T$14)*(O1786&lt;=$U$9:$U$14),$S$9:$S$14)</f>
        <v>5</v>
      </c>
    </row>
    <row r="1787" spans="1:16" x14ac:dyDescent="0.25">
      <c r="A1787">
        <v>811</v>
      </c>
      <c r="B1787">
        <v>437</v>
      </c>
      <c r="C1787">
        <v>46</v>
      </c>
      <c r="D1787">
        <v>2.8</v>
      </c>
      <c r="E1787">
        <v>12229</v>
      </c>
      <c r="F1787">
        <v>6.9</v>
      </c>
      <c r="G1787">
        <v>12229069</v>
      </c>
      <c r="H1787">
        <v>3</v>
      </c>
      <c r="I1787">
        <v>0</v>
      </c>
      <c r="J1787" s="2">
        <f t="shared" si="62"/>
        <v>0</v>
      </c>
      <c r="K1787">
        <v>1786</v>
      </c>
      <c r="L1787" s="3">
        <f>SUM($I$2:$I1787)</f>
        <v>6345680</v>
      </c>
      <c r="M1787" s="3">
        <f>SUM($J$2:$J1787)</f>
        <v>25360717.499999981</v>
      </c>
      <c r="N1787" s="2">
        <f>SUM($D$2:$D1787)</f>
        <v>16708.529999999984</v>
      </c>
      <c r="O1787" s="2">
        <f t="shared" si="63"/>
        <v>0.99571821377108227</v>
      </c>
      <c r="P1787" s="2" cm="1">
        <f t="array" ref="P1787">SUMPRODUCT((O1787&gt;$T$9:$T$14)*(O1787&lt;=$U$9:$U$14),$S$9:$S$14)</f>
        <v>5</v>
      </c>
    </row>
    <row r="1788" spans="1:16" x14ac:dyDescent="0.25">
      <c r="A1788">
        <v>1781</v>
      </c>
      <c r="B1788">
        <v>1781</v>
      </c>
      <c r="C1788">
        <v>0</v>
      </c>
      <c r="D1788">
        <v>2.72</v>
      </c>
      <c r="E1788">
        <v>98105</v>
      </c>
      <c r="F1788">
        <v>0</v>
      </c>
      <c r="G1788">
        <v>98105000</v>
      </c>
      <c r="H1788">
        <v>7909</v>
      </c>
      <c r="I1788">
        <v>0</v>
      </c>
      <c r="J1788" s="2">
        <f t="shared" si="62"/>
        <v>0</v>
      </c>
      <c r="K1788">
        <v>1787</v>
      </c>
      <c r="L1788" s="3">
        <f>SUM($I$2:$I1788)</f>
        <v>6345680</v>
      </c>
      <c r="M1788" s="3">
        <f>SUM($J$2:$J1788)</f>
        <v>25360717.499999981</v>
      </c>
      <c r="N1788" s="2">
        <f>SUM($D$2:$D1788)</f>
        <v>16711.249999999985</v>
      </c>
      <c r="O1788" s="2">
        <f t="shared" si="63"/>
        <v>0.99588030783569836</v>
      </c>
      <c r="P1788" s="2" cm="1">
        <f t="array" ref="P1788">SUMPRODUCT((O1788&gt;$T$9:$T$14)*(O1788&lt;=$U$9:$U$14),$S$9:$S$14)</f>
        <v>5</v>
      </c>
    </row>
    <row r="1789" spans="1:16" x14ac:dyDescent="0.25">
      <c r="A1789">
        <v>1768</v>
      </c>
      <c r="B1789">
        <v>1768</v>
      </c>
      <c r="C1789">
        <v>0</v>
      </c>
      <c r="D1789">
        <v>2.7</v>
      </c>
      <c r="E1789">
        <v>79140</v>
      </c>
      <c r="F1789">
        <v>0</v>
      </c>
      <c r="G1789">
        <v>79140000</v>
      </c>
      <c r="H1789">
        <v>7140</v>
      </c>
      <c r="I1789">
        <v>0</v>
      </c>
      <c r="J1789" s="2">
        <f t="shared" si="62"/>
        <v>0</v>
      </c>
      <c r="K1789">
        <v>1788</v>
      </c>
      <c r="L1789" s="3">
        <f>SUM($I$2:$I1789)</f>
        <v>6345680</v>
      </c>
      <c r="M1789" s="3">
        <f>SUM($J$2:$J1789)</f>
        <v>25360717.499999981</v>
      </c>
      <c r="N1789" s="2">
        <f>SUM($D$2:$D1789)</f>
        <v>16713.949999999986</v>
      </c>
      <c r="O1789" s="2">
        <f t="shared" si="63"/>
        <v>0.99604121003219215</v>
      </c>
      <c r="P1789" s="2" cm="1">
        <f t="array" ref="P1789">SUMPRODUCT((O1789&gt;$T$9:$T$14)*(O1789&lt;=$U$9:$U$14),$S$9:$S$14)</f>
        <v>5</v>
      </c>
    </row>
    <row r="1790" spans="1:16" x14ac:dyDescent="0.25">
      <c r="A1790">
        <v>1814</v>
      </c>
      <c r="B1790">
        <v>1814</v>
      </c>
      <c r="C1790">
        <v>0</v>
      </c>
      <c r="D1790">
        <v>2.61</v>
      </c>
      <c r="E1790">
        <v>49080</v>
      </c>
      <c r="F1790">
        <v>0</v>
      </c>
      <c r="G1790">
        <v>49080000</v>
      </c>
      <c r="H1790">
        <v>410</v>
      </c>
      <c r="I1790">
        <v>0</v>
      </c>
      <c r="J1790" s="2">
        <f t="shared" si="62"/>
        <v>0</v>
      </c>
      <c r="K1790">
        <v>1789</v>
      </c>
      <c r="L1790" s="3">
        <f>SUM($I$2:$I1790)</f>
        <v>6345680</v>
      </c>
      <c r="M1790" s="3">
        <f>SUM($J$2:$J1790)</f>
        <v>25360717.499999981</v>
      </c>
      <c r="N1790" s="2">
        <f>SUM($D$2:$D1790)</f>
        <v>16716.559999999987</v>
      </c>
      <c r="O1790" s="2">
        <f t="shared" si="63"/>
        <v>0.99619674882213616</v>
      </c>
      <c r="P1790" s="2" cm="1">
        <f t="array" ref="P1790">SUMPRODUCT((O1790&gt;$T$9:$T$14)*(O1790&lt;=$U$9:$U$14),$S$9:$S$14)</f>
        <v>5</v>
      </c>
    </row>
    <row r="1791" spans="1:16" x14ac:dyDescent="0.25">
      <c r="A1791">
        <v>297</v>
      </c>
      <c r="B1791">
        <v>1092</v>
      </c>
      <c r="C1791">
        <v>1926</v>
      </c>
      <c r="D1791">
        <v>2.6</v>
      </c>
      <c r="E1791">
        <v>66300</v>
      </c>
      <c r="F1791">
        <v>1.5</v>
      </c>
      <c r="G1791">
        <v>66300015</v>
      </c>
      <c r="H1791">
        <v>618</v>
      </c>
      <c r="I1791">
        <v>0</v>
      </c>
      <c r="J1791" s="2">
        <f t="shared" si="62"/>
        <v>0</v>
      </c>
      <c r="K1791">
        <v>1790</v>
      </c>
      <c r="L1791" s="3">
        <f>SUM($I$2:$I1791)</f>
        <v>6345680</v>
      </c>
      <c r="M1791" s="3">
        <f>SUM($J$2:$J1791)</f>
        <v>25360717.499999981</v>
      </c>
      <c r="N1791" s="2">
        <f>SUM($D$2:$D1791)</f>
        <v>16719.159999999985</v>
      </c>
      <c r="O1791" s="2">
        <f t="shared" si="63"/>
        <v>0.99635169167801896</v>
      </c>
      <c r="P1791" s="2" cm="1">
        <f t="array" ref="P1791">SUMPRODUCT((O1791&gt;$T$9:$T$14)*(O1791&lt;=$U$9:$U$14),$S$9:$S$14)</f>
        <v>5</v>
      </c>
    </row>
    <row r="1792" spans="1:16" x14ac:dyDescent="0.25">
      <c r="A1792">
        <v>1840</v>
      </c>
      <c r="B1792">
        <v>1840</v>
      </c>
      <c r="C1792">
        <v>0</v>
      </c>
      <c r="D1792">
        <v>2.57</v>
      </c>
      <c r="E1792">
        <v>11730</v>
      </c>
      <c r="F1792">
        <v>0</v>
      </c>
      <c r="G1792">
        <v>11730000</v>
      </c>
      <c r="H1792">
        <v>3</v>
      </c>
      <c r="I1792">
        <v>0</v>
      </c>
      <c r="J1792" s="2">
        <f t="shared" si="62"/>
        <v>0</v>
      </c>
      <c r="K1792">
        <v>1791</v>
      </c>
      <c r="L1792" s="3">
        <f>SUM($I$2:$I1792)</f>
        <v>6345680</v>
      </c>
      <c r="M1792" s="3">
        <f>SUM($J$2:$J1792)</f>
        <v>25360717.499999981</v>
      </c>
      <c r="N1792" s="2">
        <f>SUM($D$2:$D1792)</f>
        <v>16721.729999999985</v>
      </c>
      <c r="O1792" s="2">
        <f t="shared" si="63"/>
        <v>0.99650484673171857</v>
      </c>
      <c r="P1792" s="2" cm="1">
        <f t="array" ref="P1792">SUMPRODUCT((O1792&gt;$T$9:$T$14)*(O1792&lt;=$U$9:$U$14),$S$9:$S$14)</f>
        <v>5</v>
      </c>
    </row>
    <row r="1793" spans="1:16" x14ac:dyDescent="0.25">
      <c r="A1793">
        <v>1816</v>
      </c>
      <c r="B1793">
        <v>1816</v>
      </c>
      <c r="C1793">
        <v>761</v>
      </c>
      <c r="D1793">
        <v>2.4300000000000002</v>
      </c>
      <c r="E1793">
        <v>14510</v>
      </c>
      <c r="F1793">
        <v>3.5</v>
      </c>
      <c r="G1793">
        <v>14510035</v>
      </c>
      <c r="H1793">
        <v>7</v>
      </c>
      <c r="I1793">
        <v>0</v>
      </c>
      <c r="J1793" s="2">
        <f t="shared" si="62"/>
        <v>0</v>
      </c>
      <c r="K1793">
        <v>1792</v>
      </c>
      <c r="L1793" s="3">
        <f>SUM($I$2:$I1793)</f>
        <v>6345680</v>
      </c>
      <c r="M1793" s="3">
        <f>SUM($J$2:$J1793)</f>
        <v>25360717.499999981</v>
      </c>
      <c r="N1793" s="2">
        <f>SUM($D$2:$D1793)</f>
        <v>16724.159999999985</v>
      </c>
      <c r="O1793" s="2">
        <f t="shared" si="63"/>
        <v>0.99664965870856292</v>
      </c>
      <c r="P1793" s="2" cm="1">
        <f t="array" ref="P1793">SUMPRODUCT((O1793&gt;$T$9:$T$14)*(O1793&lt;=$U$9:$U$14),$S$9:$S$14)</f>
        <v>5</v>
      </c>
    </row>
    <row r="1794" spans="1:16" x14ac:dyDescent="0.25">
      <c r="A1794">
        <v>1762</v>
      </c>
      <c r="B1794">
        <v>1762</v>
      </c>
      <c r="C1794">
        <v>0</v>
      </c>
      <c r="D1794">
        <v>2.41</v>
      </c>
      <c r="E1794">
        <v>80700</v>
      </c>
      <c r="F1794">
        <v>2.4</v>
      </c>
      <c r="G1794">
        <v>80700024</v>
      </c>
      <c r="H1794">
        <v>7151</v>
      </c>
      <c r="I1794">
        <v>0</v>
      </c>
      <c r="J1794" s="2">
        <f t="shared" ref="J1794:J1845" si="64">I1794*D1794</f>
        <v>0</v>
      </c>
      <c r="K1794">
        <v>1793</v>
      </c>
      <c r="L1794" s="3">
        <f>SUM($I$2:$I1794)</f>
        <v>6345680</v>
      </c>
      <c r="M1794" s="3">
        <f>SUM($J$2:$J1794)</f>
        <v>25360717.499999981</v>
      </c>
      <c r="N1794" s="2">
        <f>SUM($D$2:$D1794)</f>
        <v>16726.569999999985</v>
      </c>
      <c r="O1794" s="2">
        <f t="shared" ref="O1794:O1845" si="65">N1794/$T$4</f>
        <v>0.99679327881728508</v>
      </c>
      <c r="P1794" s="2" cm="1">
        <f t="array" ref="P1794">SUMPRODUCT((O1794&gt;$T$9:$T$14)*(O1794&lt;=$U$9:$U$14),$S$9:$S$14)</f>
        <v>5</v>
      </c>
    </row>
    <row r="1795" spans="1:16" x14ac:dyDescent="0.25">
      <c r="A1795">
        <v>1761</v>
      </c>
      <c r="B1795">
        <v>1761</v>
      </c>
      <c r="C1795">
        <v>0</v>
      </c>
      <c r="D1795">
        <v>2.38</v>
      </c>
      <c r="E1795">
        <v>80700</v>
      </c>
      <c r="F1795">
        <v>0</v>
      </c>
      <c r="G1795">
        <v>80700000</v>
      </c>
      <c r="H1795">
        <v>7151</v>
      </c>
      <c r="I1795">
        <v>0</v>
      </c>
      <c r="J1795" s="2">
        <f t="shared" si="64"/>
        <v>0</v>
      </c>
      <c r="K1795">
        <v>1794</v>
      </c>
      <c r="L1795" s="3">
        <f>SUM($I$2:$I1795)</f>
        <v>6345680</v>
      </c>
      <c r="M1795" s="3">
        <f>SUM($J$2:$J1795)</f>
        <v>25360717.499999981</v>
      </c>
      <c r="N1795" s="2">
        <f>SUM($D$2:$D1795)</f>
        <v>16728.949999999986</v>
      </c>
      <c r="O1795" s="2">
        <f t="shared" si="65"/>
        <v>0.99693511112382416</v>
      </c>
      <c r="P1795" s="2" cm="1">
        <f t="array" ref="P1795">SUMPRODUCT((O1795&gt;$T$9:$T$14)*(O1795&lt;=$U$9:$U$14),$S$9:$S$14)</f>
        <v>5</v>
      </c>
    </row>
    <row r="1796" spans="1:16" x14ac:dyDescent="0.25">
      <c r="A1796">
        <v>955</v>
      </c>
      <c r="B1796">
        <v>581</v>
      </c>
      <c r="C1796">
        <v>239</v>
      </c>
      <c r="D1796">
        <v>2.33</v>
      </c>
      <c r="E1796">
        <v>18410</v>
      </c>
      <c r="F1796">
        <v>6.6</v>
      </c>
      <c r="G1796">
        <v>18410066</v>
      </c>
      <c r="H1796">
        <v>11</v>
      </c>
      <c r="I1796">
        <v>0</v>
      </c>
      <c r="J1796" s="2">
        <f t="shared" si="64"/>
        <v>0</v>
      </c>
      <c r="K1796">
        <v>1795</v>
      </c>
      <c r="L1796" s="3">
        <f>SUM($I$2:$I1796)</f>
        <v>6345680</v>
      </c>
      <c r="M1796" s="3">
        <f>SUM($J$2:$J1796)</f>
        <v>25360717.499999981</v>
      </c>
      <c r="N1796" s="2">
        <f>SUM($D$2:$D1796)</f>
        <v>16731.279999999988</v>
      </c>
      <c r="O1796" s="2">
        <f t="shared" si="65"/>
        <v>0.99707396376005775</v>
      </c>
      <c r="P1796" s="2" cm="1">
        <f t="array" ref="P1796">SUMPRODUCT((O1796&gt;$T$9:$T$14)*(O1796&lt;=$U$9:$U$14),$S$9:$S$14)</f>
        <v>5</v>
      </c>
    </row>
    <row r="1797" spans="1:16" x14ac:dyDescent="0.25">
      <c r="A1797">
        <v>1143</v>
      </c>
      <c r="B1797">
        <v>769</v>
      </c>
      <c r="C1797">
        <v>485</v>
      </c>
      <c r="D1797">
        <v>2.27</v>
      </c>
      <c r="E1797">
        <v>18900</v>
      </c>
      <c r="F1797">
        <v>5.6</v>
      </c>
      <c r="G1797">
        <v>18900079</v>
      </c>
      <c r="H1797" t="s">
        <v>6</v>
      </c>
      <c r="I1797">
        <v>0</v>
      </c>
      <c r="J1797" s="2">
        <f t="shared" si="64"/>
        <v>0</v>
      </c>
      <c r="K1797">
        <v>1796</v>
      </c>
      <c r="L1797" s="3">
        <f>SUM($I$2:$I1797)</f>
        <v>6345680</v>
      </c>
      <c r="M1797" s="3">
        <f>SUM($J$2:$J1797)</f>
        <v>25360717.499999981</v>
      </c>
      <c r="N1797" s="2">
        <f>SUM($D$2:$D1797)</f>
        <v>16733.549999999988</v>
      </c>
      <c r="O1797" s="2">
        <f t="shared" si="65"/>
        <v>0.99720924079192474</v>
      </c>
      <c r="P1797" s="2" cm="1">
        <f t="array" ref="P1797">SUMPRODUCT((O1797&gt;$T$9:$T$14)*(O1797&lt;=$U$9:$U$14),$S$9:$S$14)</f>
        <v>5</v>
      </c>
    </row>
    <row r="1798" spans="1:16" x14ac:dyDescent="0.25">
      <c r="A1798">
        <v>1817</v>
      </c>
      <c r="B1798">
        <v>1817</v>
      </c>
      <c r="C1798">
        <v>0</v>
      </c>
      <c r="D1798">
        <v>2.27</v>
      </c>
      <c r="E1798">
        <v>81210</v>
      </c>
      <c r="F1798">
        <v>0</v>
      </c>
      <c r="G1798">
        <v>81210000</v>
      </c>
      <c r="H1798">
        <v>7189</v>
      </c>
      <c r="I1798">
        <v>0</v>
      </c>
      <c r="J1798" s="2">
        <f t="shared" si="64"/>
        <v>0</v>
      </c>
      <c r="K1798">
        <v>1797</v>
      </c>
      <c r="L1798" s="3">
        <f>SUM($I$2:$I1798)</f>
        <v>6345680</v>
      </c>
      <c r="M1798" s="3">
        <f>SUM($J$2:$J1798)</f>
        <v>25360717.499999981</v>
      </c>
      <c r="N1798" s="2">
        <f>SUM($D$2:$D1798)</f>
        <v>16735.819999999989</v>
      </c>
      <c r="O1798" s="2">
        <f t="shared" si="65"/>
        <v>0.99734451782379174</v>
      </c>
      <c r="P1798" s="2" cm="1">
        <f t="array" ref="P1798">SUMPRODUCT((O1798&gt;$T$9:$T$14)*(O1798&lt;=$U$9:$U$14),$S$9:$S$14)</f>
        <v>5</v>
      </c>
    </row>
    <row r="1799" spans="1:16" x14ac:dyDescent="0.25">
      <c r="A1799">
        <v>572</v>
      </c>
      <c r="B1799">
        <v>1359</v>
      </c>
      <c r="C1799">
        <v>782</v>
      </c>
      <c r="D1799">
        <v>2.1</v>
      </c>
      <c r="E1799">
        <v>21590</v>
      </c>
      <c r="F1799">
        <v>0</v>
      </c>
      <c r="G1799">
        <v>21590000</v>
      </c>
      <c r="H1799">
        <v>17</v>
      </c>
      <c r="I1799">
        <v>0</v>
      </c>
      <c r="J1799" s="2">
        <f t="shared" si="64"/>
        <v>0</v>
      </c>
      <c r="K1799">
        <v>1798</v>
      </c>
      <c r="L1799" s="3">
        <f>SUM($I$2:$I1799)</f>
        <v>6345680</v>
      </c>
      <c r="M1799" s="3">
        <f>SUM($J$2:$J1799)</f>
        <v>25360717.499999981</v>
      </c>
      <c r="N1799" s="2">
        <f>SUM($D$2:$D1799)</f>
        <v>16737.919999999987</v>
      </c>
      <c r="O1799" s="2">
        <f t="shared" si="65"/>
        <v>0.99746966397662018</v>
      </c>
      <c r="P1799" s="2" cm="1">
        <f t="array" ref="P1799">SUMPRODUCT((O1799&gt;$T$9:$T$14)*(O1799&lt;=$U$9:$U$14),$S$9:$S$14)</f>
        <v>5</v>
      </c>
    </row>
    <row r="1800" spans="1:16" x14ac:dyDescent="0.25">
      <c r="A1800">
        <v>1773</v>
      </c>
      <c r="B1800">
        <v>1773</v>
      </c>
      <c r="C1800">
        <v>0</v>
      </c>
      <c r="D1800">
        <v>2.09</v>
      </c>
      <c r="E1800">
        <v>73722</v>
      </c>
      <c r="F1800">
        <v>0</v>
      </c>
      <c r="G1800">
        <v>73722000</v>
      </c>
      <c r="H1800">
        <v>7042</v>
      </c>
      <c r="I1800">
        <v>0</v>
      </c>
      <c r="J1800" s="2">
        <f t="shared" si="64"/>
        <v>0</v>
      </c>
      <c r="K1800">
        <v>1799</v>
      </c>
      <c r="L1800" s="3">
        <f>SUM($I$2:$I1800)</f>
        <v>6345680</v>
      </c>
      <c r="M1800" s="3">
        <f>SUM($J$2:$J1800)</f>
        <v>25360717.499999981</v>
      </c>
      <c r="N1800" s="2">
        <f>SUM($D$2:$D1800)</f>
        <v>16740.009999999987</v>
      </c>
      <c r="O1800" s="2">
        <f t="shared" si="65"/>
        <v>0.99759421419538752</v>
      </c>
      <c r="P1800" s="2" cm="1">
        <f t="array" ref="P1800">SUMPRODUCT((O1800&gt;$T$9:$T$14)*(O1800&lt;=$U$9:$U$14),$S$9:$S$14)</f>
        <v>5</v>
      </c>
    </row>
    <row r="1801" spans="1:16" x14ac:dyDescent="0.25">
      <c r="A1801">
        <v>1812</v>
      </c>
      <c r="B1801">
        <v>1812</v>
      </c>
      <c r="C1801">
        <v>0</v>
      </c>
      <c r="D1801">
        <v>2.0699999999999998</v>
      </c>
      <c r="E1801">
        <v>48544</v>
      </c>
      <c r="F1801">
        <v>0</v>
      </c>
      <c r="G1801">
        <v>48544000</v>
      </c>
      <c r="H1801">
        <v>404</v>
      </c>
      <c r="I1801">
        <v>0</v>
      </c>
      <c r="J1801" s="2">
        <f t="shared" si="64"/>
        <v>0</v>
      </c>
      <c r="K1801">
        <v>1800</v>
      </c>
      <c r="L1801" s="3">
        <f>SUM($I$2:$I1801)</f>
        <v>6345680</v>
      </c>
      <c r="M1801" s="3">
        <f>SUM($J$2:$J1801)</f>
        <v>25360717.499999981</v>
      </c>
      <c r="N1801" s="2">
        <f>SUM($D$2:$D1801)</f>
        <v>16742.079999999987</v>
      </c>
      <c r="O1801" s="2">
        <f t="shared" si="65"/>
        <v>0.99771757254603277</v>
      </c>
      <c r="P1801" s="2" cm="1">
        <f t="array" ref="P1801">SUMPRODUCT((O1801&gt;$T$9:$T$14)*(O1801&lt;=$U$9:$U$14),$S$9:$S$14)</f>
        <v>5</v>
      </c>
    </row>
    <row r="1802" spans="1:16" x14ac:dyDescent="0.25">
      <c r="A1802">
        <v>1159</v>
      </c>
      <c r="B1802">
        <v>785</v>
      </c>
      <c r="C1802">
        <v>504</v>
      </c>
      <c r="D1802">
        <v>2.02</v>
      </c>
      <c r="E1802">
        <v>13495</v>
      </c>
      <c r="F1802">
        <v>0</v>
      </c>
      <c r="G1802">
        <v>13495000</v>
      </c>
      <c r="H1802">
        <v>6</v>
      </c>
      <c r="I1802">
        <v>0</v>
      </c>
      <c r="J1802" s="2">
        <f t="shared" si="64"/>
        <v>0</v>
      </c>
      <c r="K1802">
        <v>1801</v>
      </c>
      <c r="L1802" s="3">
        <f>SUM($I$2:$I1802)</f>
        <v>6345680</v>
      </c>
      <c r="M1802" s="3">
        <f>SUM($J$2:$J1802)</f>
        <v>25360717.499999981</v>
      </c>
      <c r="N1802" s="2">
        <f>SUM($D$2:$D1802)</f>
        <v>16744.099999999988</v>
      </c>
      <c r="O1802" s="2">
        <f t="shared" si="65"/>
        <v>0.99783795122637253</v>
      </c>
      <c r="P1802" s="2" cm="1">
        <f t="array" ref="P1802">SUMPRODUCT((O1802&gt;$T$9:$T$14)*(O1802&lt;=$U$9:$U$14),$S$9:$S$14)</f>
        <v>5</v>
      </c>
    </row>
    <row r="1803" spans="1:16" x14ac:dyDescent="0.25">
      <c r="A1803">
        <v>1638</v>
      </c>
      <c r="B1803">
        <v>1638</v>
      </c>
      <c r="C1803">
        <v>2133</v>
      </c>
      <c r="D1803">
        <v>2</v>
      </c>
      <c r="E1803">
        <v>48643</v>
      </c>
      <c r="F1803">
        <v>1.2</v>
      </c>
      <c r="G1803">
        <v>48643012</v>
      </c>
      <c r="H1803">
        <v>406</v>
      </c>
      <c r="I1803">
        <v>0</v>
      </c>
      <c r="J1803" s="2">
        <f t="shared" si="64"/>
        <v>0</v>
      </c>
      <c r="K1803">
        <v>1802</v>
      </c>
      <c r="L1803" s="3">
        <f>SUM($I$2:$I1803)</f>
        <v>6345680</v>
      </c>
      <c r="M1803" s="3">
        <f>SUM($J$2:$J1803)</f>
        <v>25360717.499999981</v>
      </c>
      <c r="N1803" s="2">
        <f>SUM($D$2:$D1803)</f>
        <v>16746.099999999988</v>
      </c>
      <c r="O1803" s="2">
        <f t="shared" si="65"/>
        <v>0.99795713803859021</v>
      </c>
      <c r="P1803" s="2" cm="1">
        <f t="array" ref="P1803">SUMPRODUCT((O1803&gt;$T$9:$T$14)*(O1803&lt;=$U$9:$U$14),$S$9:$S$14)</f>
        <v>5</v>
      </c>
    </row>
    <row r="1804" spans="1:16" x14ac:dyDescent="0.25">
      <c r="A1804">
        <v>464</v>
      </c>
      <c r="B1804">
        <v>1251</v>
      </c>
      <c r="C1804">
        <v>645</v>
      </c>
      <c r="D1804">
        <v>1.89</v>
      </c>
      <c r="E1804">
        <v>21329</v>
      </c>
      <c r="F1804">
        <v>12.4</v>
      </c>
      <c r="G1804">
        <v>21329124</v>
      </c>
      <c r="H1804">
        <v>17</v>
      </c>
      <c r="I1804">
        <v>0</v>
      </c>
      <c r="J1804" s="2">
        <f t="shared" si="64"/>
        <v>0</v>
      </c>
      <c r="K1804">
        <v>1803</v>
      </c>
      <c r="L1804" s="3">
        <f>SUM($I$2:$I1804)</f>
        <v>6345680</v>
      </c>
      <c r="M1804" s="3">
        <f>SUM($J$2:$J1804)</f>
        <v>25360717.499999981</v>
      </c>
      <c r="N1804" s="2">
        <f>SUM($D$2:$D1804)</f>
        <v>16747.989999999987</v>
      </c>
      <c r="O1804" s="2">
        <f t="shared" si="65"/>
        <v>0.9980697695761358</v>
      </c>
      <c r="P1804" s="2" cm="1">
        <f t="array" ref="P1804">SUMPRODUCT((O1804&gt;$T$9:$T$14)*(O1804&lt;=$U$9:$U$14),$S$9:$S$14)</f>
        <v>5</v>
      </c>
    </row>
    <row r="1805" spans="1:16" x14ac:dyDescent="0.25">
      <c r="A1805">
        <v>1199</v>
      </c>
      <c r="B1805">
        <v>31</v>
      </c>
      <c r="C1805">
        <v>1086</v>
      </c>
      <c r="D1805">
        <v>1.86</v>
      </c>
      <c r="E1805">
        <v>29206</v>
      </c>
      <c r="F1805">
        <v>3.4</v>
      </c>
      <c r="G1805">
        <v>29206034</v>
      </c>
      <c r="H1805">
        <v>40</v>
      </c>
      <c r="I1805">
        <v>0</v>
      </c>
      <c r="J1805" s="2">
        <f t="shared" si="64"/>
        <v>0</v>
      </c>
      <c r="K1805">
        <v>1804</v>
      </c>
      <c r="L1805" s="3">
        <f>SUM($I$2:$I1805)</f>
        <v>6345680</v>
      </c>
      <c r="M1805" s="3">
        <f>SUM($J$2:$J1805)</f>
        <v>25360717.499999981</v>
      </c>
      <c r="N1805" s="2">
        <f>SUM($D$2:$D1805)</f>
        <v>16749.849999999988</v>
      </c>
      <c r="O1805" s="2">
        <f t="shared" si="65"/>
        <v>0.99818061331149821</v>
      </c>
      <c r="P1805" s="2" cm="1">
        <f t="array" ref="P1805">SUMPRODUCT((O1805&gt;$T$9:$T$14)*(O1805&lt;=$U$9:$U$14),$S$9:$S$14)</f>
        <v>5</v>
      </c>
    </row>
    <row r="1806" spans="1:16" x14ac:dyDescent="0.25">
      <c r="A1806">
        <v>5</v>
      </c>
      <c r="B1806">
        <v>402</v>
      </c>
      <c r="C1806">
        <v>1550</v>
      </c>
      <c r="D1806">
        <v>1.82</v>
      </c>
      <c r="E1806">
        <v>49076</v>
      </c>
      <c r="F1806">
        <v>0</v>
      </c>
      <c r="G1806">
        <v>49076000</v>
      </c>
      <c r="H1806">
        <v>410</v>
      </c>
      <c r="I1806">
        <v>0</v>
      </c>
      <c r="J1806" s="2">
        <f t="shared" si="64"/>
        <v>0</v>
      </c>
      <c r="K1806">
        <v>1805</v>
      </c>
      <c r="L1806" s="3">
        <f>SUM($I$2:$I1806)</f>
        <v>6345680</v>
      </c>
      <c r="M1806" s="3">
        <f>SUM($J$2:$J1806)</f>
        <v>25360717.499999981</v>
      </c>
      <c r="N1806" s="2">
        <f>SUM($D$2:$D1806)</f>
        <v>16751.669999999987</v>
      </c>
      <c r="O1806" s="2">
        <f t="shared" si="65"/>
        <v>0.99828907331061612</v>
      </c>
      <c r="P1806" s="2" cm="1">
        <f t="array" ref="P1806">SUMPRODUCT((O1806&gt;$T$9:$T$14)*(O1806&lt;=$U$9:$U$14),$S$9:$S$14)</f>
        <v>5</v>
      </c>
    </row>
    <row r="1807" spans="1:16" x14ac:dyDescent="0.25">
      <c r="A1807">
        <v>1025</v>
      </c>
      <c r="B1807">
        <v>651</v>
      </c>
      <c r="C1807">
        <v>332</v>
      </c>
      <c r="D1807">
        <v>1.6</v>
      </c>
      <c r="E1807">
        <v>13600</v>
      </c>
      <c r="F1807">
        <v>5</v>
      </c>
      <c r="G1807">
        <v>13600050</v>
      </c>
      <c r="H1807">
        <v>6</v>
      </c>
      <c r="I1807">
        <v>0</v>
      </c>
      <c r="J1807" s="2">
        <f t="shared" si="64"/>
        <v>0</v>
      </c>
      <c r="K1807">
        <v>1806</v>
      </c>
      <c r="L1807" s="3">
        <f>SUM($I$2:$I1807)</f>
        <v>6345680</v>
      </c>
      <c r="M1807" s="3">
        <f>SUM($J$2:$J1807)</f>
        <v>25360717.499999981</v>
      </c>
      <c r="N1807" s="2">
        <f>SUM($D$2:$D1807)</f>
        <v>16753.269999999986</v>
      </c>
      <c r="O1807" s="2">
        <f t="shared" si="65"/>
        <v>0.99838442276039019</v>
      </c>
      <c r="P1807" s="2" cm="1">
        <f t="array" ref="P1807">SUMPRODUCT((O1807&gt;$T$9:$T$14)*(O1807&lt;=$U$9:$U$14),$S$9:$S$14)</f>
        <v>5</v>
      </c>
    </row>
    <row r="1808" spans="1:16" x14ac:dyDescent="0.25">
      <c r="A1808">
        <v>1843</v>
      </c>
      <c r="B1808">
        <v>1843</v>
      </c>
      <c r="C1808">
        <v>556</v>
      </c>
      <c r="D1808">
        <v>1.44</v>
      </c>
      <c r="E1808">
        <v>80650</v>
      </c>
      <c r="F1808">
        <v>0</v>
      </c>
      <c r="G1808">
        <v>80650000</v>
      </c>
      <c r="H1808">
        <v>7148</v>
      </c>
      <c r="I1808">
        <v>0</v>
      </c>
      <c r="J1808" s="2">
        <f t="shared" si="64"/>
        <v>0</v>
      </c>
      <c r="K1808">
        <v>1807</v>
      </c>
      <c r="L1808" s="3">
        <f>SUM($I$2:$I1808)</f>
        <v>6345680</v>
      </c>
      <c r="M1808" s="3">
        <f>SUM($J$2:$J1808)</f>
        <v>25360717.499999981</v>
      </c>
      <c r="N1808" s="2">
        <f>SUM($D$2:$D1808)</f>
        <v>16754.709999999985</v>
      </c>
      <c r="O1808" s="2">
        <f t="shared" si="65"/>
        <v>0.9984702372651868</v>
      </c>
      <c r="P1808" s="2" cm="1">
        <f t="array" ref="P1808">SUMPRODUCT((O1808&gt;$T$9:$T$14)*(O1808&lt;=$U$9:$U$14),$S$9:$S$14)</f>
        <v>5</v>
      </c>
    </row>
    <row r="1809" spans="1:16" x14ac:dyDescent="0.25">
      <c r="A1809">
        <v>1363</v>
      </c>
      <c r="B1809">
        <v>195</v>
      </c>
      <c r="C1809">
        <v>1301</v>
      </c>
      <c r="D1809">
        <v>1.41</v>
      </c>
      <c r="E1809">
        <v>41060</v>
      </c>
      <c r="F1809">
        <v>2.4</v>
      </c>
      <c r="G1809">
        <v>41060024</v>
      </c>
      <c r="H1809">
        <v>105</v>
      </c>
      <c r="I1809">
        <v>0</v>
      </c>
      <c r="J1809" s="2">
        <f t="shared" si="64"/>
        <v>0</v>
      </c>
      <c r="K1809">
        <v>1808</v>
      </c>
      <c r="L1809" s="3">
        <f>SUM($I$2:$I1809)</f>
        <v>6345680</v>
      </c>
      <c r="M1809" s="3">
        <f>SUM($J$2:$J1809)</f>
        <v>25360717.499999981</v>
      </c>
      <c r="N1809" s="2">
        <f>SUM($D$2:$D1809)</f>
        <v>16756.119999999984</v>
      </c>
      <c r="O1809" s="2">
        <f t="shared" si="65"/>
        <v>0.99855426396780012</v>
      </c>
      <c r="P1809" s="2" cm="1">
        <f t="array" ref="P1809">SUMPRODUCT((O1809&gt;$T$9:$T$14)*(O1809&lt;=$U$9:$U$14),$S$9:$S$14)</f>
        <v>5</v>
      </c>
    </row>
    <row r="1810" spans="1:16" x14ac:dyDescent="0.25">
      <c r="A1810">
        <v>1743</v>
      </c>
      <c r="B1810">
        <v>1743</v>
      </c>
      <c r="C1810">
        <v>0</v>
      </c>
      <c r="D1810">
        <v>1.31</v>
      </c>
      <c r="E1810">
        <v>73770</v>
      </c>
      <c r="F1810">
        <v>0</v>
      </c>
      <c r="G1810">
        <v>73770000</v>
      </c>
      <c r="H1810">
        <v>7057</v>
      </c>
      <c r="I1810">
        <v>0</v>
      </c>
      <c r="J1810" s="2">
        <f t="shared" si="64"/>
        <v>0</v>
      </c>
      <c r="K1810">
        <v>1809</v>
      </c>
      <c r="L1810" s="3">
        <f>SUM($I$2:$I1810)</f>
        <v>6345680</v>
      </c>
      <c r="M1810" s="3">
        <f>SUM($J$2:$J1810)</f>
        <v>25360717.499999981</v>
      </c>
      <c r="N1810" s="2">
        <f>SUM($D$2:$D1810)</f>
        <v>16757.429999999986</v>
      </c>
      <c r="O1810" s="2">
        <f t="shared" si="65"/>
        <v>0.99863233132980278</v>
      </c>
      <c r="P1810" s="2" cm="1">
        <f t="array" ref="P1810">SUMPRODUCT((O1810&gt;$T$9:$T$14)*(O1810&lt;=$U$9:$U$14),$S$9:$S$14)</f>
        <v>5</v>
      </c>
    </row>
    <row r="1811" spans="1:16" x14ac:dyDescent="0.25">
      <c r="A1811">
        <v>1805</v>
      </c>
      <c r="B1811">
        <v>1805</v>
      </c>
      <c r="C1811">
        <v>0</v>
      </c>
      <c r="D1811">
        <v>1.23</v>
      </c>
      <c r="E1811">
        <v>25652</v>
      </c>
      <c r="F1811">
        <v>0</v>
      </c>
      <c r="G1811">
        <v>25652000</v>
      </c>
      <c r="H1811">
        <v>26</v>
      </c>
      <c r="I1811">
        <v>0</v>
      </c>
      <c r="J1811" s="2">
        <f t="shared" si="64"/>
        <v>0</v>
      </c>
      <c r="K1811">
        <v>1810</v>
      </c>
      <c r="L1811" s="3">
        <f>SUM($I$2:$I1811)</f>
        <v>6345680</v>
      </c>
      <c r="M1811" s="3">
        <f>SUM($J$2:$J1811)</f>
        <v>25360717.499999981</v>
      </c>
      <c r="N1811" s="2">
        <f>SUM($D$2:$D1811)</f>
        <v>16758.659999999985</v>
      </c>
      <c r="O1811" s="2">
        <f t="shared" si="65"/>
        <v>0.99870563121931655</v>
      </c>
      <c r="P1811" s="2" cm="1">
        <f t="array" ref="P1811">SUMPRODUCT((O1811&gt;$T$9:$T$14)*(O1811&lt;=$U$9:$U$14),$S$9:$S$14)</f>
        <v>5</v>
      </c>
    </row>
    <row r="1812" spans="1:16" x14ac:dyDescent="0.25">
      <c r="A1812">
        <v>924</v>
      </c>
      <c r="B1812">
        <v>550</v>
      </c>
      <c r="C1812">
        <v>200</v>
      </c>
      <c r="D1812">
        <v>1.21</v>
      </c>
      <c r="E1812">
        <v>22270</v>
      </c>
      <c r="F1812">
        <v>5.9</v>
      </c>
      <c r="G1812">
        <v>22270059</v>
      </c>
      <c r="H1812" t="s">
        <v>7</v>
      </c>
      <c r="I1812">
        <v>0</v>
      </c>
      <c r="J1812" s="2">
        <f t="shared" si="64"/>
        <v>0</v>
      </c>
      <c r="K1812">
        <v>1811</v>
      </c>
      <c r="L1812" s="3">
        <f>SUM($I$2:$I1812)</f>
        <v>6345680</v>
      </c>
      <c r="M1812" s="3">
        <f>SUM($J$2:$J1812)</f>
        <v>25360717.499999981</v>
      </c>
      <c r="N1812" s="2">
        <f>SUM($D$2:$D1812)</f>
        <v>16759.869999999984</v>
      </c>
      <c r="O1812" s="2">
        <f t="shared" si="65"/>
        <v>0.99877773924070812</v>
      </c>
      <c r="P1812" s="2" cm="1">
        <f t="array" ref="P1812">SUMPRODUCT((O1812&gt;$T$9:$T$14)*(O1812&lt;=$U$9:$U$14),$S$9:$S$14)</f>
        <v>5</v>
      </c>
    </row>
    <row r="1813" spans="1:16" x14ac:dyDescent="0.25">
      <c r="A1813">
        <v>1763</v>
      </c>
      <c r="B1813">
        <v>1763</v>
      </c>
      <c r="C1813">
        <v>0</v>
      </c>
      <c r="D1813">
        <v>1.1599999999999999</v>
      </c>
      <c r="E1813">
        <v>73790</v>
      </c>
      <c r="F1813">
        <v>0</v>
      </c>
      <c r="G1813">
        <v>73790000</v>
      </c>
      <c r="H1813">
        <v>7085</v>
      </c>
      <c r="I1813">
        <v>0</v>
      </c>
      <c r="J1813" s="2">
        <f t="shared" si="64"/>
        <v>0</v>
      </c>
      <c r="K1813">
        <v>1812</v>
      </c>
      <c r="L1813" s="3">
        <f>SUM($I$2:$I1813)</f>
        <v>6345680</v>
      </c>
      <c r="M1813" s="3">
        <f>SUM($J$2:$J1813)</f>
        <v>25360717.499999981</v>
      </c>
      <c r="N1813" s="2">
        <f>SUM($D$2:$D1813)</f>
        <v>16761.029999999984</v>
      </c>
      <c r="O1813" s="2">
        <f t="shared" si="65"/>
        <v>0.99884686759179431</v>
      </c>
      <c r="P1813" s="2" cm="1">
        <f t="array" ref="P1813">SUMPRODUCT((O1813&gt;$T$9:$T$14)*(O1813&lt;=$U$9:$U$14),$S$9:$S$14)</f>
        <v>5</v>
      </c>
    </row>
    <row r="1814" spans="1:16" x14ac:dyDescent="0.25">
      <c r="A1814">
        <v>999</v>
      </c>
      <c r="B1814">
        <v>625</v>
      </c>
      <c r="C1814">
        <v>297</v>
      </c>
      <c r="D1814">
        <v>1.1399999999999999</v>
      </c>
      <c r="E1814">
        <v>18900</v>
      </c>
      <c r="F1814">
        <v>7.9</v>
      </c>
      <c r="G1814">
        <v>18900079</v>
      </c>
      <c r="H1814" t="s">
        <v>6</v>
      </c>
      <c r="I1814">
        <v>0</v>
      </c>
      <c r="J1814" s="2">
        <f t="shared" si="64"/>
        <v>0</v>
      </c>
      <c r="K1814">
        <v>1813</v>
      </c>
      <c r="L1814" s="3">
        <f>SUM($I$2:$I1814)</f>
        <v>6345680</v>
      </c>
      <c r="M1814" s="3">
        <f>SUM($J$2:$J1814)</f>
        <v>25360717.499999981</v>
      </c>
      <c r="N1814" s="2">
        <f>SUM($D$2:$D1814)</f>
        <v>16762.169999999984</v>
      </c>
      <c r="O1814" s="2">
        <f t="shared" si="65"/>
        <v>0.9989148040747583</v>
      </c>
      <c r="P1814" s="2" cm="1">
        <f t="array" ref="P1814">SUMPRODUCT((O1814&gt;$T$9:$T$14)*(O1814&lt;=$U$9:$U$14),$S$9:$S$14)</f>
        <v>5</v>
      </c>
    </row>
    <row r="1815" spans="1:16" x14ac:dyDescent="0.25">
      <c r="A1815">
        <v>1806</v>
      </c>
      <c r="B1815">
        <v>1806</v>
      </c>
      <c r="C1815">
        <v>0</v>
      </c>
      <c r="D1815">
        <v>1.07</v>
      </c>
      <c r="E1815">
        <v>80675</v>
      </c>
      <c r="F1815">
        <v>0</v>
      </c>
      <c r="G1815">
        <v>80675000</v>
      </c>
      <c r="H1815">
        <v>7149</v>
      </c>
      <c r="I1815">
        <v>0</v>
      </c>
      <c r="J1815" s="2">
        <f t="shared" si="64"/>
        <v>0</v>
      </c>
      <c r="K1815">
        <v>1814</v>
      </c>
      <c r="L1815" s="3">
        <f>SUM($I$2:$I1815)</f>
        <v>6345680</v>
      </c>
      <c r="M1815" s="3">
        <f>SUM($J$2:$J1815)</f>
        <v>25360717.499999981</v>
      </c>
      <c r="N1815" s="2">
        <f>SUM($D$2:$D1815)</f>
        <v>16763.239999999983</v>
      </c>
      <c r="O1815" s="2">
        <f t="shared" si="65"/>
        <v>0.99897856901929472</v>
      </c>
      <c r="P1815" s="2" cm="1">
        <f t="array" ref="P1815">SUMPRODUCT((O1815&gt;$T$9:$T$14)*(O1815&lt;=$U$9:$U$14),$S$9:$S$14)</f>
        <v>5</v>
      </c>
    </row>
    <row r="1816" spans="1:16" x14ac:dyDescent="0.25">
      <c r="A1816">
        <v>1758</v>
      </c>
      <c r="B1816">
        <v>1758</v>
      </c>
      <c r="C1816">
        <v>0</v>
      </c>
      <c r="D1816">
        <v>1.04</v>
      </c>
      <c r="E1816">
        <v>80710</v>
      </c>
      <c r="F1816">
        <v>0</v>
      </c>
      <c r="G1816">
        <v>80710000</v>
      </c>
      <c r="H1816">
        <v>7152</v>
      </c>
      <c r="I1816">
        <v>0</v>
      </c>
      <c r="J1816" s="2">
        <f t="shared" si="64"/>
        <v>0</v>
      </c>
      <c r="K1816">
        <v>1815</v>
      </c>
      <c r="L1816" s="3">
        <f>SUM($I$2:$I1816)</f>
        <v>6345680</v>
      </c>
      <c r="M1816" s="3">
        <f>SUM($J$2:$J1816)</f>
        <v>25360717.499999981</v>
      </c>
      <c r="N1816" s="2">
        <f>SUM($D$2:$D1816)</f>
        <v>16764.279999999984</v>
      </c>
      <c r="O1816" s="2">
        <f t="shared" si="65"/>
        <v>0.99904054616164795</v>
      </c>
      <c r="P1816" s="2" cm="1">
        <f t="array" ref="P1816">SUMPRODUCT((O1816&gt;$T$9:$T$14)*(O1816&lt;=$U$9:$U$14),$S$9:$S$14)</f>
        <v>5</v>
      </c>
    </row>
    <row r="1817" spans="1:16" x14ac:dyDescent="0.25">
      <c r="A1817">
        <v>1488</v>
      </c>
      <c r="B1817">
        <v>320</v>
      </c>
      <c r="C1817">
        <v>1455</v>
      </c>
      <c r="D1817">
        <v>1.03</v>
      </c>
      <c r="E1817">
        <v>44412</v>
      </c>
      <c r="F1817">
        <v>1.2</v>
      </c>
      <c r="G1817">
        <v>44412012</v>
      </c>
      <c r="H1817">
        <v>130</v>
      </c>
      <c r="I1817">
        <v>0</v>
      </c>
      <c r="J1817" s="2">
        <f t="shared" si="64"/>
        <v>0</v>
      </c>
      <c r="K1817">
        <v>1816</v>
      </c>
      <c r="L1817" s="3">
        <f>SUM($I$2:$I1817)</f>
        <v>6345680</v>
      </c>
      <c r="M1817" s="3">
        <f>SUM($J$2:$J1817)</f>
        <v>25360717.499999981</v>
      </c>
      <c r="N1817" s="2">
        <f>SUM($D$2:$D1817)</f>
        <v>16765.309999999983</v>
      </c>
      <c r="O1817" s="2">
        <f t="shared" si="65"/>
        <v>0.99910192736993997</v>
      </c>
      <c r="P1817" s="2" cm="1">
        <f t="array" ref="P1817">SUMPRODUCT((O1817&gt;$T$9:$T$14)*(O1817&lt;=$U$9:$U$14),$S$9:$S$14)</f>
        <v>5</v>
      </c>
    </row>
    <row r="1818" spans="1:16" x14ac:dyDescent="0.25">
      <c r="A1818">
        <v>1810</v>
      </c>
      <c r="B1818">
        <v>1810</v>
      </c>
      <c r="C1818">
        <v>0</v>
      </c>
      <c r="D1818">
        <v>0.99</v>
      </c>
      <c r="E1818">
        <v>83600</v>
      </c>
      <c r="F1818">
        <v>0</v>
      </c>
      <c r="G1818">
        <v>83600000</v>
      </c>
      <c r="H1818">
        <v>7237</v>
      </c>
      <c r="I1818">
        <v>0</v>
      </c>
      <c r="J1818" s="2">
        <f t="shared" si="64"/>
        <v>0</v>
      </c>
      <c r="K1818">
        <v>1817</v>
      </c>
      <c r="L1818" s="3">
        <f>SUM($I$2:$I1818)</f>
        <v>6345680</v>
      </c>
      <c r="M1818" s="3">
        <f>SUM($J$2:$J1818)</f>
        <v>25360717.499999981</v>
      </c>
      <c r="N1818" s="2">
        <f>SUM($D$2:$D1818)</f>
        <v>16766.299999999985</v>
      </c>
      <c r="O1818" s="2">
        <f t="shared" si="65"/>
        <v>0.99916092484198771</v>
      </c>
      <c r="P1818" s="2" cm="1">
        <f t="array" ref="P1818">SUMPRODUCT((O1818&gt;$T$9:$T$14)*(O1818&lt;=$U$9:$U$14),$S$9:$S$14)</f>
        <v>5</v>
      </c>
    </row>
    <row r="1819" spans="1:16" x14ac:dyDescent="0.25">
      <c r="A1819">
        <v>1795</v>
      </c>
      <c r="B1819">
        <v>1795</v>
      </c>
      <c r="C1819">
        <v>0</v>
      </c>
      <c r="D1819">
        <v>0.95</v>
      </c>
      <c r="E1819">
        <v>85610</v>
      </c>
      <c r="F1819">
        <v>0</v>
      </c>
      <c r="G1819">
        <v>85610000</v>
      </c>
      <c r="H1819">
        <v>7297</v>
      </c>
      <c r="I1819">
        <v>0</v>
      </c>
      <c r="J1819" s="2">
        <f t="shared" si="64"/>
        <v>0</v>
      </c>
      <c r="K1819">
        <v>1818</v>
      </c>
      <c r="L1819" s="3">
        <f>SUM($I$2:$I1819)</f>
        <v>6345680</v>
      </c>
      <c r="M1819" s="3">
        <f>SUM($J$2:$J1819)</f>
        <v>25360717.499999981</v>
      </c>
      <c r="N1819" s="2">
        <f>SUM($D$2:$D1819)</f>
        <v>16767.249999999985</v>
      </c>
      <c r="O1819" s="2">
        <f t="shared" si="65"/>
        <v>0.99921753857779116</v>
      </c>
      <c r="P1819" s="2" cm="1">
        <f t="array" ref="P1819">SUMPRODUCT((O1819&gt;$T$9:$T$14)*(O1819&lt;=$U$9:$U$14),$S$9:$S$14)</f>
        <v>5</v>
      </c>
    </row>
    <row r="1820" spans="1:16" x14ac:dyDescent="0.25">
      <c r="A1820">
        <v>369</v>
      </c>
      <c r="B1820">
        <v>1164</v>
      </c>
      <c r="C1820">
        <v>2048</v>
      </c>
      <c r="D1820">
        <v>0.9</v>
      </c>
      <c r="E1820">
        <v>48492</v>
      </c>
      <c r="F1820">
        <v>0</v>
      </c>
      <c r="G1820">
        <v>48492000</v>
      </c>
      <c r="H1820">
        <v>404</v>
      </c>
      <c r="I1820">
        <v>0</v>
      </c>
      <c r="J1820" s="2">
        <f t="shared" si="64"/>
        <v>0</v>
      </c>
      <c r="K1820">
        <v>1819</v>
      </c>
      <c r="L1820" s="3">
        <f>SUM($I$2:$I1820)</f>
        <v>6345680</v>
      </c>
      <c r="M1820" s="3">
        <f>SUM($J$2:$J1820)</f>
        <v>25360717.499999981</v>
      </c>
      <c r="N1820" s="2">
        <f>SUM($D$2:$D1820)</f>
        <v>16768.149999999987</v>
      </c>
      <c r="O1820" s="2">
        <f t="shared" si="65"/>
        <v>0.99927117264328913</v>
      </c>
      <c r="P1820" s="2" cm="1">
        <f t="array" ref="P1820">SUMPRODUCT((O1820&gt;$T$9:$T$14)*(O1820&lt;=$U$9:$U$14),$S$9:$S$14)</f>
        <v>5</v>
      </c>
    </row>
    <row r="1821" spans="1:16" x14ac:dyDescent="0.25">
      <c r="A1821">
        <v>1703</v>
      </c>
      <c r="B1821">
        <v>1703</v>
      </c>
      <c r="C1821">
        <v>2207</v>
      </c>
      <c r="D1821">
        <v>0.9</v>
      </c>
      <c r="E1821">
        <v>55400</v>
      </c>
      <c r="F1821">
        <v>4.7</v>
      </c>
      <c r="G1821">
        <v>55400047</v>
      </c>
      <c r="H1821">
        <v>538</v>
      </c>
      <c r="I1821">
        <v>0</v>
      </c>
      <c r="J1821" s="2">
        <f t="shared" si="64"/>
        <v>0</v>
      </c>
      <c r="K1821">
        <v>1820</v>
      </c>
      <c r="L1821" s="3">
        <f>SUM($I$2:$I1821)</f>
        <v>6345680</v>
      </c>
      <c r="M1821" s="3">
        <f>SUM($J$2:$J1821)</f>
        <v>25360717.499999981</v>
      </c>
      <c r="N1821" s="2">
        <f>SUM($D$2:$D1821)</f>
        <v>16769.049999999988</v>
      </c>
      <c r="O1821" s="2">
        <f t="shared" si="65"/>
        <v>0.99932480670878721</v>
      </c>
      <c r="P1821" s="2" cm="1">
        <f t="array" ref="P1821">SUMPRODUCT((O1821&gt;$T$9:$T$14)*(O1821&lt;=$U$9:$U$14),$S$9:$S$14)</f>
        <v>5</v>
      </c>
    </row>
    <row r="1822" spans="1:16" x14ac:dyDescent="0.25">
      <c r="A1822">
        <v>1801</v>
      </c>
      <c r="B1822">
        <v>1801</v>
      </c>
      <c r="C1822">
        <v>0</v>
      </c>
      <c r="D1822">
        <v>0.88</v>
      </c>
      <c r="E1822">
        <v>45810</v>
      </c>
      <c r="F1822">
        <v>0</v>
      </c>
      <c r="G1822">
        <v>45810000</v>
      </c>
      <c r="H1822">
        <v>141</v>
      </c>
      <c r="I1822">
        <v>0</v>
      </c>
      <c r="J1822" s="2">
        <f t="shared" si="64"/>
        <v>0</v>
      </c>
      <c r="K1822">
        <v>1821</v>
      </c>
      <c r="L1822" s="3">
        <f>SUM($I$2:$I1822)</f>
        <v>6345680</v>
      </c>
      <c r="M1822" s="3">
        <f>SUM($J$2:$J1822)</f>
        <v>25360717.499999981</v>
      </c>
      <c r="N1822" s="2">
        <f>SUM($D$2:$D1822)</f>
        <v>16769.929999999989</v>
      </c>
      <c r="O1822" s="2">
        <f t="shared" si="65"/>
        <v>0.99937724890616297</v>
      </c>
      <c r="P1822" s="2" cm="1">
        <f t="array" ref="P1822">SUMPRODUCT((O1822&gt;$T$9:$T$14)*(O1822&lt;=$U$9:$U$14),$S$9:$S$14)</f>
        <v>5</v>
      </c>
    </row>
    <row r="1823" spans="1:16" x14ac:dyDescent="0.25">
      <c r="A1823">
        <v>1837</v>
      </c>
      <c r="B1823">
        <v>1837</v>
      </c>
      <c r="C1823">
        <v>0</v>
      </c>
      <c r="D1823">
        <v>0.82</v>
      </c>
      <c r="E1823">
        <v>73670</v>
      </c>
      <c r="F1823">
        <v>0</v>
      </c>
      <c r="G1823">
        <v>73670000</v>
      </c>
      <c r="H1823">
        <v>7025</v>
      </c>
      <c r="I1823">
        <v>0</v>
      </c>
      <c r="J1823" s="2">
        <f t="shared" si="64"/>
        <v>0</v>
      </c>
      <c r="K1823">
        <v>1822</v>
      </c>
      <c r="L1823" s="3">
        <f>SUM($I$2:$I1823)</f>
        <v>6345680</v>
      </c>
      <c r="M1823" s="3">
        <f>SUM($J$2:$J1823)</f>
        <v>25360717.499999981</v>
      </c>
      <c r="N1823" s="2">
        <f>SUM($D$2:$D1823)</f>
        <v>16770.749999999989</v>
      </c>
      <c r="O1823" s="2">
        <f t="shared" si="65"/>
        <v>0.99942611549917215</v>
      </c>
      <c r="P1823" s="2" cm="1">
        <f t="array" ref="P1823">SUMPRODUCT((O1823&gt;$T$9:$T$14)*(O1823&lt;=$U$9:$U$14),$S$9:$S$14)</f>
        <v>5</v>
      </c>
    </row>
    <row r="1824" spans="1:16" x14ac:dyDescent="0.25">
      <c r="A1824">
        <v>240</v>
      </c>
      <c r="B1824">
        <v>1035</v>
      </c>
      <c r="C1824">
        <v>1850</v>
      </c>
      <c r="D1824">
        <v>0.8</v>
      </c>
      <c r="E1824">
        <v>62040</v>
      </c>
      <c r="F1824">
        <v>0</v>
      </c>
      <c r="G1824">
        <v>62040000</v>
      </c>
      <c r="H1824">
        <v>588</v>
      </c>
      <c r="I1824">
        <v>0</v>
      </c>
      <c r="J1824" s="2">
        <f t="shared" si="64"/>
        <v>0</v>
      </c>
      <c r="K1824">
        <v>1823</v>
      </c>
      <c r="L1824" s="3">
        <f>SUM($I$2:$I1824)</f>
        <v>6345680</v>
      </c>
      <c r="M1824" s="3">
        <f>SUM($J$2:$J1824)</f>
        <v>25360717.499999981</v>
      </c>
      <c r="N1824" s="2">
        <f>SUM($D$2:$D1824)</f>
        <v>16771.549999999988</v>
      </c>
      <c r="O1824" s="2">
        <f t="shared" si="65"/>
        <v>0.99947379022405913</v>
      </c>
      <c r="P1824" s="2" cm="1">
        <f t="array" ref="P1824">SUMPRODUCT((O1824&gt;$T$9:$T$14)*(O1824&lt;=$U$9:$U$14),$S$9:$S$14)</f>
        <v>5</v>
      </c>
    </row>
    <row r="1825" spans="1:16" x14ac:dyDescent="0.25">
      <c r="A1825">
        <v>1804</v>
      </c>
      <c r="B1825">
        <v>1804</v>
      </c>
      <c r="C1825">
        <v>0</v>
      </c>
      <c r="D1825">
        <v>0.71</v>
      </c>
      <c r="E1825">
        <v>80670</v>
      </c>
      <c r="F1825">
        <v>0</v>
      </c>
      <c r="G1825">
        <v>80670000</v>
      </c>
      <c r="H1825">
        <v>7149</v>
      </c>
      <c r="I1825">
        <v>0</v>
      </c>
      <c r="J1825" s="2">
        <f t="shared" si="64"/>
        <v>0</v>
      </c>
      <c r="K1825">
        <v>1824</v>
      </c>
      <c r="L1825" s="3">
        <f>SUM($I$2:$I1825)</f>
        <v>6345680</v>
      </c>
      <c r="M1825" s="3">
        <f>SUM($J$2:$J1825)</f>
        <v>25360717.499999981</v>
      </c>
      <c r="N1825" s="2">
        <f>SUM($D$2:$D1825)</f>
        <v>16772.259999999987</v>
      </c>
      <c r="O1825" s="2">
        <f t="shared" si="65"/>
        <v>0.99951610154239634</v>
      </c>
      <c r="P1825" s="2" cm="1">
        <f t="array" ref="P1825">SUMPRODUCT((O1825&gt;$T$9:$T$14)*(O1825&lt;=$U$9:$U$14),$S$9:$S$14)</f>
        <v>5</v>
      </c>
    </row>
    <row r="1826" spans="1:16" x14ac:dyDescent="0.25">
      <c r="A1826">
        <v>1751</v>
      </c>
      <c r="B1826">
        <v>1751</v>
      </c>
      <c r="C1826">
        <v>0</v>
      </c>
      <c r="D1826">
        <v>0.67</v>
      </c>
      <c r="E1826">
        <v>73830</v>
      </c>
      <c r="F1826">
        <v>0</v>
      </c>
      <c r="G1826">
        <v>73830000</v>
      </c>
      <c r="H1826">
        <v>7089</v>
      </c>
      <c r="I1826">
        <v>0</v>
      </c>
      <c r="J1826" s="2">
        <f t="shared" si="64"/>
        <v>0</v>
      </c>
      <c r="K1826">
        <v>1825</v>
      </c>
      <c r="L1826" s="3">
        <f>SUM($I$2:$I1826)</f>
        <v>6345680</v>
      </c>
      <c r="M1826" s="3">
        <f>SUM($J$2:$J1826)</f>
        <v>25360717.499999981</v>
      </c>
      <c r="N1826" s="2">
        <f>SUM($D$2:$D1826)</f>
        <v>16772.929999999986</v>
      </c>
      <c r="O1826" s="2">
        <f t="shared" si="65"/>
        <v>0.99955602912448915</v>
      </c>
      <c r="P1826" s="2" cm="1">
        <f t="array" ref="P1826">SUMPRODUCT((O1826&gt;$T$9:$T$14)*(O1826&lt;=$U$9:$U$14),$S$9:$S$14)</f>
        <v>5</v>
      </c>
    </row>
    <row r="1827" spans="1:16" x14ac:dyDescent="0.25">
      <c r="A1827">
        <v>804</v>
      </c>
      <c r="B1827">
        <v>430</v>
      </c>
      <c r="C1827">
        <v>36</v>
      </c>
      <c r="D1827">
        <v>0.61</v>
      </c>
      <c r="E1827">
        <v>12790</v>
      </c>
      <c r="F1827">
        <v>2</v>
      </c>
      <c r="G1827">
        <v>12790020</v>
      </c>
      <c r="H1827">
        <v>4</v>
      </c>
      <c r="I1827">
        <v>0</v>
      </c>
      <c r="J1827" s="2">
        <f t="shared" si="64"/>
        <v>0</v>
      </c>
      <c r="K1827">
        <v>1826</v>
      </c>
      <c r="L1827" s="3">
        <f>SUM($I$2:$I1827)</f>
        <v>6345680</v>
      </c>
      <c r="M1827" s="3">
        <f>SUM($J$2:$J1827)</f>
        <v>25360717.499999981</v>
      </c>
      <c r="N1827" s="2">
        <f>SUM($D$2:$D1827)</f>
        <v>16773.539999999986</v>
      </c>
      <c r="O1827" s="2">
        <f t="shared" si="65"/>
        <v>0.9995923811022156</v>
      </c>
      <c r="P1827" s="2" cm="1">
        <f t="array" ref="P1827">SUMPRODUCT((O1827&gt;$T$9:$T$14)*(O1827&lt;=$U$9:$U$14),$S$9:$S$14)</f>
        <v>5</v>
      </c>
    </row>
    <row r="1828" spans="1:16" x14ac:dyDescent="0.25">
      <c r="A1828">
        <v>1807</v>
      </c>
      <c r="B1828">
        <v>1807</v>
      </c>
      <c r="C1828">
        <v>0</v>
      </c>
      <c r="D1828">
        <v>0.61</v>
      </c>
      <c r="E1828">
        <v>25656</v>
      </c>
      <c r="F1828">
        <v>0</v>
      </c>
      <c r="G1828">
        <v>25656000</v>
      </c>
      <c r="H1828">
        <v>26</v>
      </c>
      <c r="I1828">
        <v>0</v>
      </c>
      <c r="J1828" s="2">
        <f t="shared" si="64"/>
        <v>0</v>
      </c>
      <c r="K1828">
        <v>1827</v>
      </c>
      <c r="L1828" s="3">
        <f>SUM($I$2:$I1828)</f>
        <v>6345680</v>
      </c>
      <c r="M1828" s="3">
        <f>SUM($J$2:$J1828)</f>
        <v>25360717.499999981</v>
      </c>
      <c r="N1828" s="2">
        <f>SUM($D$2:$D1828)</f>
        <v>16774.149999999987</v>
      </c>
      <c r="O1828" s="2">
        <f t="shared" si="65"/>
        <v>0.99962873307994193</v>
      </c>
      <c r="P1828" s="2" cm="1">
        <f t="array" ref="P1828">SUMPRODUCT((O1828&gt;$T$9:$T$14)*(O1828&lt;=$U$9:$U$14),$S$9:$S$14)</f>
        <v>5</v>
      </c>
    </row>
    <row r="1829" spans="1:16" x14ac:dyDescent="0.25">
      <c r="A1829">
        <v>350</v>
      </c>
      <c r="B1829">
        <v>1145</v>
      </c>
      <c r="C1829">
        <v>2007</v>
      </c>
      <c r="D1829">
        <v>0.59</v>
      </c>
      <c r="E1829">
        <v>85000</v>
      </c>
      <c r="F1829">
        <v>0</v>
      </c>
      <c r="G1829">
        <v>85000000</v>
      </c>
      <c r="H1829">
        <v>7274</v>
      </c>
      <c r="I1829">
        <v>0</v>
      </c>
      <c r="J1829" s="2">
        <f t="shared" si="64"/>
        <v>0</v>
      </c>
      <c r="K1829">
        <v>1828</v>
      </c>
      <c r="L1829" s="3">
        <f>SUM($I$2:$I1829)</f>
        <v>6345680</v>
      </c>
      <c r="M1829" s="3">
        <f>SUM($J$2:$J1829)</f>
        <v>25360717.499999981</v>
      </c>
      <c r="N1829" s="2">
        <f>SUM($D$2:$D1829)</f>
        <v>16774.739999999987</v>
      </c>
      <c r="O1829" s="2">
        <f t="shared" si="65"/>
        <v>0.99966389318954618</v>
      </c>
      <c r="P1829" s="2" cm="1">
        <f t="array" ref="P1829">SUMPRODUCT((O1829&gt;$T$9:$T$14)*(O1829&lt;=$U$9:$U$14),$S$9:$S$14)</f>
        <v>5</v>
      </c>
    </row>
    <row r="1830" spans="1:16" x14ac:dyDescent="0.25">
      <c r="A1830">
        <v>1741</v>
      </c>
      <c r="B1830">
        <v>1741</v>
      </c>
      <c r="C1830">
        <v>0</v>
      </c>
      <c r="D1830">
        <v>0.5</v>
      </c>
      <c r="E1830">
        <v>75420</v>
      </c>
      <c r="F1830">
        <v>0</v>
      </c>
      <c r="G1830">
        <v>75420000</v>
      </c>
      <c r="H1830">
        <v>7125</v>
      </c>
      <c r="I1830">
        <v>0</v>
      </c>
      <c r="J1830" s="2">
        <f t="shared" si="64"/>
        <v>0</v>
      </c>
      <c r="K1830">
        <v>1829</v>
      </c>
      <c r="L1830" s="3">
        <f>SUM($I$2:$I1830)</f>
        <v>6345680</v>
      </c>
      <c r="M1830" s="3">
        <f>SUM($J$2:$J1830)</f>
        <v>25360717.499999981</v>
      </c>
      <c r="N1830" s="2">
        <f>SUM($D$2:$D1830)</f>
        <v>16775.239999999987</v>
      </c>
      <c r="O1830" s="2">
        <f t="shared" si="65"/>
        <v>0.99969368989260055</v>
      </c>
      <c r="P1830" s="2" cm="1">
        <f t="array" ref="P1830">SUMPRODUCT((O1830&gt;$T$9:$T$14)*(O1830&lt;=$U$9:$U$14),$S$9:$S$14)</f>
        <v>5</v>
      </c>
    </row>
    <row r="1831" spans="1:16" x14ac:dyDescent="0.25">
      <c r="A1831">
        <v>1835</v>
      </c>
      <c r="B1831">
        <v>1835</v>
      </c>
      <c r="C1831">
        <v>0</v>
      </c>
      <c r="D1831">
        <v>0.49</v>
      </c>
      <c r="E1831">
        <v>98080</v>
      </c>
      <c r="F1831">
        <v>0.4</v>
      </c>
      <c r="G1831">
        <v>98080004</v>
      </c>
      <c r="H1831">
        <v>7908</v>
      </c>
      <c r="I1831">
        <v>0</v>
      </c>
      <c r="J1831" s="2">
        <f t="shared" si="64"/>
        <v>0</v>
      </c>
      <c r="K1831">
        <v>1830</v>
      </c>
      <c r="L1831" s="3">
        <f>SUM($I$2:$I1831)</f>
        <v>6345680</v>
      </c>
      <c r="M1831" s="3">
        <f>SUM($J$2:$J1831)</f>
        <v>25360717.499999981</v>
      </c>
      <c r="N1831" s="2">
        <f>SUM($D$2:$D1831)</f>
        <v>16775.729999999989</v>
      </c>
      <c r="O1831" s="2">
        <f t="shared" si="65"/>
        <v>0.99972289066159403</v>
      </c>
      <c r="P1831" s="2" cm="1">
        <f t="array" ref="P1831">SUMPRODUCT((O1831&gt;$T$9:$T$14)*(O1831&lt;=$U$9:$U$14),$S$9:$S$14)</f>
        <v>5</v>
      </c>
    </row>
    <row r="1832" spans="1:16" x14ac:dyDescent="0.25">
      <c r="A1832">
        <v>1123</v>
      </c>
      <c r="B1832">
        <v>749</v>
      </c>
      <c r="C1832">
        <v>463</v>
      </c>
      <c r="D1832">
        <v>0.47</v>
      </c>
      <c r="E1832">
        <v>22212</v>
      </c>
      <c r="F1832">
        <v>0</v>
      </c>
      <c r="G1832">
        <v>22212000</v>
      </c>
      <c r="H1832">
        <v>17</v>
      </c>
      <c r="I1832">
        <v>0</v>
      </c>
      <c r="J1832" s="2">
        <f t="shared" si="64"/>
        <v>0</v>
      </c>
      <c r="K1832">
        <v>1831</v>
      </c>
      <c r="L1832" s="3">
        <f>SUM($I$2:$I1832)</f>
        <v>6345680</v>
      </c>
      <c r="M1832" s="3">
        <f>SUM($J$2:$J1832)</f>
        <v>25360717.499999981</v>
      </c>
      <c r="N1832" s="2">
        <f>SUM($D$2:$D1832)</f>
        <v>16776.19999999999</v>
      </c>
      <c r="O1832" s="2">
        <f t="shared" si="65"/>
        <v>0.99975089956246521</v>
      </c>
      <c r="P1832" s="2" cm="1">
        <f t="array" ref="P1832">SUMPRODUCT((O1832&gt;$T$9:$T$14)*(O1832&lt;=$U$9:$U$14),$S$9:$S$14)</f>
        <v>5</v>
      </c>
    </row>
    <row r="1833" spans="1:16" x14ac:dyDescent="0.25">
      <c r="A1833">
        <v>1789</v>
      </c>
      <c r="B1833">
        <v>1789</v>
      </c>
      <c r="C1833">
        <v>0</v>
      </c>
      <c r="D1833">
        <v>0.46</v>
      </c>
      <c r="E1833">
        <v>85580</v>
      </c>
      <c r="F1833">
        <v>0</v>
      </c>
      <c r="G1833">
        <v>85580000</v>
      </c>
      <c r="H1833">
        <v>7294</v>
      </c>
      <c r="I1833">
        <v>0</v>
      </c>
      <c r="J1833" s="2">
        <f t="shared" si="64"/>
        <v>0</v>
      </c>
      <c r="K1833">
        <v>1832</v>
      </c>
      <c r="L1833" s="3">
        <f>SUM($I$2:$I1833)</f>
        <v>6345680</v>
      </c>
      <c r="M1833" s="3">
        <f>SUM($J$2:$J1833)</f>
        <v>25360717.499999981</v>
      </c>
      <c r="N1833" s="2">
        <f>SUM($D$2:$D1833)</f>
        <v>16776.659999999989</v>
      </c>
      <c r="O1833" s="2">
        <f t="shared" si="65"/>
        <v>0.99977831252927518</v>
      </c>
      <c r="P1833" s="2" cm="1">
        <f t="array" ref="P1833">SUMPRODUCT((O1833&gt;$T$9:$T$14)*(O1833&lt;=$U$9:$U$14),$S$9:$S$14)</f>
        <v>5</v>
      </c>
    </row>
    <row r="1834" spans="1:16" x14ac:dyDescent="0.25">
      <c r="A1834">
        <v>1759</v>
      </c>
      <c r="B1834">
        <v>1759</v>
      </c>
      <c r="C1834">
        <v>0</v>
      </c>
      <c r="D1834">
        <v>0.45</v>
      </c>
      <c r="E1834">
        <v>75380</v>
      </c>
      <c r="F1834">
        <v>0.3</v>
      </c>
      <c r="G1834">
        <v>75380003</v>
      </c>
      <c r="H1834">
        <v>7122</v>
      </c>
      <c r="I1834">
        <v>0</v>
      </c>
      <c r="J1834" s="2">
        <f t="shared" si="64"/>
        <v>0</v>
      </c>
      <c r="K1834">
        <v>1833</v>
      </c>
      <c r="L1834" s="3">
        <f>SUM($I$2:$I1834)</f>
        <v>6345680</v>
      </c>
      <c r="M1834" s="3">
        <f>SUM($J$2:$J1834)</f>
        <v>25360717.499999981</v>
      </c>
      <c r="N1834" s="2">
        <f>SUM($D$2:$D1834)</f>
        <v>16777.10999999999</v>
      </c>
      <c r="O1834" s="2">
        <f t="shared" si="65"/>
        <v>0.99980512956202416</v>
      </c>
      <c r="P1834" s="2" cm="1">
        <f t="array" ref="P1834">SUMPRODUCT((O1834&gt;$T$9:$T$14)*(O1834&lt;=$U$9:$U$14),$S$9:$S$14)</f>
        <v>5</v>
      </c>
    </row>
    <row r="1835" spans="1:16" x14ac:dyDescent="0.25">
      <c r="A1835">
        <v>1745</v>
      </c>
      <c r="B1835">
        <v>1745</v>
      </c>
      <c r="C1835">
        <v>0</v>
      </c>
      <c r="D1835">
        <v>0.43</v>
      </c>
      <c r="E1835">
        <v>74100</v>
      </c>
      <c r="F1835">
        <v>0</v>
      </c>
      <c r="G1835">
        <v>74100000</v>
      </c>
      <c r="H1835" t="s">
        <v>5</v>
      </c>
      <c r="I1835">
        <v>0</v>
      </c>
      <c r="J1835" s="2">
        <f t="shared" si="64"/>
        <v>0</v>
      </c>
      <c r="K1835">
        <v>1834</v>
      </c>
      <c r="L1835" s="3">
        <f>SUM($I$2:$I1835)</f>
        <v>6345680</v>
      </c>
      <c r="M1835" s="3">
        <f>SUM($J$2:$J1835)</f>
        <v>25360717.499999981</v>
      </c>
      <c r="N1835" s="2">
        <f>SUM($D$2:$D1835)</f>
        <v>16777.53999999999</v>
      </c>
      <c r="O1835" s="2">
        <f t="shared" si="65"/>
        <v>0.99983075472665095</v>
      </c>
      <c r="P1835" s="2" cm="1">
        <f t="array" ref="P1835">SUMPRODUCT((O1835&gt;$T$9:$T$14)*(O1835&lt;=$U$9:$U$14),$S$9:$S$14)</f>
        <v>5</v>
      </c>
    </row>
    <row r="1836" spans="1:16" x14ac:dyDescent="0.25">
      <c r="A1836">
        <v>1834</v>
      </c>
      <c r="B1836">
        <v>1834</v>
      </c>
      <c r="C1836">
        <v>0</v>
      </c>
      <c r="D1836">
        <v>0.41</v>
      </c>
      <c r="E1836">
        <v>98080</v>
      </c>
      <c r="F1836">
        <v>0</v>
      </c>
      <c r="G1836">
        <v>98080000</v>
      </c>
      <c r="H1836">
        <v>7908</v>
      </c>
      <c r="I1836">
        <v>0</v>
      </c>
      <c r="J1836" s="2">
        <f t="shared" si="64"/>
        <v>0</v>
      </c>
      <c r="K1836">
        <v>1835</v>
      </c>
      <c r="L1836" s="3">
        <f>SUM($I$2:$I1836)</f>
        <v>6345680</v>
      </c>
      <c r="M1836" s="3">
        <f>SUM($J$2:$J1836)</f>
        <v>25360717.499999981</v>
      </c>
      <c r="N1836" s="2">
        <f>SUM($D$2:$D1836)</f>
        <v>16777.94999999999</v>
      </c>
      <c r="O1836" s="2">
        <f t="shared" si="65"/>
        <v>0.99985518802315565</v>
      </c>
      <c r="P1836" s="2" cm="1">
        <f t="array" ref="P1836">SUMPRODUCT((O1836&gt;$T$9:$T$14)*(O1836&lt;=$U$9:$U$14),$S$9:$S$14)</f>
        <v>5</v>
      </c>
    </row>
    <row r="1837" spans="1:16" x14ac:dyDescent="0.25">
      <c r="A1837">
        <v>1787</v>
      </c>
      <c r="B1837">
        <v>1787</v>
      </c>
      <c r="C1837">
        <v>0</v>
      </c>
      <c r="D1837">
        <v>0.39</v>
      </c>
      <c r="E1837">
        <v>85575</v>
      </c>
      <c r="F1837">
        <v>0</v>
      </c>
      <c r="G1837">
        <v>85575000</v>
      </c>
      <c r="H1837">
        <v>7294</v>
      </c>
      <c r="I1837">
        <v>0</v>
      </c>
      <c r="J1837" s="2">
        <f t="shared" si="64"/>
        <v>0</v>
      </c>
      <c r="K1837">
        <v>1836</v>
      </c>
      <c r="L1837" s="3">
        <f>SUM($I$2:$I1837)</f>
        <v>6345680</v>
      </c>
      <c r="M1837" s="3">
        <f>SUM($J$2:$J1837)</f>
        <v>25360717.499999981</v>
      </c>
      <c r="N1837" s="2">
        <f>SUM($D$2:$D1837)</f>
        <v>16778.339999999989</v>
      </c>
      <c r="O1837" s="2">
        <f t="shared" si="65"/>
        <v>0.99987842945153804</v>
      </c>
      <c r="P1837" s="2" cm="1">
        <f t="array" ref="P1837">SUMPRODUCT((O1837&gt;$T$9:$T$14)*(O1837&lt;=$U$9:$U$14),$S$9:$S$14)</f>
        <v>5</v>
      </c>
    </row>
    <row r="1838" spans="1:16" x14ac:dyDescent="0.25">
      <c r="A1838">
        <v>1829</v>
      </c>
      <c r="B1838">
        <v>1829</v>
      </c>
      <c r="C1838">
        <v>0</v>
      </c>
      <c r="D1838">
        <v>0.38</v>
      </c>
      <c r="E1838">
        <v>98040</v>
      </c>
      <c r="F1838">
        <v>0.2</v>
      </c>
      <c r="G1838">
        <v>98040002</v>
      </c>
      <c r="H1838">
        <v>7902</v>
      </c>
      <c r="I1838">
        <v>0</v>
      </c>
      <c r="J1838" s="2">
        <f t="shared" si="64"/>
        <v>0</v>
      </c>
      <c r="K1838">
        <v>1837</v>
      </c>
      <c r="L1838" s="3">
        <f>SUM($I$2:$I1838)</f>
        <v>6345680</v>
      </c>
      <c r="M1838" s="3">
        <f>SUM($J$2:$J1838)</f>
        <v>25360717.499999981</v>
      </c>
      <c r="N1838" s="2">
        <f>SUM($D$2:$D1838)</f>
        <v>16778.71999999999</v>
      </c>
      <c r="O1838" s="2">
        <f t="shared" si="65"/>
        <v>0.99990107494585945</v>
      </c>
      <c r="P1838" s="2" cm="1">
        <f t="array" ref="P1838">SUMPRODUCT((O1838&gt;$T$9:$T$14)*(O1838&lt;=$U$9:$U$14),$S$9:$S$14)</f>
        <v>5</v>
      </c>
    </row>
    <row r="1839" spans="1:16" x14ac:dyDescent="0.25">
      <c r="A1839">
        <v>1750</v>
      </c>
      <c r="B1839">
        <v>1750</v>
      </c>
      <c r="C1839">
        <v>0</v>
      </c>
      <c r="D1839">
        <v>0.37</v>
      </c>
      <c r="E1839">
        <v>83670</v>
      </c>
      <c r="F1839">
        <v>0</v>
      </c>
      <c r="G1839">
        <v>83670000</v>
      </c>
      <c r="H1839">
        <v>7242</v>
      </c>
      <c r="I1839">
        <v>0</v>
      </c>
      <c r="J1839" s="2">
        <f t="shared" si="64"/>
        <v>0</v>
      </c>
      <c r="K1839">
        <v>1838</v>
      </c>
      <c r="L1839" s="3">
        <f>SUM($I$2:$I1839)</f>
        <v>6345680</v>
      </c>
      <c r="M1839" s="3">
        <f>SUM($J$2:$J1839)</f>
        <v>25360717.499999981</v>
      </c>
      <c r="N1839" s="2">
        <f>SUM($D$2:$D1839)</f>
        <v>16779.089999999989</v>
      </c>
      <c r="O1839" s="2">
        <f t="shared" si="65"/>
        <v>0.99992312450611964</v>
      </c>
      <c r="P1839" s="2" cm="1">
        <f t="array" ref="P1839">SUMPRODUCT((O1839&gt;$T$9:$T$14)*(O1839&lt;=$U$9:$U$14),$S$9:$S$14)</f>
        <v>5</v>
      </c>
    </row>
    <row r="1840" spans="1:16" x14ac:dyDescent="0.25">
      <c r="A1840">
        <v>805</v>
      </c>
      <c r="B1840">
        <v>431</v>
      </c>
      <c r="C1840">
        <v>38</v>
      </c>
      <c r="D1840">
        <v>0.3</v>
      </c>
      <c r="E1840">
        <v>12740</v>
      </c>
      <c r="F1840">
        <v>0</v>
      </c>
      <c r="G1840">
        <v>12740000</v>
      </c>
      <c r="H1840">
        <v>4</v>
      </c>
      <c r="I1840">
        <v>0</v>
      </c>
      <c r="J1840" s="2">
        <f t="shared" si="64"/>
        <v>0</v>
      </c>
      <c r="K1840">
        <v>1839</v>
      </c>
      <c r="L1840" s="3">
        <f>SUM($I$2:$I1840)</f>
        <v>6345680</v>
      </c>
      <c r="M1840" s="3">
        <f>SUM($J$2:$J1840)</f>
        <v>25360717.499999981</v>
      </c>
      <c r="N1840" s="2">
        <f>SUM($D$2:$D1840)</f>
        <v>16779.389999999989</v>
      </c>
      <c r="O1840" s="2">
        <f t="shared" si="65"/>
        <v>0.99994100252795215</v>
      </c>
      <c r="P1840" s="2" cm="1">
        <f t="array" ref="P1840">SUMPRODUCT((O1840&gt;$T$9:$T$14)*(O1840&lt;=$U$9:$U$14),$S$9:$S$14)</f>
        <v>5</v>
      </c>
    </row>
    <row r="1841" spans="1:16" x14ac:dyDescent="0.25">
      <c r="A1841">
        <v>1842</v>
      </c>
      <c r="B1841">
        <v>1842</v>
      </c>
      <c r="C1841">
        <v>0</v>
      </c>
      <c r="D1841">
        <v>0.27</v>
      </c>
      <c r="E1841">
        <v>15815</v>
      </c>
      <c r="F1841">
        <v>0</v>
      </c>
      <c r="G1841">
        <v>15815000</v>
      </c>
      <c r="H1841">
        <v>8</v>
      </c>
      <c r="I1841">
        <v>0</v>
      </c>
      <c r="J1841" s="2">
        <f t="shared" si="64"/>
        <v>0</v>
      </c>
      <c r="K1841">
        <v>1840</v>
      </c>
      <c r="L1841" s="3">
        <f>SUM($I$2:$I1841)</f>
        <v>6345680</v>
      </c>
      <c r="M1841" s="3">
        <f>SUM($J$2:$J1841)</f>
        <v>25360717.499999981</v>
      </c>
      <c r="N1841" s="2">
        <f>SUM($D$2:$D1841)</f>
        <v>16779.659999999989</v>
      </c>
      <c r="O1841" s="2">
        <f t="shared" si="65"/>
        <v>0.99995709274760158</v>
      </c>
      <c r="P1841" s="2" cm="1">
        <f t="array" ref="P1841">SUMPRODUCT((O1841&gt;$T$9:$T$14)*(O1841&lt;=$U$9:$U$14),$S$9:$S$14)</f>
        <v>5</v>
      </c>
    </row>
    <row r="1842" spans="1:16" x14ac:dyDescent="0.25">
      <c r="A1842">
        <v>1825</v>
      </c>
      <c r="B1842">
        <v>1825</v>
      </c>
      <c r="C1842">
        <v>0</v>
      </c>
      <c r="D1842">
        <v>0.27</v>
      </c>
      <c r="E1842">
        <v>73806</v>
      </c>
      <c r="F1842">
        <v>2.4</v>
      </c>
      <c r="G1842">
        <v>73806024</v>
      </c>
      <c r="H1842">
        <v>7087</v>
      </c>
      <c r="I1842">
        <v>0</v>
      </c>
      <c r="J1842" s="2">
        <f t="shared" si="64"/>
        <v>0</v>
      </c>
      <c r="K1842">
        <v>1841</v>
      </c>
      <c r="L1842" s="3">
        <f>SUM($I$2:$I1842)</f>
        <v>6345680</v>
      </c>
      <c r="M1842" s="3">
        <f>SUM($J$2:$J1842)</f>
        <v>25360717.499999981</v>
      </c>
      <c r="N1842" s="2">
        <f>SUM($D$2:$D1842)</f>
        <v>16779.929999999989</v>
      </c>
      <c r="O1842" s="2">
        <f t="shared" si="65"/>
        <v>0.99997318296725102</v>
      </c>
      <c r="P1842" s="2" cm="1">
        <f t="array" ref="P1842">SUMPRODUCT((O1842&gt;$T$9:$T$14)*(O1842&lt;=$U$9:$U$14),$S$9:$S$14)</f>
        <v>5</v>
      </c>
    </row>
    <row r="1843" spans="1:16" x14ac:dyDescent="0.25">
      <c r="A1843">
        <v>1760</v>
      </c>
      <c r="B1843">
        <v>1760</v>
      </c>
      <c r="C1843">
        <v>0</v>
      </c>
      <c r="D1843">
        <v>0.25</v>
      </c>
      <c r="E1843">
        <v>75380</v>
      </c>
      <c r="F1843">
        <v>0</v>
      </c>
      <c r="G1843">
        <v>75380000</v>
      </c>
      <c r="H1843">
        <v>7122</v>
      </c>
      <c r="I1843">
        <v>0</v>
      </c>
      <c r="J1843" s="2">
        <f t="shared" si="64"/>
        <v>0</v>
      </c>
      <c r="K1843">
        <v>1842</v>
      </c>
      <c r="L1843" s="3">
        <f>SUM($I$2:$I1843)</f>
        <v>6345680</v>
      </c>
      <c r="M1843" s="3">
        <f>SUM($J$2:$J1843)</f>
        <v>25360717.499999981</v>
      </c>
      <c r="N1843" s="2">
        <f>SUM($D$2:$D1843)</f>
        <v>16780.179999999989</v>
      </c>
      <c r="O1843" s="2">
        <f t="shared" si="65"/>
        <v>0.99998808131877814</v>
      </c>
      <c r="P1843" s="2" cm="1">
        <f t="array" ref="P1843">SUMPRODUCT((O1843&gt;$T$9:$T$14)*(O1843&lt;=$U$9:$U$14),$S$9:$S$14)</f>
        <v>5</v>
      </c>
    </row>
    <row r="1844" spans="1:16" x14ac:dyDescent="0.25">
      <c r="A1844">
        <v>1788</v>
      </c>
      <c r="B1844">
        <v>1788</v>
      </c>
      <c r="C1844">
        <v>0</v>
      </c>
      <c r="D1844">
        <v>0.16</v>
      </c>
      <c r="E1844">
        <v>85565</v>
      </c>
      <c r="F1844">
        <v>0</v>
      </c>
      <c r="G1844">
        <v>85565000</v>
      </c>
      <c r="H1844" t="s">
        <v>5</v>
      </c>
      <c r="I1844">
        <v>0</v>
      </c>
      <c r="J1844" s="2">
        <f t="shared" si="64"/>
        <v>0</v>
      </c>
      <c r="K1844">
        <v>1843</v>
      </c>
      <c r="L1844" s="3">
        <f>SUM($I$2:$I1844)</f>
        <v>6345680</v>
      </c>
      <c r="M1844" s="3">
        <f>SUM($J$2:$J1844)</f>
        <v>25360717.499999981</v>
      </c>
      <c r="N1844" s="2">
        <f>SUM($D$2:$D1844)</f>
        <v>16780.339999999989</v>
      </c>
      <c r="O1844" s="2">
        <f t="shared" si="65"/>
        <v>0.99999761626375561</v>
      </c>
      <c r="P1844" s="2" cm="1">
        <f t="array" ref="P1844">SUMPRODUCT((O1844&gt;$T$9:$T$14)*(O1844&lt;=$U$9:$U$14),$S$9:$S$14)</f>
        <v>5</v>
      </c>
    </row>
    <row r="1845" spans="1:16" x14ac:dyDescent="0.25">
      <c r="A1845">
        <v>1282</v>
      </c>
      <c r="B1845">
        <v>114</v>
      </c>
      <c r="C1845">
        <v>1196</v>
      </c>
      <c r="D1845">
        <v>0.04</v>
      </c>
      <c r="E1845">
        <v>35446</v>
      </c>
      <c r="F1845">
        <v>0</v>
      </c>
      <c r="G1845">
        <v>35446000</v>
      </c>
      <c r="H1845">
        <v>69</v>
      </c>
      <c r="I1845">
        <v>0</v>
      </c>
      <c r="J1845" s="2">
        <f t="shared" si="64"/>
        <v>0</v>
      </c>
      <c r="K1845">
        <v>1844</v>
      </c>
      <c r="L1845" s="3">
        <f>SUM($I$2:$I1845)</f>
        <v>6345680</v>
      </c>
      <c r="M1845" s="3">
        <f>SUM($J$2:$J1845)</f>
        <v>25360717.499999981</v>
      </c>
      <c r="N1845" s="2">
        <f>SUM($D$2:$D1845)</f>
        <v>16780.37999999999</v>
      </c>
      <c r="O1845" s="2">
        <f t="shared" si="65"/>
        <v>1</v>
      </c>
      <c r="P1845" s="2" cm="1">
        <f t="array" ref="P1845">SUMPRODUCT((O1845&gt;$T$9:$T$14)*(O1845&lt;=$U$9:$U$14),$S$9:$S$14)</f>
        <v>5</v>
      </c>
    </row>
  </sheetData>
  <autoFilter ref="A1:K1845" xr:uid="{8D938F8A-2203-4BC9-8AEE-CF4AE98BF930}">
    <sortState xmlns:xlrd2="http://schemas.microsoft.com/office/spreadsheetml/2017/richdata2" ref="A2:K1845">
      <sortCondition descending="1" ref="I1:I1845"/>
    </sortState>
  </autoFilter>
  <conditionalFormatting sqref="A2:A1845">
    <cfRule type="duplicateValues" dxfId="2" priority="1"/>
  </conditionalFormatting>
  <conditionalFormatting sqref="E2:E1845">
    <cfRule type="duplicateValues" dxfId="1" priority="3"/>
  </conditionalFormatting>
  <conditionalFormatting sqref="G2:G1845">
    <cfRule type="duplicateValues" dxfId="0" priority="2"/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truck_specs</vt:lpstr>
      <vt:lpstr>database_index</vt:lpstr>
      <vt:lpstr>sample_profiles</vt:lpstr>
      <vt:lpstr>MTO iCorridor AADTT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W</dc:creator>
  <cp:lastModifiedBy>Lih Wei Yeow</cp:lastModifiedBy>
  <dcterms:created xsi:type="dcterms:W3CDTF">2015-06-05T18:17:20Z</dcterms:created>
  <dcterms:modified xsi:type="dcterms:W3CDTF">2026-05-25T04:30:00Z</dcterms:modified>
</cp:coreProperties>
</file>